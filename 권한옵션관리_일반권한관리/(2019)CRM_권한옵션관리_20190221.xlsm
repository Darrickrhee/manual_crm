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270" windowWidth="14940" windowHeight="9150" firstSheet="2" activeTab="2"/>
  </bookViews>
  <sheets>
    <sheet name="value2" sheetId="1" state="hidden" r:id="rId1"/>
    <sheet name="value3" sheetId="2" state="hidden" r:id="rId2"/>
    <sheet name="opt" sheetId="3" r:id="rId3"/>
  </sheets>
  <definedNames>
    <definedName name="_xlnm._FilterDatabase" localSheetId="0" hidden="1">value2!$D$5:$D$15</definedName>
    <definedName name="_xlnm._FilterDatabase" localSheetId="1" hidden="1">value3!$D$5:$D$86</definedName>
    <definedName name="_xlnm.Extract" localSheetId="0">value2!$M$5:$M$14</definedName>
    <definedName name="_xlnm.Extract" localSheetId="1">value3!$M$5:$M$21</definedName>
  </definedNames>
  <calcPr calcId="125725"/>
</workbook>
</file>

<file path=xl/calcChain.xml><?xml version="1.0" encoding="utf-8"?>
<calcChain xmlns="http://schemas.openxmlformats.org/spreadsheetml/2006/main">
  <c r="A4" i="3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3"/>
  <c r="I9"/>
  <c r="I79" s="1"/>
  <c r="O6" i="1" a="1"/>
  <c r="O6" s="1"/>
  <c r="O7" a="1"/>
  <c r="O7" s="1"/>
  <c r="O8" a="1"/>
  <c r="O8" s="1"/>
  <c r="O9" a="1"/>
  <c r="O9" s="1"/>
  <c r="O5" a="1"/>
  <c r="O5" s="1"/>
  <c r="O17" i="2" a="1"/>
  <c r="O17" s="1"/>
  <c r="O6" a="1"/>
  <c r="O6" s="1"/>
  <c r="O7" a="1"/>
  <c r="O7" s="1"/>
  <c r="O8" a="1"/>
  <c r="O8" s="1"/>
  <c r="O9" a="1"/>
  <c r="O9" s="1"/>
  <c r="O10" a="1"/>
  <c r="O10" s="1"/>
  <c r="O11" a="1"/>
  <c r="O11" s="1"/>
  <c r="O12" a="1"/>
  <c r="O12" s="1"/>
  <c r="O13" a="1"/>
  <c r="O13" s="1"/>
  <c r="O14" a="1"/>
  <c r="O14" s="1"/>
  <c r="O15" a="1"/>
  <c r="O15" s="1"/>
  <c r="O16" a="1"/>
  <c r="O16" s="1"/>
  <c r="O5" a="1"/>
  <c r="O5" s="1"/>
  <c r="N6" i="1"/>
  <c r="N7"/>
  <c r="N8"/>
  <c r="N9"/>
  <c r="N5"/>
  <c r="N10" s="1"/>
  <c r="N6" i="2"/>
  <c r="N7"/>
  <c r="N8"/>
  <c r="N9"/>
  <c r="N10"/>
  <c r="N11"/>
  <c r="N12"/>
  <c r="N13"/>
  <c r="N14"/>
  <c r="N15"/>
  <c r="N16"/>
  <c r="N17"/>
  <c r="N5"/>
  <c r="N18" s="1"/>
</calcChain>
</file>

<file path=xl/comments1.xml><?xml version="1.0" encoding="utf-8"?>
<comments xmlns="http://schemas.openxmlformats.org/spreadsheetml/2006/main">
  <authors>
    <author>Jiwon Ahn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- Database: </t>
        </r>
        <r>
          <rPr>
            <sz val="9"/>
            <color indexed="81"/>
            <rFont val="돋움"/>
            <family val="3"/>
            <charset val="129"/>
          </rPr>
          <t>증권종합</t>
        </r>
        <r>
          <rPr>
            <sz val="9"/>
            <color indexed="81"/>
            <rFont val="Tahoma"/>
            <family val="2"/>
          </rPr>
          <t xml:space="preserve">DB (GINFODB)
- Table: RCU01.CUST_LOGIN_MAST
- ID / PW: RCU01 / RCU01
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- Database: kc_crm
- Table: TN_GOODS_OPTIONS
- ID / PW: kc_crm / kc_crm</t>
        </r>
      </text>
    </comment>
    <comment ref="C69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<sst xmlns="http://schemas.openxmlformats.org/spreadsheetml/2006/main" count="981" uniqueCount="314">
  <si>
    <t>No</t>
  </si>
  <si>
    <t>CUST_ID</t>
  </si>
  <si>
    <t>AUTH_NM</t>
  </si>
  <si>
    <t>OPT_NO</t>
  </si>
  <si>
    <t>AUTH_OPT_GB</t>
  </si>
  <si>
    <t>FEE_GB</t>
  </si>
  <si>
    <t>REG_DT</t>
  </si>
  <si>
    <t>TRMN_DT</t>
  </si>
  <si>
    <t>TRIAL_REG_DT</t>
  </si>
  <si>
    <t>TRIAL_TRMN_DT</t>
  </si>
  <si>
    <t>KS00000815</t>
  </si>
  <si>
    <t>DATA</t>
  </si>
  <si>
    <t>19700101</t>
  </si>
  <si>
    <t>99991231</t>
  </si>
  <si>
    <t/>
  </si>
  <si>
    <t>KS63500368</t>
  </si>
  <si>
    <t>KS63500498</t>
  </si>
  <si>
    <t>KS99999999</t>
  </si>
  <si>
    <t>KS63500461</t>
  </si>
  <si>
    <t>KS63500484</t>
  </si>
  <si>
    <t>KS63500496</t>
  </si>
  <si>
    <t>KS63500497</t>
  </si>
  <si>
    <t>20151005</t>
  </si>
  <si>
    <t>CUST_OPTION_MAST</t>
  </si>
  <si>
    <t>총 : 11 건</t>
  </si>
  <si>
    <t>총 : 82 건</t>
  </si>
  <si>
    <t>SC01003102</t>
  </si>
  <si>
    <t>TR00010244</t>
  </si>
  <si>
    <t>SC02802303</t>
  </si>
  <si>
    <t>SC02803801</t>
  </si>
  <si>
    <t>SC04503506</t>
  </si>
  <si>
    <t>SC01702809</t>
  </si>
  <si>
    <t>SC01702810</t>
  </si>
  <si>
    <t>SC10401004</t>
  </si>
  <si>
    <t>SC02503105</t>
  </si>
  <si>
    <t>20160919</t>
  </si>
  <si>
    <t>20170228</t>
  </si>
  <si>
    <t>SC02721293</t>
  </si>
  <si>
    <t>SC13000146</t>
  </si>
  <si>
    <t>20160630</t>
  </si>
  <si>
    <t>SC12902001</t>
  </si>
  <si>
    <t>MN95300032</t>
  </si>
  <si>
    <t>SC03900016</t>
  </si>
  <si>
    <t>SC04502105</t>
  </si>
  <si>
    <t>KS63500239</t>
  </si>
  <si>
    <t>BN50100505</t>
  </si>
  <si>
    <t>BN50100907</t>
  </si>
  <si>
    <t>BN50100312</t>
  </si>
  <si>
    <t>RL00104402</t>
  </si>
  <si>
    <t>MN20304601</t>
  </si>
  <si>
    <t>MN40300602</t>
  </si>
  <si>
    <t>MN40300610</t>
  </si>
  <si>
    <t>MN40300611</t>
  </si>
  <si>
    <t>MN40600208</t>
  </si>
  <si>
    <t>20160531</t>
  </si>
  <si>
    <t>MN40100105</t>
  </si>
  <si>
    <t>20161226</t>
  </si>
  <si>
    <t>MN40100107</t>
  </si>
  <si>
    <t>MN94700050</t>
  </si>
  <si>
    <t>IN00500504</t>
  </si>
  <si>
    <t>PB00100102</t>
  </si>
  <si>
    <t>CP32502614</t>
  </si>
  <si>
    <t>CP22600003</t>
  </si>
  <si>
    <t>IN02800106</t>
  </si>
  <si>
    <t>MN40300113</t>
  </si>
  <si>
    <t>CP43500013</t>
  </si>
  <si>
    <t>KS63500488</t>
  </si>
  <si>
    <t>SC03900019</t>
  </si>
  <si>
    <t>KS71000081</t>
  </si>
  <si>
    <t>KS63500427</t>
  </si>
  <si>
    <t>MN21600317</t>
  </si>
  <si>
    <t>MN21600314</t>
  </si>
  <si>
    <t>SC01200901</t>
  </si>
  <si>
    <t>BN50300103</t>
  </si>
  <si>
    <t>SC00550009</t>
  </si>
  <si>
    <t>SC00903008</t>
  </si>
  <si>
    <t>MN21600319</t>
  </si>
  <si>
    <t>MN95300019</t>
  </si>
  <si>
    <t>SC01202117</t>
  </si>
  <si>
    <t>PB05300001</t>
  </si>
  <si>
    <t>BN50100706</t>
  </si>
  <si>
    <t>MN40300301</t>
  </si>
  <si>
    <t>SC01702144</t>
  </si>
  <si>
    <t>TR00000329</t>
  </si>
  <si>
    <t>SC01006406</t>
  </si>
  <si>
    <t>SC00500902</t>
  </si>
  <si>
    <t>BN10600214</t>
  </si>
  <si>
    <t>BN00500101</t>
  </si>
  <si>
    <t>BN00500902</t>
  </si>
  <si>
    <t>BN00500903</t>
  </si>
  <si>
    <t>상품선물옵션시세</t>
  </si>
  <si>
    <t>DATA</t>
    <phoneticPr fontId="1" type="noConversion"/>
  </si>
  <si>
    <t>제로인펀드정보</t>
  </si>
  <si>
    <t>Cretop</t>
  </si>
  <si>
    <t>OPT_NO</t>
    <phoneticPr fontId="1" type="noConversion"/>
  </si>
  <si>
    <t>AUTH_NM</t>
    <phoneticPr fontId="1" type="noConversion"/>
  </si>
  <si>
    <t>CRM 옵션명</t>
    <phoneticPr fontId="7" type="noConversion"/>
  </si>
  <si>
    <t>GOODS_OPTION_CD</t>
    <phoneticPr fontId="1" type="noConversion"/>
  </si>
  <si>
    <t>메뉴</t>
    <phoneticPr fontId="1" type="noConversion"/>
  </si>
  <si>
    <t>KOSCOM</t>
    <phoneticPr fontId="1" type="noConversion"/>
  </si>
  <si>
    <t>MENU</t>
    <phoneticPr fontId="1" type="noConversion"/>
  </si>
  <si>
    <t>기본형</t>
  </si>
  <si>
    <t>MENU</t>
  </si>
  <si>
    <t>코스닥증권</t>
  </si>
  <si>
    <t>증권업협회</t>
  </si>
  <si>
    <t>내부용</t>
  </si>
  <si>
    <t>비상주문</t>
  </si>
  <si>
    <t>종가수신</t>
  </si>
  <si>
    <t>FnStock</t>
  </si>
  <si>
    <t>FactSet</t>
  </si>
  <si>
    <t>한신평정보</t>
  </si>
  <si>
    <t>기업어음</t>
  </si>
  <si>
    <t>CheckWise</t>
  </si>
  <si>
    <t>FUNC</t>
  </si>
  <si>
    <t>Excel</t>
  </si>
  <si>
    <t>ExcelPremium</t>
  </si>
  <si>
    <t>IP입력</t>
  </si>
  <si>
    <t>Mobile</t>
  </si>
  <si>
    <t>Outdoor</t>
  </si>
  <si>
    <t>종목검색</t>
  </si>
  <si>
    <t>유가증권시세</t>
  </si>
  <si>
    <t>코스닥시세</t>
  </si>
  <si>
    <t>K200선물옵션시세</t>
  </si>
  <si>
    <t>스타지수선물시세</t>
  </si>
  <si>
    <t>개별주식선물시세</t>
  </si>
  <si>
    <t>개별주식옵션시세</t>
  </si>
  <si>
    <t>K200-CME연계시세</t>
  </si>
  <si>
    <t>KRX지수 정보</t>
  </si>
  <si>
    <t>장내채권시세</t>
  </si>
  <si>
    <t>채권 발행정보</t>
  </si>
  <si>
    <t>채권 발행정보(비상장)</t>
  </si>
  <si>
    <t>S&amp;P DowJones 지수</t>
  </si>
  <si>
    <t>Nikkei 지수</t>
  </si>
  <si>
    <t>TSE(동경) 지수</t>
  </si>
  <si>
    <t>SZSE(심천) 지수</t>
  </si>
  <si>
    <t>TWSE(대만) 지수</t>
  </si>
  <si>
    <t>CME 종목(Full)</t>
  </si>
  <si>
    <t>SGX(싱가폴) 종목(파생)</t>
  </si>
  <si>
    <t>Eurex 종목 level1</t>
  </si>
  <si>
    <t>ICE LIBOR</t>
  </si>
  <si>
    <t>Markit CDS</t>
  </si>
  <si>
    <t>권한옵션 구분자</t>
    <phoneticPr fontId="1" type="noConversion"/>
  </si>
  <si>
    <t>PID수</t>
    <phoneticPr fontId="1" type="noConversion"/>
  </si>
  <si>
    <t>권한옵션명</t>
    <phoneticPr fontId="1" type="noConversion"/>
  </si>
  <si>
    <t>총합</t>
    <phoneticPr fontId="1" type="noConversion"/>
  </si>
  <si>
    <t>권한옵션 구분자</t>
    <phoneticPr fontId="1" type="noConversion"/>
  </si>
  <si>
    <t>총합</t>
    <phoneticPr fontId="1" type="noConversion"/>
  </si>
  <si>
    <t>지연/무상</t>
  </si>
  <si>
    <t>권한있음/유상</t>
    <phoneticPr fontId="1" type="noConversion"/>
  </si>
  <si>
    <t>증권거래소</t>
    <phoneticPr fontId="7" type="noConversion"/>
  </si>
  <si>
    <t>채권형</t>
    <phoneticPr fontId="7" type="noConversion"/>
  </si>
  <si>
    <t>채권고급형</t>
    <phoneticPr fontId="7" type="noConversion"/>
  </si>
  <si>
    <t>FnGuide</t>
    <phoneticPr fontId="1" type="noConversion"/>
  </si>
  <si>
    <t>FnConsensus</t>
    <phoneticPr fontId="7" type="noConversion"/>
  </si>
  <si>
    <t>FactSet</t>
    <phoneticPr fontId="1" type="noConversion"/>
  </si>
  <si>
    <t>제로인</t>
    <phoneticPr fontId="1" type="noConversion"/>
  </si>
  <si>
    <t>한국기업데이터</t>
    <phoneticPr fontId="1" type="noConversion"/>
  </si>
  <si>
    <t>한국신용평가</t>
    <phoneticPr fontId="1" type="noConversion"/>
  </si>
  <si>
    <t>예탁원</t>
    <phoneticPr fontId="1" type="noConversion"/>
  </si>
  <si>
    <t>전자단기사채정보</t>
    <phoneticPr fontId="1" type="noConversion"/>
  </si>
  <si>
    <t>2017-01-11 추가</t>
    <phoneticPr fontId="1" type="noConversion"/>
  </si>
  <si>
    <t>기능</t>
    <phoneticPr fontId="1" type="noConversion"/>
  </si>
  <si>
    <t>WiseFn</t>
    <phoneticPr fontId="1" type="noConversion"/>
  </si>
  <si>
    <t>FUNC</t>
    <phoneticPr fontId="1" type="noConversion"/>
  </si>
  <si>
    <t>KOSCOM</t>
    <phoneticPr fontId="1" type="noConversion"/>
  </si>
  <si>
    <t>DATA</t>
    <phoneticPr fontId="1" type="noConversion"/>
  </si>
  <si>
    <t>KRX</t>
    <phoneticPr fontId="1" type="noConversion"/>
  </si>
  <si>
    <t>실시간/무상</t>
    <phoneticPr fontId="1" type="noConversion"/>
  </si>
  <si>
    <t>S&amp;P DowJones</t>
    <phoneticPr fontId="1" type="noConversion"/>
  </si>
  <si>
    <t>Nikkei</t>
    <phoneticPr fontId="1" type="noConversion"/>
  </si>
  <si>
    <t>TSE (동경)</t>
    <phoneticPr fontId="1" type="noConversion"/>
  </si>
  <si>
    <t>HSI (항셍Index)</t>
    <phoneticPr fontId="1" type="noConversion"/>
  </si>
  <si>
    <t>SSE (상해)</t>
    <phoneticPr fontId="1" type="noConversion"/>
  </si>
  <si>
    <t>SZSE (심천)</t>
    <phoneticPr fontId="1" type="noConversion"/>
  </si>
  <si>
    <t>TWSE (대만)</t>
    <phoneticPr fontId="1" type="noConversion"/>
  </si>
  <si>
    <t>CME</t>
    <phoneticPr fontId="1" type="noConversion"/>
  </si>
  <si>
    <t>CME-Mini</t>
    <phoneticPr fontId="7" type="noConversion"/>
  </si>
  <si>
    <t>SGX (싱가폴)</t>
    <phoneticPr fontId="1" type="noConversion"/>
  </si>
  <si>
    <t>ICE</t>
    <phoneticPr fontId="1" type="noConversion"/>
  </si>
  <si>
    <t>Markit</t>
    <phoneticPr fontId="1" type="noConversion"/>
  </si>
  <si>
    <t>Etc</t>
    <phoneticPr fontId="1" type="noConversion"/>
  </si>
  <si>
    <t>001</t>
    <phoneticPr fontId="1" type="noConversion"/>
  </si>
  <si>
    <t>002</t>
    <phoneticPr fontId="1" type="noConversion"/>
  </si>
  <si>
    <t>003</t>
    <phoneticPr fontId="1" type="noConversion"/>
  </si>
  <si>
    <t>비딜러</t>
    <phoneticPr fontId="1" type="noConversion"/>
  </si>
  <si>
    <t>108</t>
    <phoneticPr fontId="1" type="noConversion"/>
  </si>
  <si>
    <t>딜러</t>
    <phoneticPr fontId="1" type="noConversion"/>
  </si>
  <si>
    <t>109</t>
    <phoneticPr fontId="1" type="noConversion"/>
  </si>
  <si>
    <t>지연</t>
    <phoneticPr fontId="1" type="noConversion"/>
  </si>
  <si>
    <t>105</t>
    <phoneticPr fontId="1" type="noConversion"/>
  </si>
  <si>
    <t>종가</t>
    <phoneticPr fontId="1" type="noConversion"/>
  </si>
  <si>
    <t>106</t>
    <phoneticPr fontId="1" type="noConversion"/>
  </si>
  <si>
    <t>권한없음</t>
    <phoneticPr fontId="1" type="noConversion"/>
  </si>
  <si>
    <t>권한있음</t>
    <phoneticPr fontId="1" type="noConversion"/>
  </si>
  <si>
    <t>없음</t>
    <phoneticPr fontId="1" type="noConversion"/>
  </si>
  <si>
    <t>유상</t>
    <phoneticPr fontId="1" type="noConversion"/>
  </si>
  <si>
    <t>무상</t>
    <phoneticPr fontId="1" type="noConversion"/>
  </si>
  <si>
    <t>트라이얼</t>
    <phoneticPr fontId="1" type="noConversion"/>
  </si>
  <si>
    <t>일시정지</t>
    <phoneticPr fontId="1" type="noConversion"/>
  </si>
  <si>
    <t>004</t>
    <phoneticPr fontId="1" type="noConversion"/>
  </si>
  <si>
    <t>005</t>
    <phoneticPr fontId="1" type="noConversion"/>
  </si>
  <si>
    <t>지연/무상</t>
    <phoneticPr fontId="1" type="noConversion"/>
  </si>
  <si>
    <t>HSI(항생index) 지수</t>
    <phoneticPr fontId="7" type="noConversion"/>
  </si>
  <si>
    <t>SSE(상해) 지수</t>
    <phoneticPr fontId="1" type="noConversion"/>
  </si>
  <si>
    <t>2017-03-02 추가</t>
    <phoneticPr fontId="1" type="noConversion"/>
  </si>
  <si>
    <t>CBOT-Mini</t>
    <phoneticPr fontId="1" type="noConversion"/>
  </si>
  <si>
    <t>CBOT 종목(Full)</t>
    <phoneticPr fontId="1" type="noConversion"/>
  </si>
  <si>
    <t>2017-03-14 추가</t>
    <phoneticPr fontId="1" type="noConversion"/>
  </si>
  <si>
    <t>권한없음</t>
  </si>
  <si>
    <t>CRM 만료시</t>
    <phoneticPr fontId="1" type="noConversion"/>
  </si>
  <si>
    <t xml:space="preserve"> DATA</t>
  </si>
  <si>
    <t>지수</t>
    <phoneticPr fontId="1" type="noConversion"/>
  </si>
  <si>
    <t>2018-03-19 추가(개편요청서 2017-239)</t>
    <phoneticPr fontId="1" type="noConversion"/>
  </si>
  <si>
    <t>CBOT</t>
    <phoneticPr fontId="1" type="noConversion"/>
  </si>
  <si>
    <t>DATA</t>
    <phoneticPr fontId="1" type="noConversion"/>
  </si>
  <si>
    <t>Eurex</t>
    <phoneticPr fontId="1" type="noConversion"/>
  </si>
  <si>
    <t>STOXX</t>
    <phoneticPr fontId="1" type="noConversion"/>
  </si>
  <si>
    <t>유무상구분
(CMGR_SE_CD)</t>
    <phoneticPr fontId="1" type="noConversion"/>
  </si>
  <si>
    <t>유무상구분
(FEE_GB)</t>
    <phoneticPr fontId="1" type="noConversion"/>
  </si>
  <si>
    <t>KRX유동비율</t>
    <phoneticPr fontId="1" type="noConversion"/>
  </si>
  <si>
    <t>비고</t>
    <phoneticPr fontId="1" type="noConversion"/>
  </si>
  <si>
    <t>① 증권종합DB 코드
(접속처리)</t>
    <phoneticPr fontId="1" type="noConversion"/>
  </si>
  <si>
    <t>MENU</t>
    <phoneticPr fontId="1" type="noConversion"/>
  </si>
  <si>
    <t>채권2</t>
    <phoneticPr fontId="1" type="noConversion"/>
  </si>
  <si>
    <t>실시간/무상</t>
    <phoneticPr fontId="1" type="noConversion"/>
  </si>
  <si>
    <t xml:space="preserve"> DATA</t>
    <phoneticPr fontId="1" type="noConversion"/>
  </si>
  <si>
    <t>KOSPI_M</t>
    <phoneticPr fontId="1" type="noConversion"/>
  </si>
  <si>
    <t>KOSPI 200_P</t>
    <phoneticPr fontId="1" type="noConversion"/>
  </si>
  <si>
    <t>KOSPI200 Sector_P</t>
    <phoneticPr fontId="1" type="noConversion"/>
  </si>
  <si>
    <t>KOSPI200 Strategy_P</t>
    <phoneticPr fontId="1" type="noConversion"/>
  </si>
  <si>
    <t>KOSDAQ_M</t>
    <phoneticPr fontId="1" type="noConversion"/>
  </si>
  <si>
    <t>KOSDAQ 150 Sector_M</t>
    <phoneticPr fontId="1" type="noConversion"/>
  </si>
  <si>
    <t>화면 상의 D/P 순서와 부여된 코드 순서 다름!</t>
    <phoneticPr fontId="1" type="noConversion"/>
  </si>
  <si>
    <t>KOSDAQ Blue Chip_P</t>
    <phoneticPr fontId="1" type="noConversion"/>
  </si>
  <si>
    <t>KRX Blue Chip_P</t>
    <phoneticPr fontId="1" type="noConversion"/>
  </si>
  <si>
    <t>KRX Sector_M</t>
    <phoneticPr fontId="1" type="noConversion"/>
  </si>
  <si>
    <t>KRX Dividend_P</t>
    <phoneticPr fontId="1" type="noConversion"/>
  </si>
  <si>
    <t>KRX Theme_P</t>
    <phoneticPr fontId="1" type="noConversion"/>
  </si>
  <si>
    <t>Multi Factor_M</t>
    <phoneticPr fontId="1" type="noConversion"/>
  </si>
  <si>
    <t>실시간/무상</t>
    <phoneticPr fontId="1" type="noConversion"/>
  </si>
  <si>
    <t>KRX지수구성정보</t>
    <phoneticPr fontId="1" type="noConversion"/>
  </si>
  <si>
    <t>2017-09-11 추가</t>
    <phoneticPr fontId="1" type="noConversion"/>
  </si>
  <si>
    <t>전체</t>
    <phoneticPr fontId="1" type="noConversion"/>
  </si>
  <si>
    <r>
      <t>2017-09-18 추가</t>
    </r>
    <r>
      <rPr>
        <sz val="9"/>
        <color theme="0" tint="-0.34998626667073579"/>
        <rFont val="맑은 고딕"/>
        <family val="3"/>
        <charset val="129"/>
        <scheme val="minor"/>
      </rPr>
      <t xml:space="preserve"> → 사용하지 않음</t>
    </r>
    <phoneticPr fontId="1" type="noConversion"/>
  </si>
  <si>
    <t>ETC</t>
    <phoneticPr fontId="1" type="noConversion"/>
  </si>
  <si>
    <t>한국자금중개</t>
    <phoneticPr fontId="1" type="noConversion"/>
  </si>
  <si>
    <t>② CRM DB 코드
(관리UI)</t>
    <phoneticPr fontId="1" type="noConversion"/>
  </si>
  <si>
    <t>2019-01-31 추가(개편요청서 2019-007)</t>
    <phoneticPr fontId="1" type="noConversion"/>
  </si>
  <si>
    <t>종가/무상</t>
    <phoneticPr fontId="1" type="noConversion"/>
  </si>
  <si>
    <t>지연/무상</t>
    <phoneticPr fontId="1" type="noConversion"/>
  </si>
  <si>
    <t>유상예정</t>
    <phoneticPr fontId="1" type="noConversion"/>
  </si>
  <si>
    <t>해지예정</t>
    <phoneticPr fontId="1" type="noConversion"/>
  </si>
  <si>
    <t>006</t>
    <phoneticPr fontId="1" type="noConversion"/>
  </si>
  <si>
    <t>007</t>
    <phoneticPr fontId="1" type="noConversion"/>
  </si>
  <si>
    <t>CHECKEMS/CHECKHFOS</t>
    <phoneticPr fontId="1" type="noConversion"/>
  </si>
  <si>
    <t>2017-11-13 추가, 2018-12-21 명칭/권한 변경</t>
    <phoneticPr fontId="1" type="noConversion"/>
  </si>
  <si>
    <t>CRM 만료시</t>
    <phoneticPr fontId="1" type="noConversion"/>
  </si>
  <si>
    <t>CRM 기본값</t>
    <phoneticPr fontId="1" type="noConversion"/>
  </si>
  <si>
    <t>CRM 기본값</t>
    <phoneticPr fontId="1" type="noConversion"/>
  </si>
  <si>
    <t>IDC(FX)</t>
    <phoneticPr fontId="1" type="noConversion"/>
  </si>
  <si>
    <t>ETC</t>
    <phoneticPr fontId="1" type="noConversion"/>
  </si>
  <si>
    <t>해외환율</t>
    <phoneticPr fontId="1" type="noConversion"/>
  </si>
  <si>
    <t>2019-02-21 추가(개편요청서 2019-042)</t>
    <phoneticPr fontId="1" type="noConversion"/>
  </si>
  <si>
    <t>Tullett Prebon</t>
    <phoneticPr fontId="1" type="noConversion"/>
  </si>
  <si>
    <t>Tullett Prebon 해외국채금리</t>
    <phoneticPr fontId="1" type="noConversion"/>
  </si>
  <si>
    <t>종가/무상</t>
    <phoneticPr fontId="1" type="noConversion"/>
  </si>
  <si>
    <t>2019-01-15 명칭변경</t>
    <phoneticPr fontId="1" type="noConversion"/>
  </si>
  <si>
    <t>Tullett Prebon Swaps</t>
    <phoneticPr fontId="1" type="noConversion"/>
  </si>
  <si>
    <t>2019-01-15 DATA/24와 통합</t>
    <phoneticPr fontId="1" type="noConversion"/>
  </si>
  <si>
    <t>서울외국환중개</t>
    <phoneticPr fontId="1" type="noConversion"/>
  </si>
  <si>
    <t>서울외국환중개 원달러환율</t>
    <phoneticPr fontId="1" type="noConversion"/>
  </si>
  <si>
    <t>비딜러/없음</t>
    <phoneticPr fontId="1" type="noConversion"/>
  </si>
  <si>
    <t>비딜러</t>
    <phoneticPr fontId="1" type="noConversion"/>
  </si>
  <si>
    <t>KOSPI200 TR_M</t>
    <phoneticPr fontId="1" type="noConversion"/>
  </si>
  <si>
    <t>2019-02-15 명칭 변경</t>
    <phoneticPr fontId="1" type="noConversion"/>
  </si>
  <si>
    <t>KOSPI200 TR USD_M</t>
    <phoneticPr fontId="1" type="noConversion"/>
  </si>
  <si>
    <t>Single Factor_M</t>
    <phoneticPr fontId="1" type="noConversion"/>
  </si>
  <si>
    <t>FUNC</t>
    <phoneticPr fontId="1" type="noConversion"/>
  </si>
  <si>
    <t>HDB 권한구분
(AUTH_OPT_GB)</t>
    <phoneticPr fontId="1" type="noConversion"/>
  </si>
  <si>
    <t>CRM 권한구분
(AUTHOR_SE_CD)</t>
    <phoneticPr fontId="1" type="noConversion"/>
  </si>
  <si>
    <t>CHECKEMS</t>
    <phoneticPr fontId="1" type="noConversion"/>
  </si>
  <si>
    <t>CHECKHFOS_Bsc_T</t>
    <phoneticPr fontId="1" type="noConversion"/>
  </si>
  <si>
    <t>CHECKHFOS_Free_T</t>
    <phoneticPr fontId="1" type="noConversion"/>
  </si>
  <si>
    <t>CHECKHFOS_Free</t>
    <phoneticPr fontId="1" type="noConversion"/>
  </si>
  <si>
    <t>CHECKHFOS_Bsc</t>
    <phoneticPr fontId="1" type="noConversion"/>
  </si>
  <si>
    <t>CHECKHFOS_Std_T</t>
    <phoneticPr fontId="1" type="noConversion"/>
  </si>
  <si>
    <t>CHECKHFOS_Std</t>
    <phoneticPr fontId="1" type="noConversion"/>
  </si>
  <si>
    <t>CHECKHFOS_Prm_T</t>
    <phoneticPr fontId="1" type="noConversion"/>
  </si>
  <si>
    <t>CHECKHFOS_Prm</t>
    <phoneticPr fontId="1" type="noConversion"/>
  </si>
  <si>
    <t>401</t>
    <phoneticPr fontId="1" type="noConversion"/>
  </si>
  <si>
    <t>402</t>
    <phoneticPr fontId="1" type="noConversion"/>
  </si>
  <si>
    <t>403</t>
    <phoneticPr fontId="1" type="noConversion"/>
  </si>
  <si>
    <t>404</t>
    <phoneticPr fontId="1" type="noConversion"/>
  </si>
  <si>
    <t>405</t>
    <phoneticPr fontId="1" type="noConversion"/>
  </si>
  <si>
    <t>406</t>
    <phoneticPr fontId="1" type="noConversion"/>
  </si>
  <si>
    <t>407</t>
    <phoneticPr fontId="1" type="noConversion"/>
  </si>
  <si>
    <t>408</t>
    <phoneticPr fontId="1" type="noConversion"/>
  </si>
  <si>
    <t>409</t>
    <phoneticPr fontId="1" type="noConversion"/>
  </si>
  <si>
    <t>410</t>
    <phoneticPr fontId="1" type="noConversion"/>
  </si>
  <si>
    <t>권한없음</t>
    <phoneticPr fontId="1" type="noConversion"/>
  </si>
  <si>
    <t>103</t>
    <phoneticPr fontId="1" type="noConversion"/>
  </si>
  <si>
    <t>실시간</t>
    <phoneticPr fontId="1" type="noConversion"/>
  </si>
  <si>
    <t>104</t>
    <phoneticPr fontId="1" type="noConversion"/>
  </si>
  <si>
    <t>107</t>
    <phoneticPr fontId="1" type="noConversion"/>
  </si>
  <si>
    <t>상품_유무상구분
COM055</t>
    <phoneticPr fontId="1" type="noConversion"/>
  </si>
  <si>
    <t>상품_유무상구분(추가)
COM116</t>
    <phoneticPr fontId="1" type="noConversion"/>
  </si>
  <si>
    <t>MENU/FUNC권한</t>
    <phoneticPr fontId="1" type="noConversion"/>
  </si>
  <si>
    <t>DATA권한</t>
    <phoneticPr fontId="1" type="noConversion"/>
  </si>
  <si>
    <t>ETC권한</t>
    <phoneticPr fontId="1" type="noConversion"/>
  </si>
  <si>
    <t>FUNC권한_추가</t>
    <phoneticPr fontId="1" type="noConversion"/>
  </si>
  <si>
    <t>옵션_권한구분
COM071</t>
    <phoneticPr fontId="1" type="noConversion"/>
  </si>
  <si>
    <t>한국자금중개 원달러환율</t>
    <phoneticPr fontId="1" type="noConversion"/>
  </si>
  <si>
    <t>2019-01-15 ETC/1과 통합</t>
    <phoneticPr fontId="1" type="noConversion"/>
  </si>
  <si>
    <t>1 (=유상)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</si>
</sst>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3">
    <font>
      <sz val="10"/>
      <name val="Arial"/>
    </font>
    <font>
      <sz val="8"/>
      <name val="돋움"/>
      <family val="3"/>
      <charset val="129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0"/>
      <color theme="1"/>
      <name val="Rix모던고딕 M"/>
      <family val="2"/>
      <charset val="129"/>
    </font>
    <font>
      <b/>
      <sz val="9"/>
      <color theme="1"/>
      <name val="맑은 고딕"/>
      <family val="3"/>
      <charset val="129"/>
      <scheme val="minor"/>
    </font>
    <font>
      <sz val="8"/>
      <name val="Rix모던고딕 M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2060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trike/>
      <sz val="9"/>
      <color theme="0" tint="-0.34998626667073579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trike/>
      <sz val="9"/>
      <color theme="0" tint="-0.499984740745262"/>
      <name val="맑은 고딕"/>
      <family val="3"/>
      <charset val="129"/>
      <scheme val="minor"/>
    </font>
    <font>
      <strike/>
      <sz val="9"/>
      <color theme="0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5" fillId="0" borderId="0">
      <alignment vertical="center"/>
    </xf>
  </cellStyleXfs>
  <cellXfs count="95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1" applyFont="1"/>
    <xf numFmtId="0" fontId="4" fillId="0" borderId="0" xfId="1" applyFont="1"/>
    <xf numFmtId="0" fontId="3" fillId="2" borderId="1" xfId="1" applyFont="1" applyFill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3" fillId="6" borderId="1" xfId="0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left" vertical="center"/>
    </xf>
    <xf numFmtId="0" fontId="4" fillId="0" borderId="0" xfId="1" applyFont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0" fontId="12" fillId="0" borderId="6" xfId="2" applyFont="1" applyFill="1" applyBorder="1" applyAlignment="1">
      <alignment horizontal="center" vertical="center"/>
    </xf>
    <xf numFmtId="0" fontId="9" fillId="0" borderId="6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8" borderId="6" xfId="2" applyFont="1" applyFill="1" applyBorder="1" applyAlignment="1">
      <alignment horizontal="center" vertical="center"/>
    </xf>
    <xf numFmtId="0" fontId="11" fillId="0" borderId="6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0" fontId="8" fillId="4" borderId="6" xfId="2" applyFont="1" applyFill="1" applyBorder="1" applyAlignment="1">
      <alignment horizontal="center" vertical="center"/>
    </xf>
    <xf numFmtId="0" fontId="8" fillId="5" borderId="6" xfId="2" applyFont="1" applyFill="1" applyBorder="1" applyAlignment="1">
      <alignment horizontal="center" vertical="center"/>
    </xf>
    <xf numFmtId="176" fontId="8" fillId="0" borderId="6" xfId="2" applyNumberFormat="1" applyFont="1" applyFill="1" applyBorder="1" applyAlignment="1">
      <alignment horizontal="center" vertical="center"/>
    </xf>
    <xf numFmtId="176" fontId="11" fillId="0" borderId="6" xfId="2" applyNumberFormat="1" applyFont="1" applyFill="1" applyBorder="1" applyAlignment="1">
      <alignment horizontal="center" vertical="center"/>
    </xf>
    <xf numFmtId="0" fontId="17" fillId="0" borderId="6" xfId="2" applyFont="1" applyFill="1" applyBorder="1" applyAlignment="1">
      <alignment horizontal="center" vertical="center"/>
    </xf>
    <xf numFmtId="0" fontId="18" fillId="9" borderId="6" xfId="2" applyFont="1" applyFill="1" applyBorder="1" applyAlignment="1">
      <alignment horizontal="center" vertical="center"/>
    </xf>
    <xf numFmtId="0" fontId="19" fillId="9" borderId="6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 wrapText="1"/>
    </xf>
    <xf numFmtId="0" fontId="6" fillId="4" borderId="6" xfId="2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  <xf numFmtId="0" fontId="11" fillId="8" borderId="6" xfId="2" applyFont="1" applyFill="1" applyBorder="1" applyAlignment="1">
      <alignment horizontal="center" vertical="center"/>
    </xf>
    <xf numFmtId="0" fontId="21" fillId="0" borderId="6" xfId="2" applyFont="1" applyFill="1" applyBorder="1" applyAlignment="1">
      <alignment horizontal="center" vertical="center"/>
    </xf>
    <xf numFmtId="0" fontId="9" fillId="9" borderId="6" xfId="2" applyFont="1" applyFill="1" applyBorder="1" applyAlignment="1">
      <alignment horizontal="center" vertical="center"/>
    </xf>
    <xf numFmtId="0" fontId="8" fillId="10" borderId="6" xfId="2" applyFont="1" applyFill="1" applyBorder="1" applyAlignment="1">
      <alignment horizontal="center" vertical="center"/>
    </xf>
    <xf numFmtId="176" fontId="9" fillId="0" borderId="6" xfId="2" applyNumberFormat="1" applyFont="1" applyFill="1" applyBorder="1" applyAlignment="1">
      <alignment horizontal="center" vertical="center"/>
    </xf>
    <xf numFmtId="0" fontId="9" fillId="10" borderId="6" xfId="2" applyFont="1" applyFill="1" applyBorder="1" applyAlignment="1">
      <alignment horizontal="center" vertical="center"/>
    </xf>
    <xf numFmtId="0" fontId="19" fillId="10" borderId="6" xfId="2" applyFont="1" applyFill="1" applyBorder="1" applyAlignment="1">
      <alignment horizontal="center" vertical="center"/>
    </xf>
    <xf numFmtId="0" fontId="13" fillId="0" borderId="6" xfId="2" applyFont="1" applyFill="1" applyBorder="1" applyAlignment="1">
      <alignment horizontal="center" vertical="center"/>
    </xf>
    <xf numFmtId="0" fontId="13" fillId="11" borderId="6" xfId="2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3" borderId="0" xfId="0" pivotButton="1" applyFont="1" applyFill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4" fillId="0" borderId="0" xfId="1" applyFont="1"/>
    <xf numFmtId="0" fontId="3" fillId="3" borderId="0" xfId="1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  <xf numFmtId="0" fontId="10" fillId="0" borderId="7" xfId="2" applyFont="1" applyFill="1" applyBorder="1" applyAlignment="1">
      <alignment horizontal="center" vertical="center"/>
    </xf>
    <xf numFmtId="0" fontId="10" fillId="0" borderId="8" xfId="2" applyFont="1" applyFill="1" applyBorder="1" applyAlignment="1">
      <alignment horizontal="center" vertical="center"/>
    </xf>
    <xf numFmtId="0" fontId="10" fillId="0" borderId="9" xfId="2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 wrapText="1"/>
    </xf>
    <xf numFmtId="0" fontId="6" fillId="4" borderId="6" xfId="2" applyFont="1" applyFill="1" applyBorder="1" applyAlignment="1">
      <alignment horizontal="center" vertical="center"/>
    </xf>
    <xf numFmtId="0" fontId="8" fillId="9" borderId="6" xfId="2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49" fontId="9" fillId="7" borderId="5" xfId="0" applyNumberFormat="1" applyFont="1" applyFill="1" applyBorder="1" applyAlignment="1">
      <alignment horizontal="center" vertical="center"/>
    </xf>
    <xf numFmtId="49" fontId="10" fillId="7" borderId="5" xfId="0" applyNumberFormat="1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49" fontId="10" fillId="7" borderId="5" xfId="0" applyNumberFormat="1" applyFont="1" applyFill="1" applyBorder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vertical="center"/>
    </xf>
    <xf numFmtId="0" fontId="13" fillId="11" borderId="6" xfId="0" applyFont="1" applyFill="1" applyBorder="1" applyAlignment="1">
      <alignment vertical="center"/>
    </xf>
    <xf numFmtId="0" fontId="8" fillId="0" borderId="6" xfId="0" applyFont="1" applyBorder="1" applyAlignment="1">
      <alignment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9" borderId="6" xfId="0" applyFont="1" applyFill="1" applyBorder="1" applyAlignment="1">
      <alignment vertical="center"/>
    </xf>
    <xf numFmtId="0" fontId="8" fillId="9" borderId="6" xfId="0" applyFont="1" applyFill="1" applyBorder="1" applyAlignment="1">
      <alignment vertical="center"/>
    </xf>
    <xf numFmtId="0" fontId="19" fillId="9" borderId="6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22" fillId="0" borderId="6" xfId="2" applyFont="1" applyFill="1" applyBorder="1" applyAlignment="1">
      <alignment horizontal="center" vertical="center"/>
    </xf>
    <xf numFmtId="0" fontId="22" fillId="10" borderId="6" xfId="2" applyFont="1" applyFill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13" fillId="0" borderId="6" xfId="0" applyFont="1" applyFill="1" applyBorder="1" applyAlignment="1">
      <alignment vertical="center"/>
    </xf>
  </cellXfs>
  <cellStyles count="3">
    <cellStyle name="표준" xfId="0" builtinId="0"/>
    <cellStyle name="표준 2" xfId="1"/>
    <cellStyle name="표준 59" xfId="2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5"/>
  <sheetViews>
    <sheetView workbookViewId="0">
      <selection activeCell="N4" sqref="N4"/>
    </sheetView>
  </sheetViews>
  <sheetFormatPr defaultRowHeight="12"/>
  <cols>
    <col min="1" max="1" width="4.140625" style="5" bestFit="1" customWidth="1"/>
    <col min="2" max="2" width="11.85546875" style="5" bestFit="1" customWidth="1"/>
    <col min="3" max="3" width="10.28515625" style="5" bestFit="1" customWidth="1"/>
    <col min="4" max="4" width="8.42578125" style="5" bestFit="1" customWidth="1"/>
    <col min="5" max="5" width="14" style="5" bestFit="1" customWidth="1"/>
    <col min="6" max="6" width="7.42578125" style="5" bestFit="1" customWidth="1"/>
    <col min="7" max="7" width="9.7109375" style="5" bestFit="1" customWidth="1"/>
    <col min="8" max="8" width="10" style="5" bestFit="1" customWidth="1"/>
    <col min="9" max="9" width="13.85546875" style="5" bestFit="1" customWidth="1"/>
    <col min="10" max="10" width="16.140625" style="5" bestFit="1" customWidth="1"/>
    <col min="11" max="11" width="3.5703125" style="6" customWidth="1"/>
    <col min="12" max="12" width="9.140625" style="5"/>
    <col min="13" max="13" width="8.42578125" style="5" bestFit="1" customWidth="1"/>
    <col min="14" max="14" width="7.85546875" style="5" bestFit="1" customWidth="1"/>
    <col min="15" max="15" width="17.7109375" style="4" bestFit="1" customWidth="1"/>
    <col min="16" max="16384" width="9.140625" style="5"/>
  </cols>
  <sheetData>
    <row r="1" spans="1:15">
      <c r="A1" s="50" t="s">
        <v>23</v>
      </c>
      <c r="B1" s="51"/>
      <c r="C1" s="51"/>
      <c r="D1" s="51"/>
      <c r="E1" s="51"/>
      <c r="F1" s="51"/>
      <c r="G1" s="51"/>
      <c r="H1" s="51"/>
      <c r="I1" s="51"/>
      <c r="J1" s="52"/>
      <c r="K1" s="14"/>
    </row>
    <row r="2" spans="1:15">
      <c r="A2" s="53"/>
      <c r="B2" s="53"/>
      <c r="C2" s="53"/>
      <c r="D2" s="53"/>
      <c r="E2" s="53"/>
      <c r="F2" s="53"/>
      <c r="G2" s="53"/>
      <c r="H2" s="53"/>
      <c r="I2" s="53"/>
      <c r="J2" s="53"/>
      <c r="K2" s="14"/>
    </row>
    <row r="3" spans="1:15">
      <c r="A3" s="54" t="s">
        <v>24</v>
      </c>
      <c r="B3" s="53"/>
      <c r="C3" s="54" t="s">
        <v>14</v>
      </c>
      <c r="D3" s="53"/>
      <c r="E3" s="53"/>
      <c r="F3" s="53"/>
      <c r="G3" s="53"/>
      <c r="H3" s="53"/>
      <c r="I3" s="53"/>
      <c r="J3" s="53"/>
      <c r="K3" s="14"/>
    </row>
    <row r="4" spans="1:15" ht="12.75" customHeight="1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4"/>
      <c r="L4" s="49" t="s">
        <v>141</v>
      </c>
      <c r="M4" s="49"/>
      <c r="N4" s="15" t="s">
        <v>142</v>
      </c>
      <c r="O4" s="15" t="s">
        <v>143</v>
      </c>
    </row>
    <row r="5" spans="1:15">
      <c r="A5" s="2">
        <v>7</v>
      </c>
      <c r="B5" s="2" t="s">
        <v>17</v>
      </c>
      <c r="C5" s="2" t="s">
        <v>11</v>
      </c>
      <c r="D5" s="3">
        <v>4</v>
      </c>
      <c r="E5" s="3">
        <v>2</v>
      </c>
      <c r="F5" s="3">
        <v>0</v>
      </c>
      <c r="G5" s="2" t="s">
        <v>12</v>
      </c>
      <c r="H5" s="2" t="s">
        <v>13</v>
      </c>
      <c r="I5" s="2" t="s">
        <v>14</v>
      </c>
      <c r="J5" s="2"/>
      <c r="K5" s="14"/>
      <c r="L5" s="2" t="s">
        <v>91</v>
      </c>
      <c r="M5" s="3">
        <v>4</v>
      </c>
      <c r="N5" s="2">
        <f>COUNTIF($D$5:$D$15,M5)</f>
        <v>1</v>
      </c>
      <c r="O5" s="13" t="str">
        <f t="array" ref="O5">INDEX(opt!$D$3:'opt'!$F$78, MATCH(L5&amp;M5,opt!$D$3:'opt'!$D78&amp;opt!$E$3:'opt'!$E$78,0),3)</f>
        <v>상품선물옵션시세</v>
      </c>
    </row>
    <row r="6" spans="1:15">
      <c r="A6" s="2">
        <v>1</v>
      </c>
      <c r="B6" s="2" t="s">
        <v>10</v>
      </c>
      <c r="C6" s="2" t="s">
        <v>11</v>
      </c>
      <c r="D6" s="3">
        <v>13</v>
      </c>
      <c r="E6" s="3">
        <v>2</v>
      </c>
      <c r="F6" s="3">
        <v>2</v>
      </c>
      <c r="G6" s="2" t="s">
        <v>12</v>
      </c>
      <c r="H6" s="2" t="s">
        <v>13</v>
      </c>
      <c r="I6" s="2" t="s">
        <v>14</v>
      </c>
      <c r="J6" s="2" t="s">
        <v>14</v>
      </c>
      <c r="K6" s="14"/>
      <c r="L6" s="2" t="s">
        <v>91</v>
      </c>
      <c r="M6" s="3">
        <v>13</v>
      </c>
      <c r="N6" s="2">
        <f t="shared" ref="N6:N9" si="0">COUNTIF($D$5:$D$15,M6)</f>
        <v>7</v>
      </c>
      <c r="O6" s="13" t="str">
        <f t="array" ref="O6">INDEX(opt!$D$3:'opt'!$F$78, MATCH(L6&amp;M6,opt!$D$3:'opt'!$D79&amp;opt!$E$3:'opt'!$E$78,0),3)</f>
        <v>S&amp;P DowJones 지수</v>
      </c>
    </row>
    <row r="7" spans="1:15">
      <c r="A7" s="2">
        <v>2</v>
      </c>
      <c r="B7" s="2" t="s">
        <v>15</v>
      </c>
      <c r="C7" s="2" t="s">
        <v>11</v>
      </c>
      <c r="D7" s="3">
        <v>13</v>
      </c>
      <c r="E7" s="3">
        <v>2</v>
      </c>
      <c r="F7" s="3">
        <v>2</v>
      </c>
      <c r="G7" s="2" t="s">
        <v>12</v>
      </c>
      <c r="H7" s="2" t="s">
        <v>13</v>
      </c>
      <c r="I7" s="2" t="s">
        <v>14</v>
      </c>
      <c r="J7" s="2" t="s">
        <v>14</v>
      </c>
      <c r="K7" s="14"/>
      <c r="L7" s="2" t="s">
        <v>91</v>
      </c>
      <c r="M7" s="3">
        <v>14</v>
      </c>
      <c r="N7" s="2">
        <f t="shared" si="0"/>
        <v>1</v>
      </c>
      <c r="O7" s="13" t="str">
        <f t="array" ref="O7">INDEX(opt!$D$3:'opt'!$F$78, MATCH(L7&amp;M7,opt!$D$3:'opt'!$D80&amp;opt!$E$3:'opt'!$E$78,0),3)</f>
        <v>Nikkei 지수</v>
      </c>
    </row>
    <row r="8" spans="1:15">
      <c r="A8" s="2">
        <v>3</v>
      </c>
      <c r="B8" s="2" t="s">
        <v>16</v>
      </c>
      <c r="C8" s="2" t="s">
        <v>11</v>
      </c>
      <c r="D8" s="3">
        <v>13</v>
      </c>
      <c r="E8" s="3">
        <v>2</v>
      </c>
      <c r="F8" s="3">
        <v>2</v>
      </c>
      <c r="G8" s="2" t="s">
        <v>12</v>
      </c>
      <c r="H8" s="2" t="s">
        <v>13</v>
      </c>
      <c r="I8" s="2" t="s">
        <v>14</v>
      </c>
      <c r="J8" s="2" t="s">
        <v>14</v>
      </c>
      <c r="K8" s="14"/>
      <c r="L8" s="2" t="s">
        <v>91</v>
      </c>
      <c r="M8" s="3">
        <v>20</v>
      </c>
      <c r="N8" s="2">
        <f t="shared" si="0"/>
        <v>1</v>
      </c>
      <c r="O8" s="13" t="str">
        <f t="array" ref="O8">INDEX(opt!$D$3:'opt'!$F$78, MATCH(L8&amp;M8,opt!$D$3:'opt'!$D81&amp;opt!$E$3:'opt'!$E$78,0),3)</f>
        <v>CME 종목(Full)</v>
      </c>
    </row>
    <row r="9" spans="1:15">
      <c r="A9" s="2">
        <v>8</v>
      </c>
      <c r="B9" s="2" t="s">
        <v>18</v>
      </c>
      <c r="C9" s="2" t="s">
        <v>11</v>
      </c>
      <c r="D9" s="3">
        <v>13</v>
      </c>
      <c r="E9" s="3">
        <v>2</v>
      </c>
      <c r="F9" s="3">
        <v>2</v>
      </c>
      <c r="G9" s="2" t="s">
        <v>12</v>
      </c>
      <c r="H9" s="2" t="s">
        <v>13</v>
      </c>
      <c r="I9" s="2" t="s">
        <v>14</v>
      </c>
      <c r="J9" s="2" t="s">
        <v>14</v>
      </c>
      <c r="K9" s="14"/>
      <c r="L9" s="2" t="s">
        <v>91</v>
      </c>
      <c r="M9" s="3">
        <v>21</v>
      </c>
      <c r="N9" s="2">
        <f t="shared" si="0"/>
        <v>1</v>
      </c>
      <c r="O9" s="13" t="str">
        <f t="array" ref="O9">INDEX(opt!$D$3:'opt'!$F$78, MATCH(L9&amp;M9,opt!$D$3:'opt'!$D82&amp;opt!$E$3:'opt'!$E$78,0),3)</f>
        <v>CME-Mini</v>
      </c>
    </row>
    <row r="10" spans="1:15">
      <c r="A10" s="2">
        <v>9</v>
      </c>
      <c r="B10" s="2" t="s">
        <v>19</v>
      </c>
      <c r="C10" s="2" t="s">
        <v>11</v>
      </c>
      <c r="D10" s="3">
        <v>13</v>
      </c>
      <c r="E10" s="3">
        <v>2</v>
      </c>
      <c r="F10" s="3">
        <v>2</v>
      </c>
      <c r="G10" s="2" t="s">
        <v>12</v>
      </c>
      <c r="H10" s="2" t="s">
        <v>13</v>
      </c>
      <c r="I10" s="2" t="s">
        <v>14</v>
      </c>
      <c r="J10" s="2" t="s">
        <v>14</v>
      </c>
      <c r="K10" s="14"/>
      <c r="L10" s="49" t="s">
        <v>144</v>
      </c>
      <c r="M10" s="49"/>
      <c r="N10" s="2">
        <f>SUM(N5:N9)</f>
        <v>11</v>
      </c>
      <c r="O10" s="13"/>
    </row>
    <row r="11" spans="1:15">
      <c r="A11" s="2">
        <v>10</v>
      </c>
      <c r="B11" s="2" t="s">
        <v>20</v>
      </c>
      <c r="C11" s="2" t="s">
        <v>11</v>
      </c>
      <c r="D11" s="3">
        <v>13</v>
      </c>
      <c r="E11" s="3">
        <v>2</v>
      </c>
      <c r="F11" s="3">
        <v>2</v>
      </c>
      <c r="G11" s="2" t="s">
        <v>12</v>
      </c>
      <c r="H11" s="2" t="s">
        <v>13</v>
      </c>
      <c r="I11" s="2" t="s">
        <v>14</v>
      </c>
      <c r="J11" s="2" t="s">
        <v>14</v>
      </c>
      <c r="K11" s="14"/>
    </row>
    <row r="12" spans="1:15">
      <c r="A12" s="2">
        <v>11</v>
      </c>
      <c r="B12" s="2" t="s">
        <v>21</v>
      </c>
      <c r="C12" s="2" t="s">
        <v>11</v>
      </c>
      <c r="D12" s="3">
        <v>13</v>
      </c>
      <c r="E12" s="3">
        <v>2</v>
      </c>
      <c r="F12" s="3">
        <v>2</v>
      </c>
      <c r="G12" s="2" t="s">
        <v>22</v>
      </c>
      <c r="H12" s="2" t="s">
        <v>13</v>
      </c>
      <c r="I12" s="2" t="s">
        <v>14</v>
      </c>
      <c r="J12" s="2" t="s">
        <v>14</v>
      </c>
      <c r="K12" s="14"/>
    </row>
    <row r="13" spans="1:15">
      <c r="A13" s="2">
        <v>4</v>
      </c>
      <c r="B13" s="2" t="s">
        <v>16</v>
      </c>
      <c r="C13" s="2" t="s">
        <v>11</v>
      </c>
      <c r="D13" s="3">
        <v>14</v>
      </c>
      <c r="E13" s="3">
        <v>2</v>
      </c>
      <c r="F13" s="3">
        <v>2</v>
      </c>
      <c r="G13" s="2" t="s">
        <v>12</v>
      </c>
      <c r="H13" s="2" t="s">
        <v>13</v>
      </c>
      <c r="I13" s="2" t="s">
        <v>14</v>
      </c>
      <c r="J13" s="2" t="s">
        <v>14</v>
      </c>
      <c r="K13" s="14"/>
    </row>
    <row r="14" spans="1:15">
      <c r="A14" s="2">
        <v>5</v>
      </c>
      <c r="B14" s="2" t="s">
        <v>16</v>
      </c>
      <c r="C14" s="2" t="s">
        <v>11</v>
      </c>
      <c r="D14" s="3">
        <v>20</v>
      </c>
      <c r="E14" s="3">
        <v>2</v>
      </c>
      <c r="F14" s="3">
        <v>1</v>
      </c>
      <c r="G14" s="2" t="s">
        <v>12</v>
      </c>
      <c r="H14" s="2" t="s">
        <v>13</v>
      </c>
      <c r="I14" s="2" t="s">
        <v>14</v>
      </c>
      <c r="J14" s="2" t="s">
        <v>14</v>
      </c>
      <c r="K14" s="14"/>
    </row>
    <row r="15" spans="1:15">
      <c r="A15" s="2">
        <v>6</v>
      </c>
      <c r="B15" s="2" t="s">
        <v>16</v>
      </c>
      <c r="C15" s="2" t="s">
        <v>11</v>
      </c>
      <c r="D15" s="3">
        <v>21</v>
      </c>
      <c r="E15" s="3">
        <v>2</v>
      </c>
      <c r="F15" s="3">
        <v>1</v>
      </c>
      <c r="G15" s="2" t="s">
        <v>12</v>
      </c>
      <c r="H15" s="2" t="s">
        <v>13</v>
      </c>
      <c r="I15" s="2" t="s">
        <v>14</v>
      </c>
      <c r="J15" s="2" t="s">
        <v>14</v>
      </c>
      <c r="K15" s="14"/>
    </row>
  </sheetData>
  <mergeCells count="6">
    <mergeCell ref="L10:M10"/>
    <mergeCell ref="A1:J1"/>
    <mergeCell ref="A2:J2"/>
    <mergeCell ref="A3:B3"/>
    <mergeCell ref="C3:J3"/>
    <mergeCell ref="L4:M4"/>
  </mergeCells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O86"/>
  <sheetViews>
    <sheetView workbookViewId="0">
      <selection activeCell="O8" sqref="O8"/>
    </sheetView>
  </sheetViews>
  <sheetFormatPr defaultRowHeight="12"/>
  <cols>
    <col min="1" max="1" width="4.140625" style="7" bestFit="1" customWidth="1"/>
    <col min="2" max="2" width="12.85546875" style="7" bestFit="1" customWidth="1"/>
    <col min="3" max="3" width="10.28515625" style="7" bestFit="1" customWidth="1"/>
    <col min="4" max="4" width="8.42578125" style="7" bestFit="1" customWidth="1"/>
    <col min="5" max="5" width="14" style="7" bestFit="1" customWidth="1"/>
    <col min="6" max="6" width="7.42578125" style="7" bestFit="1" customWidth="1"/>
    <col min="7" max="7" width="9.7109375" style="7" bestFit="1" customWidth="1"/>
    <col min="8" max="8" width="10" style="7" bestFit="1" customWidth="1"/>
    <col min="9" max="9" width="13.85546875" style="7" bestFit="1" customWidth="1"/>
    <col min="10" max="10" width="16.140625" style="7" bestFit="1" customWidth="1"/>
    <col min="11" max="11" width="5" style="8" customWidth="1"/>
    <col min="12" max="12" width="9.140625" style="7"/>
    <col min="13" max="13" width="8.140625" style="7" bestFit="1" customWidth="1"/>
    <col min="14" max="14" width="7.42578125" style="7" bestFit="1" customWidth="1"/>
    <col min="15" max="15" width="24.85546875" style="7" bestFit="1" customWidth="1"/>
    <col min="16" max="16384" width="9.140625" style="7"/>
  </cols>
  <sheetData>
    <row r="1" spans="1:15" ht="13.5" thickTop="1" thickBot="1">
      <c r="A1" s="55" t="s">
        <v>23</v>
      </c>
      <c r="B1" s="56"/>
      <c r="C1" s="56"/>
      <c r="D1" s="56"/>
      <c r="E1" s="56"/>
      <c r="F1" s="56"/>
      <c r="G1" s="56"/>
      <c r="H1" s="56"/>
      <c r="I1" s="56"/>
      <c r="J1" s="57"/>
      <c r="K1" s="17"/>
    </row>
    <row r="2" spans="1:15" ht="12.75" thickTop="1">
      <c r="A2" s="58"/>
      <c r="B2" s="58"/>
      <c r="C2" s="58"/>
      <c r="D2" s="58"/>
      <c r="E2" s="58"/>
      <c r="F2" s="58"/>
      <c r="G2" s="58"/>
      <c r="H2" s="58"/>
      <c r="I2" s="58"/>
      <c r="J2" s="58"/>
      <c r="K2" s="17"/>
    </row>
    <row r="3" spans="1:15">
      <c r="A3" s="59" t="s">
        <v>25</v>
      </c>
      <c r="B3" s="60"/>
      <c r="C3" s="59" t="s">
        <v>14</v>
      </c>
      <c r="D3" s="60"/>
      <c r="E3" s="60"/>
      <c r="F3" s="60"/>
      <c r="G3" s="60"/>
      <c r="H3" s="60"/>
      <c r="I3" s="60"/>
      <c r="J3" s="60"/>
      <c r="K3" s="17"/>
      <c r="L3" s="10"/>
      <c r="M3" s="10"/>
      <c r="N3" s="10"/>
      <c r="O3" s="10"/>
    </row>
    <row r="4" spans="1:15">
      <c r="A4" s="9" t="s">
        <v>0</v>
      </c>
      <c r="B4" s="9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9" t="s">
        <v>9</v>
      </c>
      <c r="K4" s="17"/>
      <c r="L4" s="49" t="s">
        <v>145</v>
      </c>
      <c r="M4" s="49" t="s">
        <v>94</v>
      </c>
      <c r="N4" s="15" t="s">
        <v>142</v>
      </c>
      <c r="O4" s="15" t="s">
        <v>143</v>
      </c>
    </row>
    <row r="5" spans="1:15">
      <c r="A5" s="12">
        <v>52</v>
      </c>
      <c r="B5" s="12" t="s">
        <v>17</v>
      </c>
      <c r="C5" s="12" t="s">
        <v>11</v>
      </c>
      <c r="D5" s="11">
        <v>2</v>
      </c>
      <c r="E5" s="11">
        <v>3</v>
      </c>
      <c r="F5" s="11">
        <v>2</v>
      </c>
      <c r="G5" s="12" t="s">
        <v>12</v>
      </c>
      <c r="H5" s="12" t="s">
        <v>13</v>
      </c>
      <c r="I5" s="12" t="s">
        <v>14</v>
      </c>
      <c r="J5" s="12" t="s">
        <v>14</v>
      </c>
      <c r="K5" s="17"/>
      <c r="L5" s="12" t="s">
        <v>91</v>
      </c>
      <c r="M5" s="11">
        <v>2</v>
      </c>
      <c r="N5" s="12">
        <f>COUNTIF($D$5:$D$86, M5)</f>
        <v>1</v>
      </c>
      <c r="O5" s="16" t="str">
        <f t="array" ref="O5">INDEX(opt!$D$3:'opt'!$F$78, MATCH(L5&amp;M5,opt!$D$3:'opt'!$D78&amp;opt!$E$3:'opt'!$E$78,0),3)</f>
        <v>코스닥시세</v>
      </c>
    </row>
    <row r="6" spans="1:15">
      <c r="A6" s="12">
        <v>41</v>
      </c>
      <c r="B6" s="12" t="s">
        <v>59</v>
      </c>
      <c r="C6" s="12" t="s">
        <v>11</v>
      </c>
      <c r="D6" s="11">
        <v>3</v>
      </c>
      <c r="E6" s="11">
        <v>3</v>
      </c>
      <c r="F6" s="11">
        <v>0</v>
      </c>
      <c r="G6" s="12" t="s">
        <v>12</v>
      </c>
      <c r="H6" s="12" t="s">
        <v>13</v>
      </c>
      <c r="I6" s="12" t="s">
        <v>14</v>
      </c>
      <c r="J6" s="12" t="s">
        <v>14</v>
      </c>
      <c r="K6" s="17"/>
      <c r="L6" s="12" t="s">
        <v>91</v>
      </c>
      <c r="M6" s="11">
        <v>3</v>
      </c>
      <c r="N6" s="12">
        <f t="shared" ref="N6:N17" si="0">COUNTIF($D$5:$D$86, M6)</f>
        <v>1</v>
      </c>
      <c r="O6" s="16" t="str">
        <f t="array" ref="O6">INDEX(opt!$D$3:'opt'!$F$78, MATCH(L6&amp;M6,opt!$D$3:'opt'!$D79&amp;opt!$E$3:'opt'!$E$78,0),3)</f>
        <v>K200선물옵션시세</v>
      </c>
    </row>
    <row r="7" spans="1:15">
      <c r="A7" s="12">
        <v>1</v>
      </c>
      <c r="B7" s="12" t="s">
        <v>26</v>
      </c>
      <c r="C7" s="12" t="s">
        <v>11</v>
      </c>
      <c r="D7" s="11">
        <v>4</v>
      </c>
      <c r="E7" s="11">
        <v>3</v>
      </c>
      <c r="F7" s="11">
        <v>0</v>
      </c>
      <c r="G7" s="12" t="s">
        <v>12</v>
      </c>
      <c r="H7" s="12" t="s">
        <v>13</v>
      </c>
      <c r="I7" s="12" t="s">
        <v>14</v>
      </c>
      <c r="J7" s="12" t="s">
        <v>14</v>
      </c>
      <c r="K7" s="17"/>
      <c r="L7" s="12" t="s">
        <v>91</v>
      </c>
      <c r="M7" s="11">
        <v>4</v>
      </c>
      <c r="N7" s="12">
        <f t="shared" si="0"/>
        <v>39</v>
      </c>
      <c r="O7" s="16" t="str">
        <f t="array" ref="O7">INDEX(opt!$D$3:'opt'!$F$78, MATCH(L7&amp;M7,opt!$D$3:'opt'!$D80&amp;opt!$E$3:'opt'!$E$78,0),3)</f>
        <v>상품선물옵션시세</v>
      </c>
    </row>
    <row r="8" spans="1:15">
      <c r="A8" s="12">
        <v>3</v>
      </c>
      <c r="B8" s="12" t="s">
        <v>28</v>
      </c>
      <c r="C8" s="12" t="s">
        <v>11</v>
      </c>
      <c r="D8" s="11">
        <v>4</v>
      </c>
      <c r="E8" s="11">
        <v>3</v>
      </c>
      <c r="F8" s="11">
        <v>0</v>
      </c>
      <c r="G8" s="12" t="s">
        <v>12</v>
      </c>
      <c r="H8" s="12" t="s">
        <v>13</v>
      </c>
      <c r="I8" s="12" t="s">
        <v>14</v>
      </c>
      <c r="J8" s="12" t="s">
        <v>14</v>
      </c>
      <c r="K8" s="17"/>
      <c r="L8" s="12" t="s">
        <v>91</v>
      </c>
      <c r="M8" s="11">
        <v>16</v>
      </c>
      <c r="N8" s="12">
        <f t="shared" si="0"/>
        <v>1</v>
      </c>
      <c r="O8" s="16" t="str">
        <f t="array" ref="O8">INDEX(opt!$D$3:'opt'!$F$78, MATCH(L8&amp;M8,opt!$D$3:'opt'!$D81&amp;opt!$E$3:'opt'!$E$78,0),3)</f>
        <v>HSI(항생index) 지수</v>
      </c>
    </row>
    <row r="9" spans="1:15">
      <c r="A9" s="12">
        <v>6</v>
      </c>
      <c r="B9" s="12" t="s">
        <v>29</v>
      </c>
      <c r="C9" s="12" t="s">
        <v>11</v>
      </c>
      <c r="D9" s="11">
        <v>4</v>
      </c>
      <c r="E9" s="11">
        <v>3</v>
      </c>
      <c r="F9" s="11">
        <v>0</v>
      </c>
      <c r="G9" s="12" t="s">
        <v>12</v>
      </c>
      <c r="H9" s="12" t="s">
        <v>13</v>
      </c>
      <c r="I9" s="12" t="s">
        <v>14</v>
      </c>
      <c r="J9" s="12" t="s">
        <v>14</v>
      </c>
      <c r="K9" s="17"/>
      <c r="L9" s="12" t="s">
        <v>91</v>
      </c>
      <c r="M9" s="11">
        <v>17</v>
      </c>
      <c r="N9" s="12">
        <f t="shared" si="0"/>
        <v>2</v>
      </c>
      <c r="O9" s="16" t="str">
        <f t="array" ref="O9">INDEX(opt!$D$3:'opt'!$F$78, MATCH(L9&amp;M9,opt!$D$3:'opt'!$D82&amp;opt!$E$3:'opt'!$E$78,0),3)</f>
        <v>SSE(상해) 지수</v>
      </c>
    </row>
    <row r="10" spans="1:15">
      <c r="A10" s="12">
        <v>14</v>
      </c>
      <c r="B10" s="12" t="s">
        <v>33</v>
      </c>
      <c r="C10" s="12" t="s">
        <v>11</v>
      </c>
      <c r="D10" s="11">
        <v>4</v>
      </c>
      <c r="E10" s="11">
        <v>3</v>
      </c>
      <c r="F10" s="11">
        <v>0</v>
      </c>
      <c r="G10" s="12" t="s">
        <v>12</v>
      </c>
      <c r="H10" s="12" t="s">
        <v>13</v>
      </c>
      <c r="I10" s="12" t="s">
        <v>14</v>
      </c>
      <c r="J10" s="12" t="s">
        <v>14</v>
      </c>
      <c r="K10" s="17"/>
      <c r="L10" s="12" t="s">
        <v>91</v>
      </c>
      <c r="M10" s="11">
        <v>18</v>
      </c>
      <c r="N10" s="12">
        <f t="shared" si="0"/>
        <v>1</v>
      </c>
      <c r="O10" s="16" t="str">
        <f t="array" ref="O10">INDEX(opt!$D$3:'opt'!$F$78, MATCH(L10&amp;M10,opt!$D$3:'opt'!$D83&amp;opt!$E$3:'opt'!$E$78,0),3)</f>
        <v>SZSE(심천) 지수</v>
      </c>
    </row>
    <row r="11" spans="1:15">
      <c r="A11" s="12">
        <v>17</v>
      </c>
      <c r="B11" s="12" t="s">
        <v>38</v>
      </c>
      <c r="C11" s="12" t="s">
        <v>11</v>
      </c>
      <c r="D11" s="11">
        <v>4</v>
      </c>
      <c r="E11" s="11">
        <v>3</v>
      </c>
      <c r="F11" s="11">
        <v>0</v>
      </c>
      <c r="G11" s="12" t="s">
        <v>12</v>
      </c>
      <c r="H11" s="12" t="s">
        <v>39</v>
      </c>
      <c r="I11" s="12" t="s">
        <v>14</v>
      </c>
      <c r="J11" s="12" t="s">
        <v>14</v>
      </c>
      <c r="K11" s="17"/>
      <c r="L11" s="12" t="s">
        <v>91</v>
      </c>
      <c r="M11" s="11">
        <v>20</v>
      </c>
      <c r="N11" s="12">
        <f t="shared" si="0"/>
        <v>1</v>
      </c>
      <c r="O11" s="16" t="str">
        <f t="array" ref="O11">INDEX(opt!$D$3:'opt'!$F$78, MATCH(L11&amp;M11,opt!$D$3:'opt'!$D84&amp;opt!$E$3:'opt'!$E$78,0),3)</f>
        <v>CME 종목(Full)</v>
      </c>
    </row>
    <row r="12" spans="1:15">
      <c r="A12" s="12">
        <v>18</v>
      </c>
      <c r="B12" s="12" t="s">
        <v>40</v>
      </c>
      <c r="C12" s="12" t="s">
        <v>11</v>
      </c>
      <c r="D12" s="11">
        <v>4</v>
      </c>
      <c r="E12" s="11">
        <v>3</v>
      </c>
      <c r="F12" s="11">
        <v>0</v>
      </c>
      <c r="G12" s="12" t="s">
        <v>12</v>
      </c>
      <c r="H12" s="12" t="s">
        <v>13</v>
      </c>
      <c r="I12" s="12" t="s">
        <v>14</v>
      </c>
      <c r="J12" s="12" t="s">
        <v>14</v>
      </c>
      <c r="K12" s="17"/>
      <c r="L12" s="12" t="s">
        <v>91</v>
      </c>
      <c r="M12" s="11">
        <v>21</v>
      </c>
      <c r="N12" s="12">
        <f t="shared" si="0"/>
        <v>2</v>
      </c>
      <c r="O12" s="16" t="str">
        <f t="array" ref="O12">INDEX(opt!$D$3:'opt'!$F$78, MATCH(L12&amp;M12,opt!$D$3:'opt'!$D85&amp;opt!$E$3:'opt'!$E$78,0),3)</f>
        <v>CME-Mini</v>
      </c>
    </row>
    <row r="13" spans="1:15">
      <c r="A13" s="12">
        <v>19</v>
      </c>
      <c r="B13" s="12" t="s">
        <v>41</v>
      </c>
      <c r="C13" s="12" t="s">
        <v>11</v>
      </c>
      <c r="D13" s="11">
        <v>4</v>
      </c>
      <c r="E13" s="11">
        <v>3</v>
      </c>
      <c r="F13" s="11">
        <v>0</v>
      </c>
      <c r="G13" s="12" t="s">
        <v>12</v>
      </c>
      <c r="H13" s="12" t="s">
        <v>13</v>
      </c>
      <c r="I13" s="12" t="s">
        <v>14</v>
      </c>
      <c r="J13" s="12" t="s">
        <v>14</v>
      </c>
      <c r="K13" s="17"/>
      <c r="L13" s="12" t="s">
        <v>91</v>
      </c>
      <c r="M13" s="11">
        <v>23</v>
      </c>
      <c r="N13" s="12">
        <f t="shared" si="0"/>
        <v>3</v>
      </c>
      <c r="O13" s="16" t="str">
        <f t="array" ref="O13">INDEX(opt!$D$3:'opt'!$F$78, MATCH(L13&amp;M13,opt!$D$3:'opt'!$D86&amp;opt!$E$3:'opt'!$E$78,0),3)</f>
        <v>Eurex 종목 level1</v>
      </c>
    </row>
    <row r="14" spans="1:15">
      <c r="A14" s="12">
        <v>22</v>
      </c>
      <c r="B14" s="12" t="s">
        <v>42</v>
      </c>
      <c r="C14" s="12" t="s">
        <v>11</v>
      </c>
      <c r="D14" s="11">
        <v>4</v>
      </c>
      <c r="E14" s="11">
        <v>3</v>
      </c>
      <c r="F14" s="11">
        <v>0</v>
      </c>
      <c r="G14" s="12" t="s">
        <v>12</v>
      </c>
      <c r="H14" s="12" t="s">
        <v>13</v>
      </c>
      <c r="I14" s="12" t="s">
        <v>14</v>
      </c>
      <c r="J14" s="12" t="s">
        <v>14</v>
      </c>
      <c r="K14" s="17"/>
      <c r="L14" s="12" t="s">
        <v>91</v>
      </c>
      <c r="M14" s="11">
        <v>24</v>
      </c>
      <c r="N14" s="12">
        <f t="shared" si="0"/>
        <v>12</v>
      </c>
      <c r="O14" s="16" t="str">
        <f t="array" ref="O14">INDEX(opt!$D$3:'opt'!$F$78, MATCH(L14&amp;M14,opt!$D$3:'opt'!$D87&amp;opt!$E$3:'opt'!$E$78,0),3)</f>
        <v>Tullett Prebon 해외국채금리</v>
      </c>
    </row>
    <row r="15" spans="1:15">
      <c r="A15" s="12">
        <v>23</v>
      </c>
      <c r="B15" s="12" t="s">
        <v>43</v>
      </c>
      <c r="C15" s="12" t="s">
        <v>11</v>
      </c>
      <c r="D15" s="11">
        <v>4</v>
      </c>
      <c r="E15" s="11">
        <v>3</v>
      </c>
      <c r="F15" s="11">
        <v>0</v>
      </c>
      <c r="G15" s="12" t="s">
        <v>12</v>
      </c>
      <c r="H15" s="12" t="s">
        <v>13</v>
      </c>
      <c r="I15" s="12" t="s">
        <v>14</v>
      </c>
      <c r="J15" s="12" t="s">
        <v>14</v>
      </c>
      <c r="K15" s="17"/>
      <c r="L15" s="12" t="s">
        <v>91</v>
      </c>
      <c r="M15" s="11">
        <v>25</v>
      </c>
      <c r="N15" s="12">
        <f t="shared" si="0"/>
        <v>16</v>
      </c>
      <c r="O15" s="16" t="str">
        <f t="array" ref="O15">INDEX(opt!$D$3:'opt'!$F$78, MATCH(L15&amp;M15,opt!$D$3:'opt'!$D88&amp;opt!$E$3:'opt'!$E$78,0),3)</f>
        <v>Tullett Prebon Swaps</v>
      </c>
    </row>
    <row r="16" spans="1:15">
      <c r="A16" s="12">
        <v>25</v>
      </c>
      <c r="B16" s="12" t="s">
        <v>45</v>
      </c>
      <c r="C16" s="12" t="s">
        <v>11</v>
      </c>
      <c r="D16" s="11">
        <v>4</v>
      </c>
      <c r="E16" s="11">
        <v>3</v>
      </c>
      <c r="F16" s="11">
        <v>0</v>
      </c>
      <c r="G16" s="12" t="s">
        <v>12</v>
      </c>
      <c r="H16" s="12" t="s">
        <v>39</v>
      </c>
      <c r="I16" s="12" t="s">
        <v>14</v>
      </c>
      <c r="J16" s="12" t="s">
        <v>14</v>
      </c>
      <c r="K16" s="17"/>
      <c r="L16" s="12" t="s">
        <v>91</v>
      </c>
      <c r="M16" s="11">
        <v>26</v>
      </c>
      <c r="N16" s="12">
        <f t="shared" si="0"/>
        <v>2</v>
      </c>
      <c r="O16" s="16" t="str">
        <f t="array" ref="O16">INDEX(opt!$D$3:'opt'!$F$78, MATCH(L16&amp;M16,opt!$D$3:'opt'!$D89&amp;opt!$E$3:'opt'!$E$78,0),3)</f>
        <v>ICE LIBOR</v>
      </c>
    </row>
    <row r="17" spans="1:15">
      <c r="A17" s="12">
        <v>28</v>
      </c>
      <c r="B17" s="12" t="s">
        <v>47</v>
      </c>
      <c r="C17" s="12" t="s">
        <v>11</v>
      </c>
      <c r="D17" s="11">
        <v>4</v>
      </c>
      <c r="E17" s="11">
        <v>3</v>
      </c>
      <c r="F17" s="11">
        <v>0</v>
      </c>
      <c r="G17" s="12" t="s">
        <v>12</v>
      </c>
      <c r="H17" s="12" t="s">
        <v>39</v>
      </c>
      <c r="I17" s="12" t="s">
        <v>14</v>
      </c>
      <c r="J17" s="12" t="s">
        <v>14</v>
      </c>
      <c r="K17" s="17"/>
      <c r="L17" s="12" t="s">
        <v>91</v>
      </c>
      <c r="M17" s="11">
        <v>28</v>
      </c>
      <c r="N17" s="12">
        <f t="shared" si="0"/>
        <v>1</v>
      </c>
      <c r="O17" s="16" t="str">
        <f t="array" ref="O17">INDEX(opt!$D$3:'opt'!$F$78, MATCH(L17&amp;M17,opt!$D$3:'opt'!$D90&amp;opt!$E$3:'opt'!$E$78,0),3)</f>
        <v>KRX유동비율</v>
      </c>
    </row>
    <row r="18" spans="1:15">
      <c r="A18" s="12">
        <v>29</v>
      </c>
      <c r="B18" s="12" t="s">
        <v>48</v>
      </c>
      <c r="C18" s="12" t="s">
        <v>11</v>
      </c>
      <c r="D18" s="11">
        <v>4</v>
      </c>
      <c r="E18" s="11">
        <v>3</v>
      </c>
      <c r="F18" s="11">
        <v>0</v>
      </c>
      <c r="G18" s="12" t="s">
        <v>12</v>
      </c>
      <c r="H18" s="12" t="s">
        <v>13</v>
      </c>
      <c r="I18" s="12" t="s">
        <v>14</v>
      </c>
      <c r="J18" s="12" t="s">
        <v>14</v>
      </c>
      <c r="K18" s="17"/>
      <c r="L18" s="49" t="s">
        <v>146</v>
      </c>
      <c r="M18" s="49"/>
      <c r="N18" s="12">
        <f>SUM(N5:N17)</f>
        <v>82</v>
      </c>
      <c r="O18" s="12"/>
    </row>
    <row r="19" spans="1:15">
      <c r="A19" s="12">
        <v>33</v>
      </c>
      <c r="B19" s="12" t="s">
        <v>50</v>
      </c>
      <c r="C19" s="12" t="s">
        <v>11</v>
      </c>
      <c r="D19" s="11">
        <v>4</v>
      </c>
      <c r="E19" s="11">
        <v>3</v>
      </c>
      <c r="F19" s="11">
        <v>0</v>
      </c>
      <c r="G19" s="12" t="s">
        <v>12</v>
      </c>
      <c r="H19" s="12" t="s">
        <v>13</v>
      </c>
      <c r="I19" s="12" t="s">
        <v>14</v>
      </c>
      <c r="J19" s="12" t="s">
        <v>14</v>
      </c>
      <c r="K19" s="17"/>
      <c r="L19" s="10"/>
      <c r="M19" s="10"/>
      <c r="N19" s="10"/>
      <c r="O19" s="10"/>
    </row>
    <row r="20" spans="1:15">
      <c r="A20" s="12">
        <v>34</v>
      </c>
      <c r="B20" s="12" t="s">
        <v>51</v>
      </c>
      <c r="C20" s="12" t="s">
        <v>11</v>
      </c>
      <c r="D20" s="11">
        <v>4</v>
      </c>
      <c r="E20" s="11">
        <v>3</v>
      </c>
      <c r="F20" s="11">
        <v>0</v>
      </c>
      <c r="G20" s="12" t="s">
        <v>12</v>
      </c>
      <c r="H20" s="12" t="s">
        <v>13</v>
      </c>
      <c r="I20" s="12" t="s">
        <v>14</v>
      </c>
      <c r="J20" s="12" t="s">
        <v>14</v>
      </c>
      <c r="K20" s="17"/>
      <c r="L20" s="10"/>
      <c r="M20" s="10"/>
      <c r="N20" s="10"/>
      <c r="O20" s="10"/>
    </row>
    <row r="21" spans="1:15">
      <c r="A21" s="12">
        <v>35</v>
      </c>
      <c r="B21" s="12" t="s">
        <v>52</v>
      </c>
      <c r="C21" s="12" t="s">
        <v>11</v>
      </c>
      <c r="D21" s="11">
        <v>4</v>
      </c>
      <c r="E21" s="11">
        <v>3</v>
      </c>
      <c r="F21" s="11">
        <v>0</v>
      </c>
      <c r="G21" s="12" t="s">
        <v>12</v>
      </c>
      <c r="H21" s="12" t="s">
        <v>13</v>
      </c>
      <c r="I21" s="12" t="s">
        <v>14</v>
      </c>
      <c r="J21" s="12" t="s">
        <v>14</v>
      </c>
      <c r="K21" s="17"/>
      <c r="L21" s="10"/>
      <c r="M21" s="10"/>
      <c r="N21" s="10"/>
      <c r="O21" s="10"/>
    </row>
    <row r="22" spans="1:15">
      <c r="A22" s="12">
        <v>38</v>
      </c>
      <c r="B22" s="12" t="s">
        <v>55</v>
      </c>
      <c r="C22" s="12" t="s">
        <v>11</v>
      </c>
      <c r="D22" s="11">
        <v>4</v>
      </c>
      <c r="E22" s="11">
        <v>3</v>
      </c>
      <c r="F22" s="11">
        <v>0</v>
      </c>
      <c r="G22" s="12" t="s">
        <v>12</v>
      </c>
      <c r="H22" s="12" t="s">
        <v>56</v>
      </c>
      <c r="I22" s="12" t="s">
        <v>14</v>
      </c>
      <c r="J22" s="12" t="s">
        <v>14</v>
      </c>
      <c r="K22" s="17"/>
      <c r="L22" s="10"/>
      <c r="M22" s="10"/>
      <c r="N22" s="10"/>
      <c r="O22" s="10"/>
    </row>
    <row r="23" spans="1:15">
      <c r="A23" s="12">
        <v>39</v>
      </c>
      <c r="B23" s="12" t="s">
        <v>57</v>
      </c>
      <c r="C23" s="12" t="s">
        <v>11</v>
      </c>
      <c r="D23" s="11">
        <v>4</v>
      </c>
      <c r="E23" s="11">
        <v>3</v>
      </c>
      <c r="F23" s="11">
        <v>0</v>
      </c>
      <c r="G23" s="12" t="s">
        <v>12</v>
      </c>
      <c r="H23" s="12" t="s">
        <v>56</v>
      </c>
      <c r="I23" s="12" t="s">
        <v>14</v>
      </c>
      <c r="J23" s="12" t="s">
        <v>14</v>
      </c>
      <c r="K23" s="17"/>
      <c r="L23" s="10"/>
      <c r="M23" s="10"/>
      <c r="N23" s="10"/>
      <c r="O23" s="10"/>
    </row>
    <row r="24" spans="1:15">
      <c r="A24" s="12">
        <v>40</v>
      </c>
      <c r="B24" s="12" t="s">
        <v>58</v>
      </c>
      <c r="C24" s="12" t="s">
        <v>11</v>
      </c>
      <c r="D24" s="11">
        <v>4</v>
      </c>
      <c r="E24" s="11">
        <v>3</v>
      </c>
      <c r="F24" s="11">
        <v>0</v>
      </c>
      <c r="G24" s="12" t="s">
        <v>12</v>
      </c>
      <c r="H24" s="12" t="s">
        <v>13</v>
      </c>
      <c r="I24" s="12" t="s">
        <v>14</v>
      </c>
      <c r="J24" s="12" t="s">
        <v>14</v>
      </c>
      <c r="K24" s="17"/>
      <c r="L24" s="10"/>
      <c r="M24" s="10"/>
      <c r="N24" s="10"/>
      <c r="O24" s="10"/>
    </row>
    <row r="25" spans="1:15">
      <c r="A25" s="12">
        <v>44</v>
      </c>
      <c r="B25" s="12" t="s">
        <v>62</v>
      </c>
      <c r="C25" s="12" t="s">
        <v>11</v>
      </c>
      <c r="D25" s="11">
        <v>4</v>
      </c>
      <c r="E25" s="11">
        <v>3</v>
      </c>
      <c r="F25" s="11">
        <v>0</v>
      </c>
      <c r="G25" s="12" t="s">
        <v>12</v>
      </c>
      <c r="H25" s="12" t="s">
        <v>13</v>
      </c>
      <c r="I25" s="12" t="s">
        <v>14</v>
      </c>
      <c r="J25" s="12" t="s">
        <v>14</v>
      </c>
      <c r="K25" s="17"/>
      <c r="L25" s="10"/>
      <c r="M25" s="10"/>
      <c r="N25" s="10"/>
      <c r="O25" s="10"/>
    </row>
    <row r="26" spans="1:15">
      <c r="A26" s="12">
        <v>45</v>
      </c>
      <c r="B26" s="12" t="s">
        <v>63</v>
      </c>
      <c r="C26" s="12" t="s">
        <v>11</v>
      </c>
      <c r="D26" s="11">
        <v>4</v>
      </c>
      <c r="E26" s="11">
        <v>3</v>
      </c>
      <c r="F26" s="11">
        <v>0</v>
      </c>
      <c r="G26" s="12" t="s">
        <v>12</v>
      </c>
      <c r="H26" s="12" t="s">
        <v>13</v>
      </c>
      <c r="I26" s="12" t="s">
        <v>14</v>
      </c>
      <c r="J26" s="12" t="s">
        <v>14</v>
      </c>
      <c r="K26" s="17"/>
      <c r="L26" s="10"/>
      <c r="M26" s="10"/>
      <c r="N26" s="10"/>
      <c r="O26" s="10"/>
    </row>
    <row r="27" spans="1:15">
      <c r="A27" s="12">
        <v>46</v>
      </c>
      <c r="B27" s="12" t="s">
        <v>64</v>
      </c>
      <c r="C27" s="12" t="s">
        <v>11</v>
      </c>
      <c r="D27" s="11">
        <v>4</v>
      </c>
      <c r="E27" s="11">
        <v>3</v>
      </c>
      <c r="F27" s="11">
        <v>0</v>
      </c>
      <c r="G27" s="12" t="s">
        <v>12</v>
      </c>
      <c r="H27" s="12" t="s">
        <v>13</v>
      </c>
      <c r="I27" s="12" t="s">
        <v>14</v>
      </c>
      <c r="J27" s="12" t="s">
        <v>14</v>
      </c>
      <c r="K27" s="17"/>
      <c r="L27" s="10"/>
      <c r="M27" s="10"/>
      <c r="N27" s="10"/>
      <c r="O27" s="10"/>
    </row>
    <row r="28" spans="1:15">
      <c r="A28" s="12">
        <v>49</v>
      </c>
      <c r="B28" s="12" t="s">
        <v>67</v>
      </c>
      <c r="C28" s="12" t="s">
        <v>11</v>
      </c>
      <c r="D28" s="11">
        <v>4</v>
      </c>
      <c r="E28" s="11">
        <v>3</v>
      </c>
      <c r="F28" s="11">
        <v>0</v>
      </c>
      <c r="G28" s="12" t="s">
        <v>12</v>
      </c>
      <c r="H28" s="12" t="s">
        <v>13</v>
      </c>
      <c r="I28" s="12" t="s">
        <v>14</v>
      </c>
      <c r="J28" s="12" t="s">
        <v>14</v>
      </c>
      <c r="K28" s="17"/>
      <c r="L28" s="10"/>
      <c r="M28" s="10"/>
      <c r="N28" s="10"/>
      <c r="O28" s="10"/>
    </row>
    <row r="29" spans="1:15">
      <c r="A29" s="12">
        <v>54</v>
      </c>
      <c r="B29" s="12" t="s">
        <v>70</v>
      </c>
      <c r="C29" s="12" t="s">
        <v>11</v>
      </c>
      <c r="D29" s="11">
        <v>4</v>
      </c>
      <c r="E29" s="11">
        <v>3</v>
      </c>
      <c r="F29" s="11">
        <v>0</v>
      </c>
      <c r="G29" s="12" t="s">
        <v>12</v>
      </c>
      <c r="H29" s="12" t="s">
        <v>13</v>
      </c>
      <c r="I29" s="12" t="s">
        <v>14</v>
      </c>
      <c r="J29" s="12" t="s">
        <v>14</v>
      </c>
      <c r="K29" s="17"/>
      <c r="L29" s="10"/>
      <c r="M29" s="10"/>
      <c r="N29" s="10"/>
      <c r="O29" s="10"/>
    </row>
    <row r="30" spans="1:15">
      <c r="A30" s="12">
        <v>55</v>
      </c>
      <c r="B30" s="12" t="s">
        <v>71</v>
      </c>
      <c r="C30" s="12" t="s">
        <v>11</v>
      </c>
      <c r="D30" s="11">
        <v>4</v>
      </c>
      <c r="E30" s="11">
        <v>3</v>
      </c>
      <c r="F30" s="11">
        <v>0</v>
      </c>
      <c r="G30" s="12" t="s">
        <v>12</v>
      </c>
      <c r="H30" s="12" t="s">
        <v>13</v>
      </c>
      <c r="I30" s="12" t="s">
        <v>14</v>
      </c>
      <c r="J30" s="12" t="s">
        <v>14</v>
      </c>
      <c r="K30" s="17"/>
      <c r="L30" s="10"/>
      <c r="M30" s="10"/>
      <c r="N30" s="10"/>
      <c r="O30" s="10"/>
    </row>
    <row r="31" spans="1:15">
      <c r="A31" s="12">
        <v>56</v>
      </c>
      <c r="B31" s="12" t="s">
        <v>72</v>
      </c>
      <c r="C31" s="12" t="s">
        <v>11</v>
      </c>
      <c r="D31" s="11">
        <v>4</v>
      </c>
      <c r="E31" s="11">
        <v>3</v>
      </c>
      <c r="F31" s="11">
        <v>0</v>
      </c>
      <c r="G31" s="12" t="s">
        <v>12</v>
      </c>
      <c r="H31" s="12" t="s">
        <v>13</v>
      </c>
      <c r="I31" s="12" t="s">
        <v>14</v>
      </c>
      <c r="J31" s="12" t="s">
        <v>14</v>
      </c>
      <c r="K31" s="17"/>
      <c r="L31" s="10"/>
      <c r="M31" s="10"/>
      <c r="N31" s="10"/>
      <c r="O31" s="10"/>
    </row>
    <row r="32" spans="1:15">
      <c r="A32" s="12">
        <v>59</v>
      </c>
      <c r="B32" s="12" t="s">
        <v>73</v>
      </c>
      <c r="C32" s="12" t="s">
        <v>11</v>
      </c>
      <c r="D32" s="11">
        <v>4</v>
      </c>
      <c r="E32" s="11">
        <v>3</v>
      </c>
      <c r="F32" s="11">
        <v>0</v>
      </c>
      <c r="G32" s="12" t="s">
        <v>12</v>
      </c>
      <c r="H32" s="12" t="s">
        <v>39</v>
      </c>
      <c r="I32" s="12" t="s">
        <v>14</v>
      </c>
      <c r="J32" s="12" t="s">
        <v>14</v>
      </c>
      <c r="K32" s="17"/>
      <c r="L32" s="10"/>
      <c r="M32" s="10"/>
      <c r="N32" s="10"/>
      <c r="O32" s="10"/>
    </row>
    <row r="33" spans="1:15">
      <c r="A33" s="12">
        <v>60</v>
      </c>
      <c r="B33" s="12" t="s">
        <v>74</v>
      </c>
      <c r="C33" s="12" t="s">
        <v>11</v>
      </c>
      <c r="D33" s="11">
        <v>4</v>
      </c>
      <c r="E33" s="11">
        <v>3</v>
      </c>
      <c r="F33" s="11">
        <v>0</v>
      </c>
      <c r="G33" s="12" t="s">
        <v>12</v>
      </c>
      <c r="H33" s="12" t="s">
        <v>13</v>
      </c>
      <c r="I33" s="12" t="s">
        <v>14</v>
      </c>
      <c r="J33" s="12" t="s">
        <v>14</v>
      </c>
      <c r="K33" s="17"/>
      <c r="L33" s="10"/>
      <c r="M33" s="10"/>
      <c r="N33" s="10"/>
      <c r="O33" s="10"/>
    </row>
    <row r="34" spans="1:15">
      <c r="A34" s="12">
        <v>62</v>
      </c>
      <c r="B34" s="12" t="s">
        <v>76</v>
      </c>
      <c r="C34" s="12" t="s">
        <v>11</v>
      </c>
      <c r="D34" s="11">
        <v>4</v>
      </c>
      <c r="E34" s="11">
        <v>3</v>
      </c>
      <c r="F34" s="11">
        <v>0</v>
      </c>
      <c r="G34" s="12" t="s">
        <v>12</v>
      </c>
      <c r="H34" s="12" t="s">
        <v>13</v>
      </c>
      <c r="I34" s="12" t="s">
        <v>14</v>
      </c>
      <c r="J34" s="12" t="s">
        <v>14</v>
      </c>
      <c r="K34" s="17"/>
      <c r="L34" s="10"/>
      <c r="M34" s="10"/>
      <c r="N34" s="10"/>
      <c r="O34" s="10"/>
    </row>
    <row r="35" spans="1:15">
      <c r="A35" s="12">
        <v>63</v>
      </c>
      <c r="B35" s="12" t="s">
        <v>77</v>
      </c>
      <c r="C35" s="12" t="s">
        <v>11</v>
      </c>
      <c r="D35" s="11">
        <v>4</v>
      </c>
      <c r="E35" s="11">
        <v>3</v>
      </c>
      <c r="F35" s="11">
        <v>0</v>
      </c>
      <c r="G35" s="12" t="s">
        <v>12</v>
      </c>
      <c r="H35" s="12" t="s">
        <v>13</v>
      </c>
      <c r="I35" s="12" t="s">
        <v>14</v>
      </c>
      <c r="J35" s="12" t="s">
        <v>14</v>
      </c>
      <c r="K35" s="17"/>
      <c r="L35" s="10"/>
      <c r="M35" s="10"/>
      <c r="N35" s="10"/>
      <c r="O35" s="10"/>
    </row>
    <row r="36" spans="1:15">
      <c r="A36" s="12">
        <v>65</v>
      </c>
      <c r="B36" s="12" t="s">
        <v>78</v>
      </c>
      <c r="C36" s="12" t="s">
        <v>11</v>
      </c>
      <c r="D36" s="11">
        <v>4</v>
      </c>
      <c r="E36" s="11">
        <v>3</v>
      </c>
      <c r="F36" s="11">
        <v>0</v>
      </c>
      <c r="G36" s="12" t="s">
        <v>12</v>
      </c>
      <c r="H36" s="12" t="s">
        <v>13</v>
      </c>
      <c r="I36" s="12" t="s">
        <v>14</v>
      </c>
      <c r="J36" s="12" t="s">
        <v>14</v>
      </c>
      <c r="K36" s="17"/>
      <c r="L36" s="10"/>
      <c r="M36" s="10"/>
      <c r="N36" s="10"/>
      <c r="O36" s="10"/>
    </row>
    <row r="37" spans="1:15">
      <c r="A37" s="12">
        <v>66</v>
      </c>
      <c r="B37" s="12" t="s">
        <v>79</v>
      </c>
      <c r="C37" s="12" t="s">
        <v>11</v>
      </c>
      <c r="D37" s="11">
        <v>4</v>
      </c>
      <c r="E37" s="11">
        <v>3</v>
      </c>
      <c r="F37" s="11">
        <v>0</v>
      </c>
      <c r="G37" s="12" t="s">
        <v>12</v>
      </c>
      <c r="H37" s="12" t="s">
        <v>13</v>
      </c>
      <c r="I37" s="12" t="s">
        <v>14</v>
      </c>
      <c r="J37" s="12" t="s">
        <v>14</v>
      </c>
      <c r="K37" s="17"/>
      <c r="L37" s="10"/>
      <c r="M37" s="10"/>
      <c r="N37" s="10"/>
      <c r="O37" s="10"/>
    </row>
    <row r="38" spans="1:15">
      <c r="A38" s="12">
        <v>67</v>
      </c>
      <c r="B38" s="12" t="s">
        <v>80</v>
      </c>
      <c r="C38" s="12" t="s">
        <v>11</v>
      </c>
      <c r="D38" s="11">
        <v>4</v>
      </c>
      <c r="E38" s="11">
        <v>3</v>
      </c>
      <c r="F38" s="11">
        <v>0</v>
      </c>
      <c r="G38" s="12" t="s">
        <v>12</v>
      </c>
      <c r="H38" s="12" t="s">
        <v>39</v>
      </c>
      <c r="I38" s="12" t="s">
        <v>14</v>
      </c>
      <c r="J38" s="12" t="s">
        <v>14</v>
      </c>
      <c r="K38" s="17"/>
      <c r="L38" s="10"/>
      <c r="M38" s="10"/>
      <c r="N38" s="10"/>
      <c r="O38" s="10"/>
    </row>
    <row r="39" spans="1:15">
      <c r="A39" s="12">
        <v>68</v>
      </c>
      <c r="B39" s="12" t="s">
        <v>46</v>
      </c>
      <c r="C39" s="12" t="s">
        <v>11</v>
      </c>
      <c r="D39" s="11">
        <v>4</v>
      </c>
      <c r="E39" s="11">
        <v>3</v>
      </c>
      <c r="F39" s="11">
        <v>0</v>
      </c>
      <c r="G39" s="12" t="s">
        <v>12</v>
      </c>
      <c r="H39" s="12" t="s">
        <v>13</v>
      </c>
      <c r="I39" s="12" t="s">
        <v>14</v>
      </c>
      <c r="J39" s="12" t="s">
        <v>14</v>
      </c>
      <c r="K39" s="17"/>
      <c r="L39" s="10"/>
      <c r="M39" s="10"/>
      <c r="N39" s="10"/>
      <c r="O39" s="10"/>
    </row>
    <row r="40" spans="1:15">
      <c r="A40" s="12">
        <v>69</v>
      </c>
      <c r="B40" s="12" t="s">
        <v>81</v>
      </c>
      <c r="C40" s="12" t="s">
        <v>11</v>
      </c>
      <c r="D40" s="11">
        <v>4</v>
      </c>
      <c r="E40" s="11">
        <v>3</v>
      </c>
      <c r="F40" s="11">
        <v>0</v>
      </c>
      <c r="G40" s="12" t="s">
        <v>12</v>
      </c>
      <c r="H40" s="12" t="s">
        <v>13</v>
      </c>
      <c r="I40" s="12" t="s">
        <v>14</v>
      </c>
      <c r="J40" s="12" t="s">
        <v>14</v>
      </c>
      <c r="K40" s="17"/>
      <c r="L40" s="10"/>
      <c r="M40" s="10"/>
      <c r="N40" s="10"/>
      <c r="O40" s="10"/>
    </row>
    <row r="41" spans="1:15">
      <c r="A41" s="12">
        <v>76</v>
      </c>
      <c r="B41" s="12" t="s">
        <v>84</v>
      </c>
      <c r="C41" s="12" t="s">
        <v>11</v>
      </c>
      <c r="D41" s="11">
        <v>4</v>
      </c>
      <c r="E41" s="11">
        <v>3</v>
      </c>
      <c r="F41" s="11">
        <v>0</v>
      </c>
      <c r="G41" s="12" t="s">
        <v>12</v>
      </c>
      <c r="H41" s="12" t="s">
        <v>39</v>
      </c>
      <c r="I41" s="12" t="s">
        <v>14</v>
      </c>
      <c r="J41" s="12" t="s">
        <v>14</v>
      </c>
      <c r="K41" s="17"/>
      <c r="L41" s="10"/>
      <c r="M41" s="10"/>
      <c r="N41" s="10"/>
      <c r="O41" s="10"/>
    </row>
    <row r="42" spans="1:15">
      <c r="A42" s="12">
        <v>79</v>
      </c>
      <c r="B42" s="12" t="s">
        <v>86</v>
      </c>
      <c r="C42" s="12" t="s">
        <v>11</v>
      </c>
      <c r="D42" s="11">
        <v>4</v>
      </c>
      <c r="E42" s="11">
        <v>3</v>
      </c>
      <c r="F42" s="11">
        <v>0</v>
      </c>
      <c r="G42" s="12" t="s">
        <v>12</v>
      </c>
      <c r="H42" s="12" t="s">
        <v>13</v>
      </c>
      <c r="I42" s="12" t="s">
        <v>14</v>
      </c>
      <c r="J42" s="12" t="s">
        <v>14</v>
      </c>
      <c r="K42" s="17"/>
      <c r="L42" s="10"/>
      <c r="M42" s="10"/>
      <c r="N42" s="10"/>
      <c r="O42" s="10"/>
    </row>
    <row r="43" spans="1:15">
      <c r="A43" s="12">
        <v>80</v>
      </c>
      <c r="B43" s="12" t="s">
        <v>87</v>
      </c>
      <c r="C43" s="12" t="s">
        <v>11</v>
      </c>
      <c r="D43" s="11">
        <v>4</v>
      </c>
      <c r="E43" s="11">
        <v>3</v>
      </c>
      <c r="F43" s="11">
        <v>0</v>
      </c>
      <c r="G43" s="12" t="s">
        <v>12</v>
      </c>
      <c r="H43" s="12" t="s">
        <v>13</v>
      </c>
      <c r="I43" s="12" t="s">
        <v>14</v>
      </c>
      <c r="J43" s="12" t="s">
        <v>14</v>
      </c>
      <c r="K43" s="17"/>
      <c r="L43" s="10"/>
      <c r="M43" s="10"/>
      <c r="N43" s="10"/>
      <c r="O43" s="10"/>
    </row>
    <row r="44" spans="1:15">
      <c r="A44" s="12">
        <v>81</v>
      </c>
      <c r="B44" s="12" t="s">
        <v>88</v>
      </c>
      <c r="C44" s="12" t="s">
        <v>11</v>
      </c>
      <c r="D44" s="11">
        <v>4</v>
      </c>
      <c r="E44" s="11">
        <v>3</v>
      </c>
      <c r="F44" s="11">
        <v>0</v>
      </c>
      <c r="G44" s="12" t="s">
        <v>12</v>
      </c>
      <c r="H44" s="12" t="s">
        <v>39</v>
      </c>
      <c r="I44" s="12" t="s">
        <v>14</v>
      </c>
      <c r="J44" s="12" t="s">
        <v>14</v>
      </c>
      <c r="K44" s="17"/>
      <c r="L44" s="10"/>
      <c r="M44" s="10"/>
      <c r="N44" s="10"/>
      <c r="O44" s="10"/>
    </row>
    <row r="45" spans="1:15">
      <c r="A45" s="12">
        <v>82</v>
      </c>
      <c r="B45" s="12" t="s">
        <v>89</v>
      </c>
      <c r="C45" s="12" t="s">
        <v>11</v>
      </c>
      <c r="D45" s="11">
        <v>4</v>
      </c>
      <c r="E45" s="11">
        <v>3</v>
      </c>
      <c r="F45" s="11">
        <v>0</v>
      </c>
      <c r="G45" s="12" t="s">
        <v>12</v>
      </c>
      <c r="H45" s="12" t="s">
        <v>39</v>
      </c>
      <c r="I45" s="12" t="s">
        <v>14</v>
      </c>
      <c r="J45" s="12" t="s">
        <v>14</v>
      </c>
      <c r="K45" s="17"/>
      <c r="L45" s="10"/>
      <c r="M45" s="10"/>
      <c r="N45" s="10"/>
      <c r="O45" s="10"/>
    </row>
    <row r="46" spans="1:15">
      <c r="A46" s="12">
        <v>43</v>
      </c>
      <c r="B46" s="12" t="s">
        <v>61</v>
      </c>
      <c r="C46" s="12" t="s">
        <v>11</v>
      </c>
      <c r="D46" s="11">
        <v>16</v>
      </c>
      <c r="E46" s="11">
        <v>3</v>
      </c>
      <c r="F46" s="11">
        <v>0</v>
      </c>
      <c r="G46" s="12" t="s">
        <v>12</v>
      </c>
      <c r="H46" s="12" t="s">
        <v>13</v>
      </c>
      <c r="I46" s="12" t="s">
        <v>14</v>
      </c>
      <c r="J46" s="12" t="s">
        <v>14</v>
      </c>
      <c r="K46" s="17"/>
      <c r="L46" s="10"/>
      <c r="M46" s="10"/>
      <c r="N46" s="10"/>
      <c r="O46" s="10"/>
    </row>
    <row r="47" spans="1:15">
      <c r="A47" s="12">
        <v>30</v>
      </c>
      <c r="B47" s="12" t="s">
        <v>49</v>
      </c>
      <c r="C47" s="12" t="s">
        <v>11</v>
      </c>
      <c r="D47" s="11">
        <v>17</v>
      </c>
      <c r="E47" s="11">
        <v>3</v>
      </c>
      <c r="F47" s="11">
        <v>0</v>
      </c>
      <c r="G47" s="12" t="s">
        <v>12</v>
      </c>
      <c r="H47" s="12" t="s">
        <v>13</v>
      </c>
      <c r="I47" s="12" t="s">
        <v>14</v>
      </c>
      <c r="J47" s="12" t="s">
        <v>14</v>
      </c>
      <c r="K47" s="17"/>
      <c r="L47" s="10"/>
      <c r="M47" s="10"/>
      <c r="N47" s="10"/>
      <c r="O47" s="10"/>
    </row>
    <row r="48" spans="1:15">
      <c r="A48" s="12">
        <v>47</v>
      </c>
      <c r="B48" s="12" t="s">
        <v>65</v>
      </c>
      <c r="C48" s="12" t="s">
        <v>11</v>
      </c>
      <c r="D48" s="11">
        <v>17</v>
      </c>
      <c r="E48" s="11">
        <v>3</v>
      </c>
      <c r="F48" s="11">
        <v>0</v>
      </c>
      <c r="G48" s="12" t="s">
        <v>12</v>
      </c>
      <c r="H48" s="12" t="s">
        <v>13</v>
      </c>
      <c r="I48" s="12" t="s">
        <v>14</v>
      </c>
      <c r="J48" s="12" t="s">
        <v>14</v>
      </c>
      <c r="K48" s="17"/>
      <c r="L48" s="10"/>
      <c r="M48" s="10"/>
      <c r="N48" s="10"/>
      <c r="O48" s="10"/>
    </row>
    <row r="49" spans="1:15">
      <c r="A49" s="12">
        <v>31</v>
      </c>
      <c r="B49" s="12" t="s">
        <v>49</v>
      </c>
      <c r="C49" s="12" t="s">
        <v>11</v>
      </c>
      <c r="D49" s="11">
        <v>18</v>
      </c>
      <c r="E49" s="11">
        <v>3</v>
      </c>
      <c r="F49" s="11">
        <v>0</v>
      </c>
      <c r="G49" s="12" t="s">
        <v>12</v>
      </c>
      <c r="H49" s="12" t="s">
        <v>13</v>
      </c>
      <c r="I49" s="12" t="s">
        <v>14</v>
      </c>
      <c r="J49" s="12" t="s">
        <v>14</v>
      </c>
      <c r="K49" s="17"/>
      <c r="L49" s="10"/>
      <c r="M49" s="10"/>
      <c r="N49" s="10"/>
      <c r="O49" s="10"/>
    </row>
    <row r="50" spans="1:15">
      <c r="A50" s="12">
        <v>50</v>
      </c>
      <c r="B50" s="12" t="s">
        <v>68</v>
      </c>
      <c r="C50" s="12" t="s">
        <v>11</v>
      </c>
      <c r="D50" s="11">
        <v>20</v>
      </c>
      <c r="E50" s="11">
        <v>3</v>
      </c>
      <c r="F50" s="11">
        <v>0</v>
      </c>
      <c r="G50" s="12" t="s">
        <v>12</v>
      </c>
      <c r="H50" s="12" t="s">
        <v>13</v>
      </c>
      <c r="I50" s="12" t="s">
        <v>14</v>
      </c>
      <c r="J50" s="12" t="s">
        <v>14</v>
      </c>
      <c r="K50" s="17"/>
      <c r="L50" s="10"/>
      <c r="M50" s="10"/>
      <c r="N50" s="10"/>
      <c r="O50" s="10"/>
    </row>
    <row r="51" spans="1:15">
      <c r="A51" s="12">
        <v>16</v>
      </c>
      <c r="B51" s="12" t="s">
        <v>37</v>
      </c>
      <c r="C51" s="12" t="s">
        <v>11</v>
      </c>
      <c r="D51" s="11">
        <v>21</v>
      </c>
      <c r="E51" s="11">
        <v>3</v>
      </c>
      <c r="F51" s="11">
        <v>0</v>
      </c>
      <c r="G51" s="12" t="s">
        <v>12</v>
      </c>
      <c r="H51" s="12" t="s">
        <v>13</v>
      </c>
      <c r="I51" s="12" t="s">
        <v>14</v>
      </c>
      <c r="J51" s="12" t="s">
        <v>14</v>
      </c>
      <c r="K51" s="17"/>
      <c r="L51" s="10"/>
      <c r="M51" s="10"/>
      <c r="N51" s="10"/>
      <c r="O51" s="10"/>
    </row>
    <row r="52" spans="1:15">
      <c r="A52" s="12">
        <v>61</v>
      </c>
      <c r="B52" s="12" t="s">
        <v>75</v>
      </c>
      <c r="C52" s="12" t="s">
        <v>11</v>
      </c>
      <c r="D52" s="11">
        <v>21</v>
      </c>
      <c r="E52" s="11">
        <v>3</v>
      </c>
      <c r="F52" s="11">
        <v>0</v>
      </c>
      <c r="G52" s="12" t="s">
        <v>12</v>
      </c>
      <c r="H52" s="12" t="s">
        <v>13</v>
      </c>
      <c r="I52" s="12" t="s">
        <v>14</v>
      </c>
      <c r="J52" s="12" t="s">
        <v>14</v>
      </c>
      <c r="K52" s="17"/>
      <c r="L52" s="10"/>
      <c r="M52" s="10"/>
      <c r="N52" s="10"/>
      <c r="O52" s="10"/>
    </row>
    <row r="53" spans="1:15">
      <c r="A53" s="12">
        <v>2</v>
      </c>
      <c r="B53" s="12" t="s">
        <v>27</v>
      </c>
      <c r="C53" s="12" t="s">
        <v>11</v>
      </c>
      <c r="D53" s="11">
        <v>23</v>
      </c>
      <c r="E53" s="11">
        <v>3</v>
      </c>
      <c r="F53" s="11">
        <v>0</v>
      </c>
      <c r="G53" s="12" t="s">
        <v>12</v>
      </c>
      <c r="H53" s="12" t="s">
        <v>13</v>
      </c>
      <c r="I53" s="12" t="s">
        <v>14</v>
      </c>
      <c r="J53" s="12" t="s">
        <v>14</v>
      </c>
      <c r="K53" s="17"/>
      <c r="L53" s="10"/>
      <c r="M53" s="10"/>
      <c r="N53" s="10"/>
      <c r="O53" s="10"/>
    </row>
    <row r="54" spans="1:15">
      <c r="A54" s="12">
        <v>24</v>
      </c>
      <c r="B54" s="12" t="s">
        <v>44</v>
      </c>
      <c r="C54" s="12" t="s">
        <v>11</v>
      </c>
      <c r="D54" s="11">
        <v>23</v>
      </c>
      <c r="E54" s="11">
        <v>3</v>
      </c>
      <c r="F54" s="11">
        <v>0</v>
      </c>
      <c r="G54" s="12" t="s">
        <v>12</v>
      </c>
      <c r="H54" s="12" t="s">
        <v>13</v>
      </c>
      <c r="I54" s="12" t="s">
        <v>14</v>
      </c>
      <c r="J54" s="12" t="s">
        <v>14</v>
      </c>
      <c r="K54" s="17"/>
      <c r="L54" s="10"/>
      <c r="M54" s="10"/>
      <c r="N54" s="10"/>
      <c r="O54" s="10"/>
    </row>
    <row r="55" spans="1:15">
      <c r="A55" s="12">
        <v>48</v>
      </c>
      <c r="B55" s="12" t="s">
        <v>66</v>
      </c>
      <c r="C55" s="12" t="s">
        <v>11</v>
      </c>
      <c r="D55" s="11">
        <v>23</v>
      </c>
      <c r="E55" s="11">
        <v>3</v>
      </c>
      <c r="F55" s="11">
        <v>1</v>
      </c>
      <c r="G55" s="12" t="s">
        <v>12</v>
      </c>
      <c r="H55" s="12" t="s">
        <v>13</v>
      </c>
      <c r="I55" s="12" t="s">
        <v>14</v>
      </c>
      <c r="J55" s="12" t="s">
        <v>14</v>
      </c>
      <c r="K55" s="17"/>
      <c r="L55" s="10"/>
      <c r="M55" s="10"/>
      <c r="N55" s="10"/>
      <c r="O55" s="10"/>
    </row>
    <row r="56" spans="1:15">
      <c r="A56" s="12">
        <v>4</v>
      </c>
      <c r="B56" s="12" t="s">
        <v>28</v>
      </c>
      <c r="C56" s="12" t="s">
        <v>11</v>
      </c>
      <c r="D56" s="11">
        <v>24</v>
      </c>
      <c r="E56" s="11">
        <v>3</v>
      </c>
      <c r="F56" s="11">
        <v>0</v>
      </c>
      <c r="G56" s="12" t="s">
        <v>12</v>
      </c>
      <c r="H56" s="12" t="s">
        <v>13</v>
      </c>
      <c r="I56" s="12" t="s">
        <v>14</v>
      </c>
      <c r="J56" s="12" t="s">
        <v>14</v>
      </c>
      <c r="K56" s="17"/>
      <c r="L56" s="10"/>
      <c r="M56" s="10"/>
      <c r="N56" s="10"/>
      <c r="O56" s="10"/>
    </row>
    <row r="57" spans="1:15">
      <c r="A57" s="12">
        <v>10</v>
      </c>
      <c r="B57" s="12" t="s">
        <v>31</v>
      </c>
      <c r="C57" s="12" t="s">
        <v>11</v>
      </c>
      <c r="D57" s="11">
        <v>24</v>
      </c>
      <c r="E57" s="11">
        <v>3</v>
      </c>
      <c r="F57" s="11">
        <v>0</v>
      </c>
      <c r="G57" s="12" t="s">
        <v>12</v>
      </c>
      <c r="H57" s="12" t="s">
        <v>13</v>
      </c>
      <c r="I57" s="12" t="s">
        <v>14</v>
      </c>
      <c r="J57" s="12" t="s">
        <v>14</v>
      </c>
      <c r="K57" s="17"/>
      <c r="L57" s="10"/>
      <c r="M57" s="10"/>
      <c r="N57" s="10"/>
      <c r="O57" s="10"/>
    </row>
    <row r="58" spans="1:15">
      <c r="A58" s="12">
        <v>12</v>
      </c>
      <c r="B58" s="12" t="s">
        <v>32</v>
      </c>
      <c r="C58" s="12" t="s">
        <v>11</v>
      </c>
      <c r="D58" s="11">
        <v>24</v>
      </c>
      <c r="E58" s="11">
        <v>3</v>
      </c>
      <c r="F58" s="11">
        <v>0</v>
      </c>
      <c r="G58" s="12" t="s">
        <v>12</v>
      </c>
      <c r="H58" s="12" t="s">
        <v>13</v>
      </c>
      <c r="I58" s="12" t="s">
        <v>14</v>
      </c>
      <c r="J58" s="12" t="s">
        <v>14</v>
      </c>
      <c r="K58" s="17"/>
      <c r="L58" s="10"/>
      <c r="M58" s="10"/>
      <c r="N58" s="10"/>
      <c r="O58" s="10"/>
    </row>
    <row r="59" spans="1:15">
      <c r="A59" s="12">
        <v>15</v>
      </c>
      <c r="B59" s="12" t="s">
        <v>34</v>
      </c>
      <c r="C59" s="12" t="s">
        <v>11</v>
      </c>
      <c r="D59" s="11">
        <v>24</v>
      </c>
      <c r="E59" s="11">
        <v>3</v>
      </c>
      <c r="F59" s="11">
        <v>3</v>
      </c>
      <c r="G59" s="12" t="s">
        <v>14</v>
      </c>
      <c r="H59" s="12" t="s">
        <v>14</v>
      </c>
      <c r="I59" s="12" t="s">
        <v>35</v>
      </c>
      <c r="J59" s="12" t="s">
        <v>36</v>
      </c>
      <c r="K59" s="17"/>
      <c r="L59" s="10"/>
      <c r="M59" s="10"/>
      <c r="N59" s="10"/>
      <c r="O59" s="10"/>
    </row>
    <row r="60" spans="1:15">
      <c r="A60" s="12">
        <v>20</v>
      </c>
      <c r="B60" s="12" t="s">
        <v>41</v>
      </c>
      <c r="C60" s="12" t="s">
        <v>11</v>
      </c>
      <c r="D60" s="11">
        <v>24</v>
      </c>
      <c r="E60" s="11">
        <v>3</v>
      </c>
      <c r="F60" s="11">
        <v>0</v>
      </c>
      <c r="G60" s="12" t="s">
        <v>12</v>
      </c>
      <c r="H60" s="12" t="s">
        <v>13</v>
      </c>
      <c r="I60" s="12" t="s">
        <v>14</v>
      </c>
      <c r="J60" s="12" t="s">
        <v>14</v>
      </c>
      <c r="K60" s="17"/>
      <c r="L60" s="10"/>
      <c r="M60" s="10"/>
      <c r="N60" s="10"/>
      <c r="O60" s="10"/>
    </row>
    <row r="61" spans="1:15">
      <c r="A61" s="12">
        <v>27</v>
      </c>
      <c r="B61" s="12" t="s">
        <v>46</v>
      </c>
      <c r="C61" s="12" t="s">
        <v>11</v>
      </c>
      <c r="D61" s="11">
        <v>24</v>
      </c>
      <c r="E61" s="11">
        <v>3</v>
      </c>
      <c r="F61" s="11">
        <v>0</v>
      </c>
      <c r="G61" s="12" t="s">
        <v>12</v>
      </c>
      <c r="H61" s="12" t="s">
        <v>13</v>
      </c>
      <c r="I61" s="12" t="s">
        <v>14</v>
      </c>
      <c r="J61" s="12" t="s">
        <v>14</v>
      </c>
      <c r="K61" s="17"/>
      <c r="L61" s="10"/>
      <c r="M61" s="10"/>
      <c r="N61" s="10"/>
      <c r="O61" s="10"/>
    </row>
    <row r="62" spans="1:15">
      <c r="A62" s="12">
        <v>37</v>
      </c>
      <c r="B62" s="12" t="s">
        <v>53</v>
      </c>
      <c r="C62" s="12" t="s">
        <v>11</v>
      </c>
      <c r="D62" s="11">
        <v>24</v>
      </c>
      <c r="E62" s="11">
        <v>3</v>
      </c>
      <c r="F62" s="11">
        <v>2</v>
      </c>
      <c r="G62" s="12" t="s">
        <v>12</v>
      </c>
      <c r="H62" s="12" t="s">
        <v>54</v>
      </c>
      <c r="I62" s="12" t="s">
        <v>14</v>
      </c>
      <c r="J62" s="12" t="s">
        <v>14</v>
      </c>
      <c r="K62" s="17"/>
      <c r="L62" s="10"/>
      <c r="M62" s="10"/>
      <c r="N62" s="10"/>
      <c r="O62" s="10"/>
    </row>
    <row r="63" spans="1:15">
      <c r="A63" s="12">
        <v>57</v>
      </c>
      <c r="B63" s="12" t="s">
        <v>72</v>
      </c>
      <c r="C63" s="12" t="s">
        <v>11</v>
      </c>
      <c r="D63" s="11">
        <v>24</v>
      </c>
      <c r="E63" s="11">
        <v>3</v>
      </c>
      <c r="F63" s="11">
        <v>0</v>
      </c>
      <c r="G63" s="12" t="s">
        <v>12</v>
      </c>
      <c r="H63" s="12" t="s">
        <v>13</v>
      </c>
      <c r="I63" s="12" t="s">
        <v>14</v>
      </c>
      <c r="J63" s="12" t="s">
        <v>14</v>
      </c>
      <c r="K63" s="17"/>
      <c r="L63" s="10"/>
      <c r="M63" s="10"/>
      <c r="N63" s="10"/>
      <c r="O63" s="10"/>
    </row>
    <row r="64" spans="1:15">
      <c r="A64" s="12">
        <v>71</v>
      </c>
      <c r="B64" s="12" t="s">
        <v>20</v>
      </c>
      <c r="C64" s="12" t="s">
        <v>11</v>
      </c>
      <c r="D64" s="11">
        <v>24</v>
      </c>
      <c r="E64" s="11">
        <v>3</v>
      </c>
      <c r="F64" s="11">
        <v>0</v>
      </c>
      <c r="G64" s="12" t="s">
        <v>12</v>
      </c>
      <c r="H64" s="12" t="s">
        <v>13</v>
      </c>
      <c r="I64" s="12" t="s">
        <v>14</v>
      </c>
      <c r="J64" s="12" t="s">
        <v>14</v>
      </c>
      <c r="K64" s="17"/>
      <c r="L64" s="10"/>
      <c r="M64" s="10"/>
      <c r="N64" s="10"/>
      <c r="O64" s="10"/>
    </row>
    <row r="65" spans="1:15">
      <c r="A65" s="12">
        <v>73</v>
      </c>
      <c r="B65" s="12" t="s">
        <v>82</v>
      </c>
      <c r="C65" s="12" t="s">
        <v>11</v>
      </c>
      <c r="D65" s="11">
        <v>24</v>
      </c>
      <c r="E65" s="11">
        <v>3</v>
      </c>
      <c r="F65" s="11">
        <v>0</v>
      </c>
      <c r="G65" s="12" t="s">
        <v>12</v>
      </c>
      <c r="H65" s="12" t="s">
        <v>13</v>
      </c>
      <c r="I65" s="12" t="s">
        <v>14</v>
      </c>
      <c r="J65" s="12" t="s">
        <v>14</v>
      </c>
      <c r="K65" s="17"/>
      <c r="L65" s="10"/>
      <c r="M65" s="10"/>
      <c r="N65" s="10"/>
      <c r="O65" s="10"/>
    </row>
    <row r="66" spans="1:15">
      <c r="A66" s="12">
        <v>75</v>
      </c>
      <c r="B66" s="12" t="s">
        <v>83</v>
      </c>
      <c r="C66" s="12" t="s">
        <v>11</v>
      </c>
      <c r="D66" s="11">
        <v>24</v>
      </c>
      <c r="E66" s="11">
        <v>3</v>
      </c>
      <c r="F66" s="11">
        <v>0</v>
      </c>
      <c r="G66" s="12" t="s">
        <v>12</v>
      </c>
      <c r="H66" s="12" t="s">
        <v>13</v>
      </c>
      <c r="I66" s="12" t="s">
        <v>14</v>
      </c>
      <c r="J66" s="12" t="s">
        <v>14</v>
      </c>
      <c r="K66" s="17"/>
      <c r="L66" s="10"/>
      <c r="M66" s="10"/>
      <c r="N66" s="10"/>
      <c r="O66" s="10"/>
    </row>
    <row r="67" spans="1:15">
      <c r="A67" s="12">
        <v>77</v>
      </c>
      <c r="B67" s="12" t="s">
        <v>85</v>
      </c>
      <c r="C67" s="12" t="s">
        <v>11</v>
      </c>
      <c r="D67" s="11">
        <v>24</v>
      </c>
      <c r="E67" s="11">
        <v>3</v>
      </c>
      <c r="F67" s="11">
        <v>0</v>
      </c>
      <c r="G67" s="12" t="s">
        <v>12</v>
      </c>
      <c r="H67" s="12" t="s">
        <v>13</v>
      </c>
      <c r="I67" s="12" t="s">
        <v>14</v>
      </c>
      <c r="J67" s="12" t="s">
        <v>14</v>
      </c>
      <c r="K67" s="17"/>
      <c r="L67" s="10"/>
      <c r="M67" s="10"/>
      <c r="N67" s="10"/>
      <c r="O67" s="10"/>
    </row>
    <row r="68" spans="1:15">
      <c r="A68" s="12">
        <v>5</v>
      </c>
      <c r="B68" s="12" t="s">
        <v>28</v>
      </c>
      <c r="C68" s="12" t="s">
        <v>11</v>
      </c>
      <c r="D68" s="11">
        <v>25</v>
      </c>
      <c r="E68" s="11">
        <v>3</v>
      </c>
      <c r="F68" s="11">
        <v>0</v>
      </c>
      <c r="G68" s="12" t="s">
        <v>12</v>
      </c>
      <c r="H68" s="12" t="s">
        <v>13</v>
      </c>
      <c r="I68" s="12" t="s">
        <v>14</v>
      </c>
      <c r="J68" s="12" t="s">
        <v>14</v>
      </c>
      <c r="K68" s="17"/>
      <c r="L68" s="10"/>
      <c r="M68" s="10"/>
      <c r="N68" s="10"/>
      <c r="O68" s="10"/>
    </row>
    <row r="69" spans="1:15">
      <c r="A69" s="12">
        <v>7</v>
      </c>
      <c r="B69" s="12" t="s">
        <v>29</v>
      </c>
      <c r="C69" s="12" t="s">
        <v>11</v>
      </c>
      <c r="D69" s="11">
        <v>25</v>
      </c>
      <c r="E69" s="11">
        <v>3</v>
      </c>
      <c r="F69" s="11">
        <v>0</v>
      </c>
      <c r="G69" s="12" t="s">
        <v>12</v>
      </c>
      <c r="H69" s="12" t="s">
        <v>13</v>
      </c>
      <c r="I69" s="12" t="s">
        <v>14</v>
      </c>
      <c r="J69" s="12" t="s">
        <v>14</v>
      </c>
      <c r="K69" s="17"/>
      <c r="L69" s="10"/>
      <c r="M69" s="10"/>
      <c r="N69" s="10"/>
      <c r="O69" s="10"/>
    </row>
    <row r="70" spans="1:15">
      <c r="A70" s="12">
        <v>9</v>
      </c>
      <c r="B70" s="12" t="s">
        <v>30</v>
      </c>
      <c r="C70" s="12" t="s">
        <v>11</v>
      </c>
      <c r="D70" s="11">
        <v>25</v>
      </c>
      <c r="E70" s="11">
        <v>3</v>
      </c>
      <c r="F70" s="11">
        <v>0</v>
      </c>
      <c r="G70" s="12" t="s">
        <v>12</v>
      </c>
      <c r="H70" s="12" t="s">
        <v>13</v>
      </c>
      <c r="I70" s="12" t="s">
        <v>14</v>
      </c>
      <c r="J70" s="12" t="s">
        <v>14</v>
      </c>
      <c r="K70" s="17"/>
      <c r="L70" s="10"/>
      <c r="M70" s="10"/>
      <c r="N70" s="10"/>
      <c r="O70" s="10"/>
    </row>
    <row r="71" spans="1:15">
      <c r="A71" s="12">
        <v>11</v>
      </c>
      <c r="B71" s="12" t="s">
        <v>31</v>
      </c>
      <c r="C71" s="12" t="s">
        <v>11</v>
      </c>
      <c r="D71" s="11">
        <v>25</v>
      </c>
      <c r="E71" s="11">
        <v>3</v>
      </c>
      <c r="F71" s="11">
        <v>0</v>
      </c>
      <c r="G71" s="12" t="s">
        <v>12</v>
      </c>
      <c r="H71" s="12" t="s">
        <v>13</v>
      </c>
      <c r="I71" s="12" t="s">
        <v>14</v>
      </c>
      <c r="J71" s="12" t="s">
        <v>14</v>
      </c>
      <c r="K71" s="17"/>
      <c r="L71" s="10"/>
      <c r="M71" s="10"/>
      <c r="N71" s="10"/>
      <c r="O71" s="10"/>
    </row>
    <row r="72" spans="1:15">
      <c r="A72" s="12">
        <v>13</v>
      </c>
      <c r="B72" s="12" t="s">
        <v>32</v>
      </c>
      <c r="C72" s="12" t="s">
        <v>11</v>
      </c>
      <c r="D72" s="11">
        <v>25</v>
      </c>
      <c r="E72" s="11">
        <v>3</v>
      </c>
      <c r="F72" s="11">
        <v>0</v>
      </c>
      <c r="G72" s="12" t="s">
        <v>12</v>
      </c>
      <c r="H72" s="12" t="s">
        <v>13</v>
      </c>
      <c r="I72" s="12" t="s">
        <v>14</v>
      </c>
      <c r="J72" s="12" t="s">
        <v>14</v>
      </c>
      <c r="K72" s="17"/>
      <c r="L72" s="10"/>
      <c r="M72" s="10"/>
      <c r="N72" s="10"/>
      <c r="O72" s="10"/>
    </row>
    <row r="73" spans="1:15">
      <c r="A73" s="12">
        <v>21</v>
      </c>
      <c r="B73" s="12" t="s">
        <v>41</v>
      </c>
      <c r="C73" s="12" t="s">
        <v>11</v>
      </c>
      <c r="D73" s="11">
        <v>25</v>
      </c>
      <c r="E73" s="11">
        <v>3</v>
      </c>
      <c r="F73" s="11">
        <v>0</v>
      </c>
      <c r="G73" s="12" t="s">
        <v>12</v>
      </c>
      <c r="H73" s="12" t="s">
        <v>13</v>
      </c>
      <c r="I73" s="12" t="s">
        <v>14</v>
      </c>
      <c r="J73" s="12" t="s">
        <v>14</v>
      </c>
      <c r="K73" s="17"/>
      <c r="L73" s="10"/>
      <c r="M73" s="10"/>
      <c r="N73" s="10"/>
      <c r="O73" s="10"/>
    </row>
    <row r="74" spans="1:15">
      <c r="A74" s="12">
        <v>26</v>
      </c>
      <c r="B74" s="12" t="s">
        <v>46</v>
      </c>
      <c r="C74" s="12" t="s">
        <v>11</v>
      </c>
      <c r="D74" s="11">
        <v>25</v>
      </c>
      <c r="E74" s="11">
        <v>3</v>
      </c>
      <c r="F74" s="11">
        <v>0</v>
      </c>
      <c r="G74" s="12" t="s">
        <v>12</v>
      </c>
      <c r="H74" s="12" t="s">
        <v>13</v>
      </c>
      <c r="I74" s="12" t="s">
        <v>14</v>
      </c>
      <c r="J74" s="12" t="s">
        <v>14</v>
      </c>
      <c r="K74" s="17"/>
      <c r="L74" s="10"/>
      <c r="M74" s="10"/>
      <c r="N74" s="10"/>
      <c r="O74" s="10"/>
    </row>
    <row r="75" spans="1:15">
      <c r="A75" s="12">
        <v>32</v>
      </c>
      <c r="B75" s="12" t="s">
        <v>50</v>
      </c>
      <c r="C75" s="12" t="s">
        <v>11</v>
      </c>
      <c r="D75" s="11">
        <v>25</v>
      </c>
      <c r="E75" s="11">
        <v>3</v>
      </c>
      <c r="F75" s="11">
        <v>0</v>
      </c>
      <c r="G75" s="12" t="s">
        <v>12</v>
      </c>
      <c r="H75" s="12" t="s">
        <v>13</v>
      </c>
      <c r="I75" s="12" t="s">
        <v>14</v>
      </c>
      <c r="J75" s="12" t="s">
        <v>14</v>
      </c>
      <c r="K75" s="17"/>
      <c r="L75" s="10"/>
      <c r="M75" s="10"/>
      <c r="N75" s="10"/>
      <c r="O75" s="10"/>
    </row>
    <row r="76" spans="1:15">
      <c r="A76" s="12">
        <v>36</v>
      </c>
      <c r="B76" s="12" t="s">
        <v>53</v>
      </c>
      <c r="C76" s="12" t="s">
        <v>11</v>
      </c>
      <c r="D76" s="11">
        <v>25</v>
      </c>
      <c r="E76" s="11">
        <v>3</v>
      </c>
      <c r="F76" s="11">
        <v>2</v>
      </c>
      <c r="G76" s="12" t="s">
        <v>12</v>
      </c>
      <c r="H76" s="12" t="s">
        <v>54</v>
      </c>
      <c r="I76" s="12" t="s">
        <v>14</v>
      </c>
      <c r="J76" s="12" t="s">
        <v>14</v>
      </c>
      <c r="K76" s="17"/>
      <c r="L76" s="10"/>
      <c r="M76" s="10"/>
      <c r="N76" s="10"/>
      <c r="O76" s="10"/>
    </row>
    <row r="77" spans="1:15">
      <c r="A77" s="12">
        <v>42</v>
      </c>
      <c r="B77" s="12" t="s">
        <v>60</v>
      </c>
      <c r="C77" s="12" t="s">
        <v>11</v>
      </c>
      <c r="D77" s="11">
        <v>25</v>
      </c>
      <c r="E77" s="11">
        <v>3</v>
      </c>
      <c r="F77" s="11">
        <v>0</v>
      </c>
      <c r="G77" s="12" t="s">
        <v>12</v>
      </c>
      <c r="H77" s="12" t="s">
        <v>13</v>
      </c>
      <c r="I77" s="12" t="s">
        <v>14</v>
      </c>
      <c r="J77" s="12" t="s">
        <v>14</v>
      </c>
      <c r="K77" s="17"/>
      <c r="L77" s="10"/>
      <c r="M77" s="10"/>
      <c r="N77" s="10"/>
      <c r="O77" s="10"/>
    </row>
    <row r="78" spans="1:15">
      <c r="A78" s="12">
        <v>58</v>
      </c>
      <c r="B78" s="12" t="s">
        <v>72</v>
      </c>
      <c r="C78" s="12" t="s">
        <v>11</v>
      </c>
      <c r="D78" s="11">
        <v>25</v>
      </c>
      <c r="E78" s="11">
        <v>3</v>
      </c>
      <c r="F78" s="11">
        <v>0</v>
      </c>
      <c r="G78" s="12" t="s">
        <v>12</v>
      </c>
      <c r="H78" s="12" t="s">
        <v>13</v>
      </c>
      <c r="I78" s="12" t="s">
        <v>14</v>
      </c>
      <c r="J78" s="12" t="s">
        <v>14</v>
      </c>
      <c r="K78" s="17"/>
      <c r="L78" s="10"/>
      <c r="M78" s="10"/>
      <c r="N78" s="10"/>
      <c r="O78" s="10"/>
    </row>
    <row r="79" spans="1:15">
      <c r="A79" s="12">
        <v>64</v>
      </c>
      <c r="B79" s="12" t="s">
        <v>34</v>
      </c>
      <c r="C79" s="12" t="s">
        <v>11</v>
      </c>
      <c r="D79" s="11">
        <v>25</v>
      </c>
      <c r="E79" s="11">
        <v>3</v>
      </c>
      <c r="F79" s="11">
        <v>3</v>
      </c>
      <c r="G79" s="12" t="s">
        <v>14</v>
      </c>
      <c r="H79" s="12" t="s">
        <v>14</v>
      </c>
      <c r="I79" s="12" t="s">
        <v>35</v>
      </c>
      <c r="J79" s="12" t="s">
        <v>36</v>
      </c>
      <c r="K79" s="17"/>
      <c r="L79" s="10"/>
      <c r="M79" s="10"/>
      <c r="N79" s="10"/>
      <c r="O79" s="10"/>
    </row>
    <row r="80" spans="1:15">
      <c r="A80" s="12">
        <v>70</v>
      </c>
      <c r="B80" s="12" t="s">
        <v>20</v>
      </c>
      <c r="C80" s="12" t="s">
        <v>11</v>
      </c>
      <c r="D80" s="11">
        <v>25</v>
      </c>
      <c r="E80" s="11">
        <v>3</v>
      </c>
      <c r="F80" s="11">
        <v>1</v>
      </c>
      <c r="G80" s="12" t="s">
        <v>12</v>
      </c>
      <c r="H80" s="12" t="s">
        <v>13</v>
      </c>
      <c r="I80" s="12" t="s">
        <v>14</v>
      </c>
      <c r="J80" s="12" t="s">
        <v>14</v>
      </c>
      <c r="K80" s="17"/>
      <c r="L80" s="10"/>
      <c r="M80" s="10"/>
      <c r="N80" s="10"/>
      <c r="O80" s="10"/>
    </row>
    <row r="81" spans="1:15">
      <c r="A81" s="12">
        <v>72</v>
      </c>
      <c r="B81" s="12" t="s">
        <v>82</v>
      </c>
      <c r="C81" s="12" t="s">
        <v>11</v>
      </c>
      <c r="D81" s="11">
        <v>25</v>
      </c>
      <c r="E81" s="11">
        <v>3</v>
      </c>
      <c r="F81" s="11">
        <v>0</v>
      </c>
      <c r="G81" s="12" t="s">
        <v>12</v>
      </c>
      <c r="H81" s="12" t="s">
        <v>13</v>
      </c>
      <c r="I81" s="12" t="s">
        <v>14</v>
      </c>
      <c r="J81" s="12" t="s">
        <v>14</v>
      </c>
      <c r="K81" s="17"/>
      <c r="L81" s="10"/>
      <c r="M81" s="10"/>
      <c r="N81" s="10"/>
      <c r="O81" s="10"/>
    </row>
    <row r="82" spans="1:15">
      <c r="A82" s="12">
        <v>74</v>
      </c>
      <c r="B82" s="12" t="s">
        <v>83</v>
      </c>
      <c r="C82" s="12" t="s">
        <v>11</v>
      </c>
      <c r="D82" s="11">
        <v>25</v>
      </c>
      <c r="E82" s="11">
        <v>3</v>
      </c>
      <c r="F82" s="11">
        <v>0</v>
      </c>
      <c r="G82" s="12" t="s">
        <v>12</v>
      </c>
      <c r="H82" s="12" t="s">
        <v>13</v>
      </c>
      <c r="I82" s="12" t="s">
        <v>14</v>
      </c>
      <c r="J82" s="12" t="s">
        <v>14</v>
      </c>
      <c r="K82" s="17"/>
      <c r="L82" s="10"/>
      <c r="M82" s="10"/>
      <c r="N82" s="10"/>
      <c r="O82" s="10"/>
    </row>
    <row r="83" spans="1:15">
      <c r="A83" s="12">
        <v>78</v>
      </c>
      <c r="B83" s="12" t="s">
        <v>85</v>
      </c>
      <c r="C83" s="12" t="s">
        <v>11</v>
      </c>
      <c r="D83" s="11">
        <v>25</v>
      </c>
      <c r="E83" s="11">
        <v>3</v>
      </c>
      <c r="F83" s="11">
        <v>0</v>
      </c>
      <c r="G83" s="12" t="s">
        <v>12</v>
      </c>
      <c r="H83" s="12" t="s">
        <v>13</v>
      </c>
      <c r="I83" s="12" t="s">
        <v>14</v>
      </c>
      <c r="J83" s="12" t="s">
        <v>14</v>
      </c>
      <c r="K83" s="17"/>
      <c r="L83" s="10"/>
      <c r="M83" s="10"/>
      <c r="N83" s="10"/>
      <c r="O83" s="10"/>
    </row>
    <row r="84" spans="1:15">
      <c r="A84" s="12">
        <v>8</v>
      </c>
      <c r="B84" s="12" t="s">
        <v>30</v>
      </c>
      <c r="C84" s="12" t="s">
        <v>11</v>
      </c>
      <c r="D84" s="11">
        <v>26</v>
      </c>
      <c r="E84" s="11">
        <v>3</v>
      </c>
      <c r="F84" s="11">
        <v>0</v>
      </c>
      <c r="G84" s="12" t="s">
        <v>12</v>
      </c>
      <c r="H84" s="12" t="s">
        <v>13</v>
      </c>
      <c r="I84" s="12" t="s">
        <v>14</v>
      </c>
      <c r="J84" s="12" t="s">
        <v>14</v>
      </c>
      <c r="K84" s="17"/>
      <c r="L84" s="10"/>
      <c r="M84" s="10"/>
      <c r="N84" s="10"/>
      <c r="O84" s="10"/>
    </row>
    <row r="85" spans="1:15">
      <c r="A85" s="12">
        <v>53</v>
      </c>
      <c r="B85" s="12" t="s">
        <v>69</v>
      </c>
      <c r="C85" s="12" t="s">
        <v>11</v>
      </c>
      <c r="D85" s="11">
        <v>26</v>
      </c>
      <c r="E85" s="11">
        <v>3</v>
      </c>
      <c r="F85" s="11">
        <v>0</v>
      </c>
      <c r="G85" s="12" t="s">
        <v>12</v>
      </c>
      <c r="H85" s="12" t="s">
        <v>13</v>
      </c>
      <c r="I85" s="12" t="s">
        <v>14</v>
      </c>
      <c r="J85" s="12" t="s">
        <v>14</v>
      </c>
      <c r="K85" s="17"/>
      <c r="L85" s="10"/>
      <c r="M85" s="10"/>
      <c r="N85" s="10"/>
      <c r="O85" s="10"/>
    </row>
    <row r="86" spans="1:15">
      <c r="A86" s="12">
        <v>51</v>
      </c>
      <c r="B86" s="12" t="s">
        <v>16</v>
      </c>
      <c r="C86" s="12" t="s">
        <v>11</v>
      </c>
      <c r="D86" s="11">
        <v>28</v>
      </c>
      <c r="E86" s="11">
        <v>3</v>
      </c>
      <c r="F86" s="11">
        <v>1</v>
      </c>
      <c r="G86" s="12" t="s">
        <v>12</v>
      </c>
      <c r="H86" s="12" t="s">
        <v>13</v>
      </c>
      <c r="I86" s="12" t="s">
        <v>14</v>
      </c>
      <c r="J86" s="12" t="s">
        <v>14</v>
      </c>
      <c r="K86" s="17"/>
      <c r="L86" s="10"/>
      <c r="M86" s="10"/>
      <c r="N86" s="10"/>
      <c r="O86" s="10"/>
    </row>
  </sheetData>
  <mergeCells count="6">
    <mergeCell ref="L18:M18"/>
    <mergeCell ref="A1:J1"/>
    <mergeCell ref="A2:J2"/>
    <mergeCell ref="A3:B3"/>
    <mergeCell ref="C3:J3"/>
    <mergeCell ref="L4:M4"/>
  </mergeCells>
  <phoneticPr fontId="1" type="noConversion"/>
  <conditionalFormatting sqref="B1:B1048576">
    <cfRule type="containsText" dxfId="1" priority="1" stopIfTrue="1" operator="containsText" text="NS">
      <formula>NOT(ISERROR(SEARCH("NS",B1)))</formula>
    </cfRule>
    <cfRule type="containsText" dxfId="0" priority="2" stopIfTrue="1" operator="containsText" text="KS">
      <formula>NOT(ISERROR(SEARCH("KS",B1)))</formula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O10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"/>
  <cols>
    <col min="1" max="1" width="4.28515625" style="89" bestFit="1" customWidth="1"/>
    <col min="2" max="2" width="6.28515625" style="73" bestFit="1" customWidth="1"/>
    <col min="3" max="3" width="14.85546875" style="73" bestFit="1" customWidth="1"/>
    <col min="4" max="4" width="10.28515625" style="73" bestFit="1" customWidth="1"/>
    <col min="5" max="5" width="10.140625" style="73" bestFit="1" customWidth="1"/>
    <col min="6" max="6" width="24.85546875" style="73" bestFit="1" customWidth="1"/>
    <col min="7" max="7" width="13" style="73" bestFit="1" customWidth="1"/>
    <col min="8" max="8" width="11.5703125" style="90" bestFit="1" customWidth="1"/>
    <col min="9" max="9" width="19.28515625" style="73" bestFit="1" customWidth="1"/>
    <col min="10" max="10" width="41.140625" style="73" bestFit="1" customWidth="1"/>
    <col min="11" max="11" width="3.42578125" style="73" customWidth="1"/>
    <col min="12" max="12" width="19.28515625" style="83" customWidth="1"/>
    <col min="13" max="13" width="17.85546875" style="83" bestFit="1" customWidth="1"/>
    <col min="14" max="14" width="16.28515625" style="84" customWidth="1"/>
    <col min="15" max="15" width="16.28515625" style="83" customWidth="1"/>
    <col min="16" max="16" width="3.28515625" style="73" customWidth="1"/>
    <col min="17" max="17" width="9.140625" style="73"/>
    <col min="18" max="18" width="8.5703125" style="73" bestFit="1" customWidth="1"/>
    <col min="19" max="20" width="15.85546875" style="73" customWidth="1"/>
    <col min="21" max="16384" width="9.140625" style="73"/>
  </cols>
  <sheetData>
    <row r="1" spans="1:15" ht="24">
      <c r="A1" s="29"/>
      <c r="B1" s="29"/>
      <c r="C1" s="29"/>
      <c r="D1" s="70" t="s">
        <v>221</v>
      </c>
      <c r="E1" s="71"/>
      <c r="F1" s="36"/>
      <c r="G1" s="37" t="s">
        <v>257</v>
      </c>
      <c r="H1" s="37" t="s">
        <v>256</v>
      </c>
      <c r="I1" s="36" t="s">
        <v>246</v>
      </c>
      <c r="J1" s="36" t="s">
        <v>220</v>
      </c>
      <c r="L1" s="77" t="s">
        <v>310</v>
      </c>
      <c r="M1" s="75"/>
      <c r="N1" s="76" t="s">
        <v>278</v>
      </c>
      <c r="O1" s="77" t="s">
        <v>279</v>
      </c>
    </row>
    <row r="2" spans="1:15">
      <c r="A2" s="18"/>
      <c r="B2" s="18"/>
      <c r="C2" s="18"/>
      <c r="D2" s="18" t="s">
        <v>95</v>
      </c>
      <c r="E2" s="18" t="s">
        <v>94</v>
      </c>
      <c r="F2" s="18" t="s">
        <v>96</v>
      </c>
      <c r="G2" s="18" t="s">
        <v>258</v>
      </c>
      <c r="H2" s="18" t="s">
        <v>209</v>
      </c>
      <c r="I2" s="18" t="s">
        <v>97</v>
      </c>
      <c r="J2" s="18"/>
      <c r="L2" s="75" t="s">
        <v>306</v>
      </c>
      <c r="M2" s="78"/>
      <c r="N2" s="79"/>
      <c r="O2" s="78"/>
    </row>
    <row r="3" spans="1:15">
      <c r="A3" s="30">
        <f>ROW()-2</f>
        <v>1</v>
      </c>
      <c r="B3" s="61" t="s">
        <v>98</v>
      </c>
      <c r="C3" s="62" t="s">
        <v>99</v>
      </c>
      <c r="D3" s="20" t="s">
        <v>100</v>
      </c>
      <c r="E3" s="20">
        <v>1</v>
      </c>
      <c r="F3" s="20" t="s">
        <v>101</v>
      </c>
      <c r="G3" s="19" t="s">
        <v>148</v>
      </c>
      <c r="H3" s="21" t="s">
        <v>192</v>
      </c>
      <c r="I3" s="20">
        <v>1</v>
      </c>
      <c r="J3" s="80"/>
      <c r="L3" s="75"/>
      <c r="M3" s="78" t="s">
        <v>192</v>
      </c>
      <c r="N3" s="79">
        <v>0</v>
      </c>
      <c r="O3" s="78">
        <v>101</v>
      </c>
    </row>
    <row r="4" spans="1:15">
      <c r="A4" s="30">
        <f t="shared" ref="A4:A67" si="0">ROW()-2</f>
        <v>2</v>
      </c>
      <c r="B4" s="61"/>
      <c r="C4" s="62"/>
      <c r="D4" s="20" t="s">
        <v>100</v>
      </c>
      <c r="E4" s="20">
        <v>2</v>
      </c>
      <c r="F4" s="20" t="s">
        <v>149</v>
      </c>
      <c r="G4" s="20"/>
      <c r="H4" s="21" t="s">
        <v>208</v>
      </c>
      <c r="I4" s="20">
        <v>2</v>
      </c>
      <c r="J4" s="80"/>
      <c r="L4" s="75"/>
      <c r="M4" s="78" t="s">
        <v>193</v>
      </c>
      <c r="N4" s="79">
        <v>1</v>
      </c>
      <c r="O4" s="78">
        <v>102</v>
      </c>
    </row>
    <row r="5" spans="1:15">
      <c r="A5" s="30">
        <f t="shared" si="0"/>
        <v>3</v>
      </c>
      <c r="B5" s="61"/>
      <c r="C5" s="62"/>
      <c r="D5" s="20" t="s">
        <v>102</v>
      </c>
      <c r="E5" s="20">
        <v>3</v>
      </c>
      <c r="F5" s="20" t="s">
        <v>103</v>
      </c>
      <c r="G5" s="20"/>
      <c r="H5" s="21" t="s">
        <v>208</v>
      </c>
      <c r="I5" s="20">
        <v>3</v>
      </c>
      <c r="J5" s="80"/>
      <c r="L5" s="75" t="s">
        <v>307</v>
      </c>
      <c r="M5" s="78"/>
      <c r="N5" s="79"/>
      <c r="O5" s="78"/>
    </row>
    <row r="6" spans="1:15">
      <c r="A6" s="30">
        <f t="shared" si="0"/>
        <v>4</v>
      </c>
      <c r="B6" s="61"/>
      <c r="C6" s="62"/>
      <c r="D6" s="20" t="s">
        <v>102</v>
      </c>
      <c r="E6" s="20">
        <v>4</v>
      </c>
      <c r="F6" s="20" t="s">
        <v>104</v>
      </c>
      <c r="G6" s="20"/>
      <c r="H6" s="21" t="s">
        <v>208</v>
      </c>
      <c r="I6" s="20">
        <v>4</v>
      </c>
      <c r="J6" s="80"/>
      <c r="L6" s="75"/>
      <c r="M6" s="78" t="s">
        <v>299</v>
      </c>
      <c r="N6" s="79">
        <v>3</v>
      </c>
      <c r="O6" s="78" t="s">
        <v>300</v>
      </c>
    </row>
    <row r="7" spans="1:15">
      <c r="A7" s="30">
        <f t="shared" si="0"/>
        <v>5</v>
      </c>
      <c r="B7" s="61"/>
      <c r="C7" s="62"/>
      <c r="D7" s="20" t="s">
        <v>102</v>
      </c>
      <c r="E7" s="20">
        <v>5</v>
      </c>
      <c r="F7" s="20" t="s">
        <v>150</v>
      </c>
      <c r="G7" s="20"/>
      <c r="H7" s="21" t="s">
        <v>208</v>
      </c>
      <c r="I7" s="20">
        <v>5</v>
      </c>
      <c r="J7" s="80"/>
      <c r="L7" s="75"/>
      <c r="M7" s="78" t="s">
        <v>301</v>
      </c>
      <c r="N7" s="79">
        <v>1</v>
      </c>
      <c r="O7" s="78" t="s">
        <v>302</v>
      </c>
    </row>
    <row r="8" spans="1:15">
      <c r="A8" s="30">
        <f t="shared" si="0"/>
        <v>6</v>
      </c>
      <c r="B8" s="61"/>
      <c r="C8" s="62"/>
      <c r="D8" s="20" t="s">
        <v>102</v>
      </c>
      <c r="E8" s="20">
        <v>6</v>
      </c>
      <c r="F8" s="20" t="s">
        <v>151</v>
      </c>
      <c r="G8" s="20"/>
      <c r="H8" s="21" t="s">
        <v>208</v>
      </c>
      <c r="I8" s="20">
        <v>6</v>
      </c>
      <c r="J8" s="80"/>
      <c r="L8" s="75"/>
      <c r="M8" s="78" t="s">
        <v>188</v>
      </c>
      <c r="N8" s="79">
        <v>0</v>
      </c>
      <c r="O8" s="78" t="s">
        <v>189</v>
      </c>
    </row>
    <row r="9" spans="1:15">
      <c r="A9" s="30">
        <f t="shared" si="0"/>
        <v>7</v>
      </c>
      <c r="B9" s="61"/>
      <c r="C9" s="62"/>
      <c r="D9" s="48" t="s">
        <v>222</v>
      </c>
      <c r="E9" s="48">
        <v>18</v>
      </c>
      <c r="F9" s="48" t="s">
        <v>223</v>
      </c>
      <c r="G9" s="48"/>
      <c r="H9" s="48"/>
      <c r="I9" s="48">
        <f>MAX(I10:I78)+1</f>
        <v>76</v>
      </c>
      <c r="J9" s="81" t="s">
        <v>247</v>
      </c>
      <c r="L9" s="75"/>
      <c r="M9" s="78" t="s">
        <v>190</v>
      </c>
      <c r="N9" s="79">
        <v>2</v>
      </c>
      <c r="O9" s="78" t="s">
        <v>191</v>
      </c>
    </row>
    <row r="10" spans="1:15">
      <c r="A10" s="30">
        <f t="shared" si="0"/>
        <v>8</v>
      </c>
      <c r="B10" s="61"/>
      <c r="C10" s="62"/>
      <c r="D10" s="20" t="s">
        <v>102</v>
      </c>
      <c r="E10" s="20">
        <v>7</v>
      </c>
      <c r="F10" s="20" t="s">
        <v>105</v>
      </c>
      <c r="G10" s="20"/>
      <c r="H10" s="21" t="s">
        <v>208</v>
      </c>
      <c r="I10" s="20">
        <v>7</v>
      </c>
      <c r="J10" s="80"/>
      <c r="L10" s="75" t="s">
        <v>308</v>
      </c>
      <c r="M10" s="78"/>
      <c r="N10" s="79"/>
      <c r="O10" s="78"/>
    </row>
    <row r="11" spans="1:15">
      <c r="A11" s="30">
        <f t="shared" si="0"/>
        <v>9</v>
      </c>
      <c r="B11" s="61"/>
      <c r="C11" s="62"/>
      <c r="D11" s="20" t="s">
        <v>102</v>
      </c>
      <c r="E11" s="20">
        <v>8</v>
      </c>
      <c r="F11" s="20" t="s">
        <v>106</v>
      </c>
      <c r="G11" s="20"/>
      <c r="H11" s="21" t="s">
        <v>208</v>
      </c>
      <c r="I11" s="20">
        <v>8</v>
      </c>
      <c r="J11" s="80"/>
      <c r="L11" s="75"/>
      <c r="M11" s="91" t="s">
        <v>299</v>
      </c>
      <c r="N11" s="91">
        <v>2</v>
      </c>
      <c r="O11" s="91" t="s">
        <v>303</v>
      </c>
    </row>
    <row r="12" spans="1:15">
      <c r="A12" s="30">
        <f t="shared" si="0"/>
        <v>10</v>
      </c>
      <c r="B12" s="61"/>
      <c r="C12" s="62"/>
      <c r="D12" s="20" t="s">
        <v>102</v>
      </c>
      <c r="E12" s="20">
        <v>9</v>
      </c>
      <c r="F12" s="20" t="s">
        <v>107</v>
      </c>
      <c r="G12" s="20"/>
      <c r="H12" s="21" t="s">
        <v>208</v>
      </c>
      <c r="I12" s="20">
        <v>9</v>
      </c>
      <c r="J12" s="80"/>
      <c r="L12" s="75"/>
      <c r="M12" s="78" t="s">
        <v>184</v>
      </c>
      <c r="N12" s="79">
        <v>0</v>
      </c>
      <c r="O12" s="78" t="s">
        <v>185</v>
      </c>
    </row>
    <row r="13" spans="1:15">
      <c r="A13" s="30">
        <f t="shared" si="0"/>
        <v>11</v>
      </c>
      <c r="B13" s="61"/>
      <c r="C13" s="62" t="s">
        <v>152</v>
      </c>
      <c r="D13" s="20" t="s">
        <v>102</v>
      </c>
      <c r="E13" s="20">
        <v>10</v>
      </c>
      <c r="F13" s="20" t="s">
        <v>153</v>
      </c>
      <c r="G13" s="20"/>
      <c r="H13" s="21" t="s">
        <v>208</v>
      </c>
      <c r="I13" s="20">
        <v>10</v>
      </c>
      <c r="J13" s="80"/>
      <c r="L13" s="75"/>
      <c r="M13" s="78" t="s">
        <v>186</v>
      </c>
      <c r="N13" s="79">
        <v>1</v>
      </c>
      <c r="O13" s="78" t="s">
        <v>187</v>
      </c>
    </row>
    <row r="14" spans="1:15">
      <c r="A14" s="30">
        <f t="shared" si="0"/>
        <v>12</v>
      </c>
      <c r="B14" s="61"/>
      <c r="C14" s="62"/>
      <c r="D14" s="20" t="s">
        <v>102</v>
      </c>
      <c r="E14" s="20">
        <v>11</v>
      </c>
      <c r="F14" s="20" t="s">
        <v>108</v>
      </c>
      <c r="G14" s="20"/>
      <c r="H14" s="21" t="s">
        <v>208</v>
      </c>
      <c r="I14" s="20">
        <v>11</v>
      </c>
      <c r="J14" s="80"/>
      <c r="L14" s="75" t="s">
        <v>309</v>
      </c>
      <c r="M14" s="78"/>
      <c r="N14" s="79"/>
      <c r="O14" s="78"/>
    </row>
    <row r="15" spans="1:15">
      <c r="A15" s="30">
        <f t="shared" si="0"/>
        <v>13</v>
      </c>
      <c r="B15" s="61"/>
      <c r="C15" s="38" t="s">
        <v>154</v>
      </c>
      <c r="D15" s="20" t="s">
        <v>102</v>
      </c>
      <c r="E15" s="20">
        <v>12</v>
      </c>
      <c r="F15" s="20" t="s">
        <v>109</v>
      </c>
      <c r="G15" s="20"/>
      <c r="H15" s="21" t="s">
        <v>208</v>
      </c>
      <c r="I15" s="20">
        <v>12</v>
      </c>
      <c r="J15" s="80"/>
      <c r="L15" s="75"/>
      <c r="M15" s="78" t="s">
        <v>192</v>
      </c>
      <c r="N15" s="79">
        <v>0</v>
      </c>
      <c r="O15" s="78" t="s">
        <v>289</v>
      </c>
    </row>
    <row r="16" spans="1:15">
      <c r="A16" s="30">
        <f t="shared" si="0"/>
        <v>14</v>
      </c>
      <c r="B16" s="61"/>
      <c r="C16" s="38" t="s">
        <v>155</v>
      </c>
      <c r="D16" s="20" t="s">
        <v>102</v>
      </c>
      <c r="E16" s="20">
        <v>13</v>
      </c>
      <c r="F16" s="20" t="s">
        <v>92</v>
      </c>
      <c r="G16" s="20"/>
      <c r="H16" s="21" t="s">
        <v>208</v>
      </c>
      <c r="I16" s="20">
        <v>13</v>
      </c>
      <c r="J16" s="80"/>
      <c r="L16" s="75"/>
      <c r="M16" s="78" t="s">
        <v>280</v>
      </c>
      <c r="N16" s="79">
        <v>1</v>
      </c>
      <c r="O16" s="78" t="s">
        <v>290</v>
      </c>
    </row>
    <row r="17" spans="1:15">
      <c r="A17" s="30">
        <f t="shared" si="0"/>
        <v>15</v>
      </c>
      <c r="B17" s="61"/>
      <c r="C17" s="38" t="s">
        <v>156</v>
      </c>
      <c r="D17" s="20" t="s">
        <v>102</v>
      </c>
      <c r="E17" s="20">
        <v>14</v>
      </c>
      <c r="F17" s="20" t="s">
        <v>93</v>
      </c>
      <c r="G17" s="20"/>
      <c r="H17" s="21" t="s">
        <v>208</v>
      </c>
      <c r="I17" s="20">
        <v>14</v>
      </c>
      <c r="J17" s="80"/>
      <c r="L17" s="75"/>
      <c r="M17" s="78" t="s">
        <v>282</v>
      </c>
      <c r="N17" s="79">
        <v>2</v>
      </c>
      <c r="O17" s="78" t="s">
        <v>291</v>
      </c>
    </row>
    <row r="18" spans="1:15">
      <c r="A18" s="30">
        <f t="shared" si="0"/>
        <v>16</v>
      </c>
      <c r="B18" s="61"/>
      <c r="C18" s="38" t="s">
        <v>157</v>
      </c>
      <c r="D18" s="20" t="s">
        <v>102</v>
      </c>
      <c r="E18" s="20">
        <v>15</v>
      </c>
      <c r="F18" s="20" t="s">
        <v>110</v>
      </c>
      <c r="G18" s="20"/>
      <c r="H18" s="21" t="s">
        <v>208</v>
      </c>
      <c r="I18" s="20">
        <v>15</v>
      </c>
      <c r="J18" s="80"/>
      <c r="L18" s="75"/>
      <c r="M18" s="78" t="s">
        <v>283</v>
      </c>
      <c r="N18" s="79">
        <v>3</v>
      </c>
      <c r="O18" s="78" t="s">
        <v>292</v>
      </c>
    </row>
    <row r="19" spans="1:15">
      <c r="A19" s="30">
        <f t="shared" si="0"/>
        <v>17</v>
      </c>
      <c r="B19" s="61"/>
      <c r="C19" s="62" t="s">
        <v>158</v>
      </c>
      <c r="D19" s="20" t="s">
        <v>102</v>
      </c>
      <c r="E19" s="20">
        <v>16</v>
      </c>
      <c r="F19" s="20" t="s">
        <v>111</v>
      </c>
      <c r="G19" s="20"/>
      <c r="H19" s="21" t="s">
        <v>208</v>
      </c>
      <c r="I19" s="20">
        <v>16</v>
      </c>
      <c r="J19" s="80"/>
      <c r="L19" s="75"/>
      <c r="M19" s="78" t="s">
        <v>281</v>
      </c>
      <c r="N19" s="79">
        <v>4</v>
      </c>
      <c r="O19" s="78" t="s">
        <v>293</v>
      </c>
    </row>
    <row r="20" spans="1:15">
      <c r="A20" s="30">
        <f t="shared" si="0"/>
        <v>18</v>
      </c>
      <c r="B20" s="61"/>
      <c r="C20" s="62"/>
      <c r="D20" s="31" t="s">
        <v>100</v>
      </c>
      <c r="E20" s="20">
        <v>17</v>
      </c>
      <c r="F20" s="31" t="s">
        <v>159</v>
      </c>
      <c r="G20" s="32"/>
      <c r="H20" s="21" t="s">
        <v>208</v>
      </c>
      <c r="I20" s="31">
        <v>54</v>
      </c>
      <c r="J20" s="82" t="s">
        <v>160</v>
      </c>
      <c r="L20" s="75"/>
      <c r="M20" s="78" t="s">
        <v>284</v>
      </c>
      <c r="N20" s="79">
        <v>5</v>
      </c>
      <c r="O20" s="78" t="s">
        <v>294</v>
      </c>
    </row>
    <row r="21" spans="1:15">
      <c r="A21" s="30">
        <f t="shared" si="0"/>
        <v>19</v>
      </c>
      <c r="B21" s="67" t="s">
        <v>161</v>
      </c>
      <c r="C21" s="38" t="s">
        <v>162</v>
      </c>
      <c r="D21" s="21" t="s">
        <v>163</v>
      </c>
      <c r="E21" s="21">
        <v>1</v>
      </c>
      <c r="F21" s="21" t="s">
        <v>112</v>
      </c>
      <c r="G21" s="20"/>
      <c r="H21" s="21" t="s">
        <v>208</v>
      </c>
      <c r="I21" s="21">
        <v>17</v>
      </c>
      <c r="J21" s="82"/>
      <c r="L21" s="75"/>
      <c r="M21" s="78" t="s">
        <v>285</v>
      </c>
      <c r="N21" s="79">
        <v>6</v>
      </c>
      <c r="O21" s="78" t="s">
        <v>295</v>
      </c>
    </row>
    <row r="22" spans="1:15">
      <c r="A22" s="30">
        <f t="shared" si="0"/>
        <v>20</v>
      </c>
      <c r="B22" s="68"/>
      <c r="C22" s="64" t="s">
        <v>164</v>
      </c>
      <c r="D22" s="21" t="s">
        <v>113</v>
      </c>
      <c r="E22" s="21">
        <v>2</v>
      </c>
      <c r="F22" s="21" t="s">
        <v>114</v>
      </c>
      <c r="G22" s="20"/>
      <c r="H22" s="21" t="s">
        <v>208</v>
      </c>
      <c r="I22" s="21">
        <v>18</v>
      </c>
      <c r="J22" s="82"/>
      <c r="L22" s="75"/>
      <c r="M22" s="78" t="s">
        <v>286</v>
      </c>
      <c r="N22" s="79">
        <v>7</v>
      </c>
      <c r="O22" s="78" t="s">
        <v>296</v>
      </c>
    </row>
    <row r="23" spans="1:15">
      <c r="A23" s="30">
        <f t="shared" si="0"/>
        <v>21</v>
      </c>
      <c r="B23" s="68"/>
      <c r="C23" s="65"/>
      <c r="D23" s="21" t="s">
        <v>113</v>
      </c>
      <c r="E23" s="21">
        <v>3</v>
      </c>
      <c r="F23" s="21" t="s">
        <v>115</v>
      </c>
      <c r="G23" s="20"/>
      <c r="H23" s="21" t="s">
        <v>208</v>
      </c>
      <c r="I23" s="21">
        <v>19</v>
      </c>
      <c r="J23" s="82"/>
      <c r="L23" s="75"/>
      <c r="M23" s="78" t="s">
        <v>287</v>
      </c>
      <c r="N23" s="79">
        <v>8</v>
      </c>
      <c r="O23" s="78" t="s">
        <v>297</v>
      </c>
    </row>
    <row r="24" spans="1:15">
      <c r="A24" s="30">
        <f t="shared" si="0"/>
        <v>22</v>
      </c>
      <c r="B24" s="68"/>
      <c r="C24" s="65"/>
      <c r="D24" s="21" t="s">
        <v>113</v>
      </c>
      <c r="E24" s="21">
        <v>4</v>
      </c>
      <c r="F24" s="21" t="s">
        <v>116</v>
      </c>
      <c r="G24" s="20"/>
      <c r="H24" s="21" t="s">
        <v>208</v>
      </c>
      <c r="I24" s="21">
        <v>20</v>
      </c>
      <c r="J24" s="82"/>
      <c r="L24" s="75"/>
      <c r="M24" s="78" t="s">
        <v>288</v>
      </c>
      <c r="N24" s="79">
        <v>9</v>
      </c>
      <c r="O24" s="78" t="s">
        <v>298</v>
      </c>
    </row>
    <row r="25" spans="1:15">
      <c r="A25" s="30">
        <f t="shared" si="0"/>
        <v>23</v>
      </c>
      <c r="B25" s="68"/>
      <c r="C25" s="65"/>
      <c r="D25" s="21" t="s">
        <v>113</v>
      </c>
      <c r="E25" s="21">
        <v>5</v>
      </c>
      <c r="F25" s="21" t="s">
        <v>117</v>
      </c>
      <c r="G25" s="20"/>
      <c r="H25" s="21" t="s">
        <v>208</v>
      </c>
      <c r="I25" s="21">
        <v>21</v>
      </c>
      <c r="J25" s="82"/>
    </row>
    <row r="26" spans="1:15">
      <c r="A26" s="30">
        <f t="shared" si="0"/>
        <v>24</v>
      </c>
      <c r="B26" s="68"/>
      <c r="C26" s="65"/>
      <c r="D26" s="21" t="s">
        <v>113</v>
      </c>
      <c r="E26" s="21">
        <v>6</v>
      </c>
      <c r="F26" s="21" t="s">
        <v>118</v>
      </c>
      <c r="G26" s="20"/>
      <c r="H26" s="21" t="s">
        <v>208</v>
      </c>
      <c r="I26" s="21">
        <v>22</v>
      </c>
      <c r="J26" s="82"/>
    </row>
    <row r="27" spans="1:15" ht="24">
      <c r="A27" s="30">
        <f t="shared" si="0"/>
        <v>25</v>
      </c>
      <c r="B27" s="68"/>
      <c r="C27" s="65"/>
      <c r="D27" s="21" t="s">
        <v>113</v>
      </c>
      <c r="E27" s="21">
        <v>7</v>
      </c>
      <c r="F27" s="21" t="s">
        <v>119</v>
      </c>
      <c r="G27" s="20"/>
      <c r="H27" s="21" t="s">
        <v>208</v>
      </c>
      <c r="I27" s="21">
        <v>23</v>
      </c>
      <c r="J27" s="82"/>
      <c r="L27" s="77" t="s">
        <v>304</v>
      </c>
      <c r="M27" s="75"/>
      <c r="N27" s="76" t="s">
        <v>218</v>
      </c>
      <c r="O27" s="77" t="s">
        <v>217</v>
      </c>
    </row>
    <row r="28" spans="1:15">
      <c r="A28" s="30">
        <f t="shared" si="0"/>
        <v>26</v>
      </c>
      <c r="B28" s="69"/>
      <c r="C28" s="66"/>
      <c r="D28" s="47" t="s">
        <v>277</v>
      </c>
      <c r="E28" s="47">
        <v>8</v>
      </c>
      <c r="F28" s="47" t="s">
        <v>254</v>
      </c>
      <c r="G28" s="47"/>
      <c r="H28" s="47"/>
      <c r="I28" s="47">
        <v>74</v>
      </c>
      <c r="J28" s="94" t="s">
        <v>255</v>
      </c>
      <c r="L28" s="74"/>
      <c r="M28" s="78" t="s">
        <v>194</v>
      </c>
      <c r="N28" s="79">
        <v>0</v>
      </c>
      <c r="O28" s="78" t="s">
        <v>181</v>
      </c>
    </row>
    <row r="29" spans="1:15">
      <c r="A29" s="30">
        <f t="shared" si="0"/>
        <v>27</v>
      </c>
      <c r="B29" s="61" t="s">
        <v>165</v>
      </c>
      <c r="C29" s="62" t="s">
        <v>166</v>
      </c>
      <c r="D29" s="21" t="s">
        <v>91</v>
      </c>
      <c r="E29" s="21">
        <v>1</v>
      </c>
      <c r="F29" s="21" t="s">
        <v>120</v>
      </c>
      <c r="G29" s="19" t="s">
        <v>239</v>
      </c>
      <c r="H29" s="22" t="s">
        <v>239</v>
      </c>
      <c r="I29" s="21">
        <v>24</v>
      </c>
      <c r="J29" s="82"/>
      <c r="L29" s="74"/>
      <c r="M29" s="78" t="s">
        <v>195</v>
      </c>
      <c r="N29" s="79">
        <v>1</v>
      </c>
      <c r="O29" s="78" t="s">
        <v>182</v>
      </c>
    </row>
    <row r="30" spans="1:15">
      <c r="A30" s="30">
        <f t="shared" si="0"/>
        <v>28</v>
      </c>
      <c r="B30" s="61"/>
      <c r="C30" s="62"/>
      <c r="D30" s="21" t="s">
        <v>11</v>
      </c>
      <c r="E30" s="21">
        <v>2</v>
      </c>
      <c r="F30" s="21" t="s">
        <v>121</v>
      </c>
      <c r="G30" s="19" t="s">
        <v>239</v>
      </c>
      <c r="H30" s="22" t="s">
        <v>239</v>
      </c>
      <c r="I30" s="21">
        <v>25</v>
      </c>
      <c r="J30" s="82"/>
      <c r="L30" s="74"/>
      <c r="M30" s="78" t="s">
        <v>196</v>
      </c>
      <c r="N30" s="79">
        <v>2</v>
      </c>
      <c r="O30" s="78" t="s">
        <v>183</v>
      </c>
    </row>
    <row r="31" spans="1:15">
      <c r="A31" s="30">
        <f t="shared" si="0"/>
        <v>29</v>
      </c>
      <c r="B31" s="61"/>
      <c r="C31" s="62"/>
      <c r="D31" s="21" t="s">
        <v>91</v>
      </c>
      <c r="E31" s="21"/>
      <c r="F31" s="21" t="s">
        <v>240</v>
      </c>
      <c r="G31" s="23"/>
      <c r="H31" s="40"/>
      <c r="I31" s="41">
        <v>57</v>
      </c>
      <c r="J31" s="82" t="s">
        <v>241</v>
      </c>
      <c r="L31" s="74"/>
      <c r="M31" s="78" t="s">
        <v>197</v>
      </c>
      <c r="N31" s="79">
        <v>3</v>
      </c>
      <c r="O31" s="78" t="s">
        <v>199</v>
      </c>
    </row>
    <row r="32" spans="1:15">
      <c r="A32" s="30">
        <f t="shared" si="0"/>
        <v>30</v>
      </c>
      <c r="B32" s="61"/>
      <c r="C32" s="62"/>
      <c r="D32" s="42" t="s">
        <v>225</v>
      </c>
      <c r="E32" s="42">
        <v>31</v>
      </c>
      <c r="F32" s="42" t="s">
        <v>226</v>
      </c>
      <c r="G32" s="42"/>
      <c r="H32" s="42"/>
      <c r="I32" s="42">
        <v>58</v>
      </c>
      <c r="J32" s="85"/>
      <c r="L32" s="74"/>
      <c r="M32" s="78" t="s">
        <v>198</v>
      </c>
      <c r="N32" s="79">
        <v>4</v>
      </c>
      <c r="O32" s="78" t="s">
        <v>200</v>
      </c>
    </row>
    <row r="33" spans="1:15">
      <c r="A33" s="30">
        <f t="shared" si="0"/>
        <v>31</v>
      </c>
      <c r="B33" s="61"/>
      <c r="C33" s="62"/>
      <c r="D33" s="42" t="s">
        <v>210</v>
      </c>
      <c r="E33" s="42">
        <v>32</v>
      </c>
      <c r="F33" s="42" t="s">
        <v>227</v>
      </c>
      <c r="G33" s="42"/>
      <c r="H33" s="42"/>
      <c r="I33" s="42">
        <v>59</v>
      </c>
      <c r="J33" s="85"/>
    </row>
    <row r="34" spans="1:15">
      <c r="A34" s="30">
        <f t="shared" si="0"/>
        <v>32</v>
      </c>
      <c r="B34" s="61"/>
      <c r="C34" s="62"/>
      <c r="D34" s="42" t="s">
        <v>210</v>
      </c>
      <c r="E34" s="42">
        <v>33</v>
      </c>
      <c r="F34" s="42" t="s">
        <v>228</v>
      </c>
      <c r="G34" s="42"/>
      <c r="H34" s="42"/>
      <c r="I34" s="42">
        <v>60</v>
      </c>
      <c r="J34" s="85"/>
    </row>
    <row r="35" spans="1:15" ht="24">
      <c r="A35" s="30">
        <f t="shared" si="0"/>
        <v>33</v>
      </c>
      <c r="B35" s="61"/>
      <c r="C35" s="62"/>
      <c r="D35" s="42" t="s">
        <v>210</v>
      </c>
      <c r="E35" s="42">
        <v>34</v>
      </c>
      <c r="F35" s="42" t="s">
        <v>229</v>
      </c>
      <c r="G35" s="42"/>
      <c r="H35" s="42"/>
      <c r="I35" s="42">
        <v>61</v>
      </c>
      <c r="J35" s="85"/>
      <c r="L35" s="77" t="s">
        <v>305</v>
      </c>
      <c r="M35" s="75"/>
      <c r="N35" s="76" t="s">
        <v>218</v>
      </c>
      <c r="O35" s="77" t="s">
        <v>217</v>
      </c>
    </row>
    <row r="36" spans="1:15">
      <c r="A36" s="30">
        <f t="shared" si="0"/>
        <v>34</v>
      </c>
      <c r="B36" s="61"/>
      <c r="C36" s="62"/>
      <c r="D36" s="42" t="s">
        <v>210</v>
      </c>
      <c r="E36" s="42">
        <v>35</v>
      </c>
      <c r="F36" s="42" t="s">
        <v>230</v>
      </c>
      <c r="G36" s="42"/>
      <c r="H36" s="42"/>
      <c r="I36" s="42">
        <v>62</v>
      </c>
      <c r="J36" s="85"/>
      <c r="L36" s="74"/>
      <c r="M36" s="78" t="s">
        <v>194</v>
      </c>
      <c r="N36" s="79">
        <v>0</v>
      </c>
      <c r="O36" s="78" t="s">
        <v>181</v>
      </c>
    </row>
    <row r="37" spans="1:15">
      <c r="A37" s="30">
        <f t="shared" si="0"/>
        <v>35</v>
      </c>
      <c r="B37" s="61"/>
      <c r="C37" s="62"/>
      <c r="D37" s="42" t="s">
        <v>210</v>
      </c>
      <c r="E37" s="42">
        <v>37</v>
      </c>
      <c r="F37" s="42" t="s">
        <v>231</v>
      </c>
      <c r="G37" s="42"/>
      <c r="H37" s="42"/>
      <c r="I37" s="42">
        <v>64</v>
      </c>
      <c r="J37" s="85" t="s">
        <v>232</v>
      </c>
      <c r="L37" s="74"/>
      <c r="M37" s="78" t="s">
        <v>195</v>
      </c>
      <c r="N37" s="79">
        <v>1</v>
      </c>
      <c r="O37" s="78" t="s">
        <v>182</v>
      </c>
    </row>
    <row r="38" spans="1:15">
      <c r="A38" s="30">
        <f t="shared" si="0"/>
        <v>36</v>
      </c>
      <c r="B38" s="61"/>
      <c r="C38" s="62"/>
      <c r="D38" s="42" t="s">
        <v>210</v>
      </c>
      <c r="E38" s="42">
        <v>36</v>
      </c>
      <c r="F38" s="42" t="s">
        <v>233</v>
      </c>
      <c r="G38" s="42"/>
      <c r="H38" s="42"/>
      <c r="I38" s="42">
        <v>63</v>
      </c>
      <c r="J38" s="85" t="s">
        <v>232</v>
      </c>
      <c r="L38" s="74"/>
      <c r="M38" s="78" t="s">
        <v>196</v>
      </c>
      <c r="N38" s="79">
        <v>2</v>
      </c>
      <c r="O38" s="78" t="s">
        <v>183</v>
      </c>
    </row>
    <row r="39" spans="1:15">
      <c r="A39" s="30">
        <f t="shared" si="0"/>
        <v>37</v>
      </c>
      <c r="B39" s="61"/>
      <c r="C39" s="62"/>
      <c r="D39" s="42" t="s">
        <v>210</v>
      </c>
      <c r="E39" s="42">
        <v>38</v>
      </c>
      <c r="F39" s="42" t="s">
        <v>234</v>
      </c>
      <c r="G39" s="42"/>
      <c r="H39" s="42"/>
      <c r="I39" s="42">
        <v>65</v>
      </c>
      <c r="J39" s="85"/>
      <c r="L39" s="74"/>
      <c r="M39" s="78" t="s">
        <v>197</v>
      </c>
      <c r="N39" s="79">
        <v>3</v>
      </c>
      <c r="O39" s="78" t="s">
        <v>199</v>
      </c>
    </row>
    <row r="40" spans="1:15">
      <c r="A40" s="30">
        <f t="shared" si="0"/>
        <v>38</v>
      </c>
      <c r="B40" s="61"/>
      <c r="C40" s="62"/>
      <c r="D40" s="42" t="s">
        <v>210</v>
      </c>
      <c r="E40" s="42">
        <v>39</v>
      </c>
      <c r="F40" s="42" t="s">
        <v>235</v>
      </c>
      <c r="G40" s="42"/>
      <c r="H40" s="42"/>
      <c r="I40" s="42">
        <v>66</v>
      </c>
      <c r="J40" s="85"/>
      <c r="L40" s="74"/>
      <c r="M40" s="78" t="s">
        <v>198</v>
      </c>
      <c r="N40" s="79">
        <v>4</v>
      </c>
      <c r="O40" s="78" t="s">
        <v>200</v>
      </c>
    </row>
    <row r="41" spans="1:15">
      <c r="A41" s="30">
        <f t="shared" si="0"/>
        <v>39</v>
      </c>
      <c r="B41" s="61"/>
      <c r="C41" s="62"/>
      <c r="D41" s="42" t="s">
        <v>210</v>
      </c>
      <c r="E41" s="42">
        <v>40</v>
      </c>
      <c r="F41" s="42" t="s">
        <v>236</v>
      </c>
      <c r="G41" s="42"/>
      <c r="H41" s="42"/>
      <c r="I41" s="42">
        <v>67</v>
      </c>
      <c r="J41" s="85"/>
      <c r="L41" s="74"/>
      <c r="M41" s="78" t="s">
        <v>250</v>
      </c>
      <c r="N41" s="79" t="s">
        <v>313</v>
      </c>
      <c r="O41" s="78" t="s">
        <v>252</v>
      </c>
    </row>
    <row r="42" spans="1:15">
      <c r="A42" s="30">
        <f t="shared" si="0"/>
        <v>40</v>
      </c>
      <c r="B42" s="61"/>
      <c r="C42" s="62"/>
      <c r="D42" s="42" t="s">
        <v>210</v>
      </c>
      <c r="E42" s="42">
        <v>41</v>
      </c>
      <c r="F42" s="42" t="s">
        <v>237</v>
      </c>
      <c r="G42" s="42"/>
      <c r="H42" s="42"/>
      <c r="I42" s="42">
        <v>68</v>
      </c>
      <c r="J42" s="85"/>
      <c r="L42" s="74"/>
      <c r="M42" s="78" t="s">
        <v>251</v>
      </c>
      <c r="N42" s="79" t="s">
        <v>313</v>
      </c>
      <c r="O42" s="78" t="s">
        <v>253</v>
      </c>
    </row>
    <row r="43" spans="1:15">
      <c r="A43" s="30">
        <f t="shared" si="0"/>
        <v>41</v>
      </c>
      <c r="B43" s="61"/>
      <c r="C43" s="62"/>
      <c r="D43" s="72" t="s">
        <v>210</v>
      </c>
      <c r="E43" s="72">
        <v>42</v>
      </c>
      <c r="F43" s="72" t="s">
        <v>273</v>
      </c>
      <c r="G43" s="72"/>
      <c r="H43" s="72"/>
      <c r="I43" s="72">
        <v>69</v>
      </c>
      <c r="J43" s="86" t="s">
        <v>274</v>
      </c>
    </row>
    <row r="44" spans="1:15">
      <c r="A44" s="30">
        <f t="shared" si="0"/>
        <v>42</v>
      </c>
      <c r="B44" s="61"/>
      <c r="C44" s="62"/>
      <c r="D44" s="72" t="s">
        <v>210</v>
      </c>
      <c r="E44" s="72">
        <v>43</v>
      </c>
      <c r="F44" s="72" t="s">
        <v>275</v>
      </c>
      <c r="G44" s="72"/>
      <c r="H44" s="72"/>
      <c r="I44" s="72">
        <v>70</v>
      </c>
      <c r="J44" s="86" t="s">
        <v>274</v>
      </c>
    </row>
    <row r="45" spans="1:15">
      <c r="A45" s="30">
        <f t="shared" si="0"/>
        <v>43</v>
      </c>
      <c r="B45" s="61"/>
      <c r="C45" s="62"/>
      <c r="D45" s="72" t="s">
        <v>210</v>
      </c>
      <c r="E45" s="72">
        <v>44</v>
      </c>
      <c r="F45" s="72" t="s">
        <v>276</v>
      </c>
      <c r="G45" s="72"/>
      <c r="H45" s="72"/>
      <c r="I45" s="72">
        <v>71</v>
      </c>
      <c r="J45" s="86"/>
    </row>
    <row r="46" spans="1:15">
      <c r="A46" s="30">
        <f t="shared" si="0"/>
        <v>44</v>
      </c>
      <c r="B46" s="61"/>
      <c r="C46" s="62"/>
      <c r="D46" s="42" t="s">
        <v>210</v>
      </c>
      <c r="E46" s="42">
        <v>45</v>
      </c>
      <c r="F46" s="42" t="s">
        <v>238</v>
      </c>
      <c r="G46" s="42"/>
      <c r="H46" s="42"/>
      <c r="I46" s="42">
        <v>72</v>
      </c>
      <c r="J46" s="85"/>
    </row>
    <row r="47" spans="1:15">
      <c r="A47" s="30">
        <f t="shared" si="0"/>
        <v>45</v>
      </c>
      <c r="B47" s="61"/>
      <c r="C47" s="62"/>
      <c r="D47" s="34" t="s">
        <v>91</v>
      </c>
      <c r="E47" s="35">
        <v>46</v>
      </c>
      <c r="F47" s="35" t="s">
        <v>242</v>
      </c>
      <c r="G47" s="35"/>
      <c r="H47" s="46"/>
      <c r="I47" s="35">
        <v>73</v>
      </c>
      <c r="J47" s="87" t="s">
        <v>243</v>
      </c>
    </row>
    <row r="48" spans="1:15">
      <c r="A48" s="30">
        <f t="shared" si="0"/>
        <v>46</v>
      </c>
      <c r="B48" s="61"/>
      <c r="C48" s="62"/>
      <c r="D48" s="21" t="s">
        <v>214</v>
      </c>
      <c r="E48" s="21">
        <v>28</v>
      </c>
      <c r="F48" s="21" t="s">
        <v>219</v>
      </c>
      <c r="G48" s="20"/>
      <c r="H48" s="45" t="s">
        <v>208</v>
      </c>
      <c r="I48" s="21">
        <v>53</v>
      </c>
      <c r="J48" s="82"/>
    </row>
    <row r="49" spans="1:10">
      <c r="A49" s="30">
        <f t="shared" si="0"/>
        <v>47</v>
      </c>
      <c r="B49" s="61"/>
      <c r="C49" s="62"/>
      <c r="D49" s="20" t="s">
        <v>11</v>
      </c>
      <c r="E49" s="20">
        <v>3</v>
      </c>
      <c r="F49" s="20" t="s">
        <v>122</v>
      </c>
      <c r="G49" s="20" t="s">
        <v>239</v>
      </c>
      <c r="H49" s="45" t="s">
        <v>239</v>
      </c>
      <c r="I49" s="20">
        <v>26</v>
      </c>
      <c r="J49" s="80"/>
    </row>
    <row r="50" spans="1:10">
      <c r="A50" s="30">
        <f t="shared" si="0"/>
        <v>48</v>
      </c>
      <c r="B50" s="61"/>
      <c r="C50" s="62"/>
      <c r="D50" s="20" t="s">
        <v>11</v>
      </c>
      <c r="E50" s="20">
        <v>4</v>
      </c>
      <c r="F50" s="20" t="s">
        <v>90</v>
      </c>
      <c r="G50" s="20"/>
      <c r="H50" s="45" t="s">
        <v>208</v>
      </c>
      <c r="I50" s="20">
        <v>27</v>
      </c>
      <c r="J50" s="80"/>
    </row>
    <row r="51" spans="1:10">
      <c r="A51" s="30">
        <f t="shared" si="0"/>
        <v>49</v>
      </c>
      <c r="B51" s="61"/>
      <c r="C51" s="62"/>
      <c r="D51" s="20" t="s">
        <v>11</v>
      </c>
      <c r="E51" s="20">
        <v>5</v>
      </c>
      <c r="F51" s="20" t="s">
        <v>123</v>
      </c>
      <c r="G51" s="20" t="s">
        <v>239</v>
      </c>
      <c r="H51" s="45" t="s">
        <v>239</v>
      </c>
      <c r="I51" s="20">
        <v>28</v>
      </c>
      <c r="J51" s="80"/>
    </row>
    <row r="52" spans="1:10">
      <c r="A52" s="30">
        <f t="shared" si="0"/>
        <v>50</v>
      </c>
      <c r="B52" s="61"/>
      <c r="C52" s="62"/>
      <c r="D52" s="20" t="s">
        <v>11</v>
      </c>
      <c r="E52" s="20">
        <v>6</v>
      </c>
      <c r="F52" s="20" t="s">
        <v>124</v>
      </c>
      <c r="G52" s="20" t="s">
        <v>239</v>
      </c>
      <c r="H52" s="45" t="s">
        <v>239</v>
      </c>
      <c r="I52" s="20">
        <v>29</v>
      </c>
      <c r="J52" s="80"/>
    </row>
    <row r="53" spans="1:10">
      <c r="A53" s="30">
        <f t="shared" si="0"/>
        <v>51</v>
      </c>
      <c r="B53" s="61"/>
      <c r="C53" s="62"/>
      <c r="D53" s="20" t="s">
        <v>11</v>
      </c>
      <c r="E53" s="20">
        <v>7</v>
      </c>
      <c r="F53" s="20" t="s">
        <v>125</v>
      </c>
      <c r="G53" s="20" t="s">
        <v>239</v>
      </c>
      <c r="H53" s="45" t="s">
        <v>239</v>
      </c>
      <c r="I53" s="20">
        <v>30</v>
      </c>
      <c r="J53" s="80"/>
    </row>
    <row r="54" spans="1:10">
      <c r="A54" s="30">
        <f t="shared" si="0"/>
        <v>52</v>
      </c>
      <c r="B54" s="61"/>
      <c r="C54" s="62"/>
      <c r="D54" s="20" t="s">
        <v>11</v>
      </c>
      <c r="E54" s="20">
        <v>8</v>
      </c>
      <c r="F54" s="20" t="s">
        <v>126</v>
      </c>
      <c r="G54" s="20" t="s">
        <v>239</v>
      </c>
      <c r="H54" s="45" t="s">
        <v>239</v>
      </c>
      <c r="I54" s="20">
        <v>31</v>
      </c>
      <c r="J54" s="80"/>
    </row>
    <row r="55" spans="1:10">
      <c r="A55" s="30">
        <f t="shared" si="0"/>
        <v>53</v>
      </c>
      <c r="B55" s="61"/>
      <c r="C55" s="62"/>
      <c r="D55" s="20" t="s">
        <v>11</v>
      </c>
      <c r="E55" s="20">
        <v>9</v>
      </c>
      <c r="F55" s="20" t="s">
        <v>127</v>
      </c>
      <c r="G55" s="20" t="s">
        <v>239</v>
      </c>
      <c r="H55" s="45" t="s">
        <v>239</v>
      </c>
      <c r="I55" s="20">
        <v>32</v>
      </c>
      <c r="J55" s="80"/>
    </row>
    <row r="56" spans="1:10">
      <c r="A56" s="30">
        <f t="shared" si="0"/>
        <v>54</v>
      </c>
      <c r="B56" s="61"/>
      <c r="C56" s="62"/>
      <c r="D56" s="20" t="s">
        <v>11</v>
      </c>
      <c r="E56" s="20">
        <v>10</v>
      </c>
      <c r="F56" s="20" t="s">
        <v>128</v>
      </c>
      <c r="G56" s="20" t="s">
        <v>239</v>
      </c>
      <c r="H56" s="45" t="s">
        <v>239</v>
      </c>
      <c r="I56" s="20">
        <v>33</v>
      </c>
      <c r="J56" s="80"/>
    </row>
    <row r="57" spans="1:10">
      <c r="A57" s="30">
        <f t="shared" si="0"/>
        <v>55</v>
      </c>
      <c r="B57" s="61"/>
      <c r="C57" s="62"/>
      <c r="D57" s="20" t="s">
        <v>11</v>
      </c>
      <c r="E57" s="20">
        <v>11</v>
      </c>
      <c r="F57" s="20" t="s">
        <v>129</v>
      </c>
      <c r="G57" s="20" t="s">
        <v>239</v>
      </c>
      <c r="H57" s="45" t="s">
        <v>239</v>
      </c>
      <c r="I57" s="20">
        <v>34</v>
      </c>
      <c r="J57" s="80"/>
    </row>
    <row r="58" spans="1:10">
      <c r="A58" s="30">
        <f t="shared" si="0"/>
        <v>56</v>
      </c>
      <c r="B58" s="61"/>
      <c r="C58" s="62"/>
      <c r="D58" s="20" t="s">
        <v>11</v>
      </c>
      <c r="E58" s="20">
        <v>12</v>
      </c>
      <c r="F58" s="20" t="s">
        <v>130</v>
      </c>
      <c r="G58" s="20" t="s">
        <v>239</v>
      </c>
      <c r="H58" s="45" t="s">
        <v>239</v>
      </c>
      <c r="I58" s="20">
        <v>35</v>
      </c>
      <c r="J58" s="80"/>
    </row>
    <row r="59" spans="1:10">
      <c r="A59" s="30">
        <f t="shared" si="0"/>
        <v>57</v>
      </c>
      <c r="B59" s="61"/>
      <c r="C59" s="38" t="s">
        <v>168</v>
      </c>
      <c r="D59" s="20" t="s">
        <v>11</v>
      </c>
      <c r="E59" s="20">
        <v>13</v>
      </c>
      <c r="F59" s="20" t="s">
        <v>131</v>
      </c>
      <c r="G59" s="20" t="s">
        <v>147</v>
      </c>
      <c r="H59" s="45" t="s">
        <v>248</v>
      </c>
      <c r="I59" s="20">
        <v>36</v>
      </c>
      <c r="J59" s="80"/>
    </row>
    <row r="60" spans="1:10">
      <c r="A60" s="30">
        <f t="shared" si="0"/>
        <v>58</v>
      </c>
      <c r="B60" s="61"/>
      <c r="C60" s="38" t="s">
        <v>169</v>
      </c>
      <c r="D60" s="20" t="s">
        <v>11</v>
      </c>
      <c r="E60" s="20">
        <v>14</v>
      </c>
      <c r="F60" s="20" t="s">
        <v>132</v>
      </c>
      <c r="G60" s="20" t="s">
        <v>239</v>
      </c>
      <c r="H60" s="20" t="s">
        <v>239</v>
      </c>
      <c r="I60" s="20">
        <v>37</v>
      </c>
      <c r="J60" s="80"/>
    </row>
    <row r="61" spans="1:10">
      <c r="A61" s="30">
        <f t="shared" si="0"/>
        <v>59</v>
      </c>
      <c r="B61" s="61"/>
      <c r="C61" s="38" t="s">
        <v>170</v>
      </c>
      <c r="D61" s="20" t="s">
        <v>11</v>
      </c>
      <c r="E61" s="20">
        <v>15</v>
      </c>
      <c r="F61" s="20" t="s">
        <v>133</v>
      </c>
      <c r="G61" s="20" t="s">
        <v>239</v>
      </c>
      <c r="H61" s="44" t="s">
        <v>239</v>
      </c>
      <c r="I61" s="20">
        <v>38</v>
      </c>
      <c r="J61" s="80"/>
    </row>
    <row r="62" spans="1:10">
      <c r="A62" s="30">
        <f t="shared" si="0"/>
        <v>60</v>
      </c>
      <c r="B62" s="61"/>
      <c r="C62" s="38" t="s">
        <v>171</v>
      </c>
      <c r="D62" s="20" t="s">
        <v>11</v>
      </c>
      <c r="E62" s="20">
        <v>16</v>
      </c>
      <c r="F62" s="33" t="s">
        <v>202</v>
      </c>
      <c r="G62" s="20"/>
      <c r="H62" s="20" t="s">
        <v>249</v>
      </c>
      <c r="I62" s="20">
        <v>39</v>
      </c>
      <c r="J62" s="80"/>
    </row>
    <row r="63" spans="1:10">
      <c r="A63" s="30">
        <f t="shared" si="0"/>
        <v>61</v>
      </c>
      <c r="B63" s="61"/>
      <c r="C63" s="38" t="s">
        <v>172</v>
      </c>
      <c r="D63" s="20" t="s">
        <v>11</v>
      </c>
      <c r="E63" s="20">
        <v>17</v>
      </c>
      <c r="F63" s="20" t="s">
        <v>203</v>
      </c>
      <c r="G63" s="20"/>
      <c r="H63" s="20" t="s">
        <v>249</v>
      </c>
      <c r="I63" s="20">
        <v>40</v>
      </c>
      <c r="J63" s="80"/>
    </row>
    <row r="64" spans="1:10">
      <c r="A64" s="30">
        <f t="shared" si="0"/>
        <v>62</v>
      </c>
      <c r="B64" s="61"/>
      <c r="C64" s="38" t="s">
        <v>173</v>
      </c>
      <c r="D64" s="20" t="s">
        <v>11</v>
      </c>
      <c r="E64" s="20">
        <v>18</v>
      </c>
      <c r="F64" s="20" t="s">
        <v>134</v>
      </c>
      <c r="G64" s="20"/>
      <c r="H64" s="20" t="s">
        <v>249</v>
      </c>
      <c r="I64" s="20">
        <v>41</v>
      </c>
      <c r="J64" s="80"/>
    </row>
    <row r="65" spans="1:10">
      <c r="A65" s="30">
        <f t="shared" si="0"/>
        <v>63</v>
      </c>
      <c r="B65" s="61"/>
      <c r="C65" s="38" t="s">
        <v>174</v>
      </c>
      <c r="D65" s="20" t="s">
        <v>11</v>
      </c>
      <c r="E65" s="20">
        <v>19</v>
      </c>
      <c r="F65" s="20" t="s">
        <v>135</v>
      </c>
      <c r="G65" s="20" t="s">
        <v>239</v>
      </c>
      <c r="H65" s="20" t="s">
        <v>239</v>
      </c>
      <c r="I65" s="20">
        <v>42</v>
      </c>
      <c r="J65" s="80"/>
    </row>
    <row r="66" spans="1:10">
      <c r="A66" s="30">
        <f t="shared" si="0"/>
        <v>64</v>
      </c>
      <c r="B66" s="61"/>
      <c r="C66" s="62" t="s">
        <v>175</v>
      </c>
      <c r="D66" s="20" t="s">
        <v>11</v>
      </c>
      <c r="E66" s="20">
        <v>20</v>
      </c>
      <c r="F66" s="20" t="s">
        <v>136</v>
      </c>
      <c r="G66" s="20"/>
      <c r="H66" s="20" t="s">
        <v>249</v>
      </c>
      <c r="I66" s="20">
        <v>43</v>
      </c>
      <c r="J66" s="80"/>
    </row>
    <row r="67" spans="1:10">
      <c r="A67" s="30">
        <f t="shared" si="0"/>
        <v>65</v>
      </c>
      <c r="B67" s="61"/>
      <c r="C67" s="62"/>
      <c r="D67" s="20" t="s">
        <v>11</v>
      </c>
      <c r="E67" s="20">
        <v>21</v>
      </c>
      <c r="F67" s="20" t="s">
        <v>176</v>
      </c>
      <c r="G67" s="20"/>
      <c r="H67" s="20" t="s">
        <v>249</v>
      </c>
      <c r="I67" s="20">
        <v>44</v>
      </c>
      <c r="J67" s="80"/>
    </row>
    <row r="68" spans="1:10">
      <c r="A68" s="30">
        <f t="shared" ref="A68:A79" si="1">ROW()-2</f>
        <v>66</v>
      </c>
      <c r="B68" s="61"/>
      <c r="C68" s="38" t="s">
        <v>177</v>
      </c>
      <c r="D68" s="20" t="s">
        <v>11</v>
      </c>
      <c r="E68" s="20">
        <v>22</v>
      </c>
      <c r="F68" s="20" t="s">
        <v>137</v>
      </c>
      <c r="G68" s="20"/>
      <c r="H68" s="20" t="s">
        <v>249</v>
      </c>
      <c r="I68" s="20">
        <v>45</v>
      </c>
      <c r="J68" s="80"/>
    </row>
    <row r="69" spans="1:10">
      <c r="A69" s="30">
        <f t="shared" si="1"/>
        <v>67</v>
      </c>
      <c r="B69" s="61"/>
      <c r="C69" s="63" t="s">
        <v>213</v>
      </c>
      <c r="D69" s="21" t="s">
        <v>91</v>
      </c>
      <c r="E69" s="21">
        <v>29</v>
      </c>
      <c r="F69" s="21" t="s">
        <v>206</v>
      </c>
      <c r="G69" s="20" t="s">
        <v>249</v>
      </c>
      <c r="H69" s="20" t="s">
        <v>249</v>
      </c>
      <c r="I69" s="21">
        <v>55</v>
      </c>
      <c r="J69" s="82" t="s">
        <v>204</v>
      </c>
    </row>
    <row r="70" spans="1:10">
      <c r="A70" s="30">
        <f t="shared" si="1"/>
        <v>68</v>
      </c>
      <c r="B70" s="61"/>
      <c r="C70" s="63"/>
      <c r="D70" s="43" t="s">
        <v>91</v>
      </c>
      <c r="E70" s="43">
        <v>30</v>
      </c>
      <c r="F70" s="43" t="s">
        <v>205</v>
      </c>
      <c r="G70" s="45" t="s">
        <v>249</v>
      </c>
      <c r="H70" s="45" t="s">
        <v>249</v>
      </c>
      <c r="I70" s="43">
        <v>56</v>
      </c>
      <c r="J70" s="82" t="s">
        <v>207</v>
      </c>
    </row>
    <row r="71" spans="1:10">
      <c r="A71" s="30">
        <f t="shared" si="1"/>
        <v>69</v>
      </c>
      <c r="B71" s="61"/>
      <c r="C71" s="39" t="s">
        <v>215</v>
      </c>
      <c r="D71" s="21" t="s">
        <v>11</v>
      </c>
      <c r="E71" s="21">
        <v>23</v>
      </c>
      <c r="F71" s="21" t="s">
        <v>138</v>
      </c>
      <c r="G71" s="20" t="s">
        <v>147</v>
      </c>
      <c r="H71" s="20" t="s">
        <v>249</v>
      </c>
      <c r="I71" s="21">
        <v>46</v>
      </c>
      <c r="J71" s="82"/>
    </row>
    <row r="72" spans="1:10">
      <c r="A72" s="30">
        <f t="shared" si="1"/>
        <v>70</v>
      </c>
      <c r="B72" s="61"/>
      <c r="C72" s="39" t="s">
        <v>216</v>
      </c>
      <c r="D72" s="21" t="s">
        <v>91</v>
      </c>
      <c r="E72" s="21">
        <v>46</v>
      </c>
      <c r="F72" s="21" t="s">
        <v>211</v>
      </c>
      <c r="G72" s="20" t="s">
        <v>249</v>
      </c>
      <c r="H72" s="20" t="s">
        <v>249</v>
      </c>
      <c r="I72" s="21">
        <v>75</v>
      </c>
      <c r="J72" s="82" t="s">
        <v>212</v>
      </c>
    </row>
    <row r="73" spans="1:10">
      <c r="A73" s="30">
        <f t="shared" si="1"/>
        <v>71</v>
      </c>
      <c r="B73" s="61"/>
      <c r="C73" s="63" t="s">
        <v>263</v>
      </c>
      <c r="D73" s="39" t="s">
        <v>11</v>
      </c>
      <c r="E73" s="39">
        <v>24</v>
      </c>
      <c r="F73" s="39" t="s">
        <v>264</v>
      </c>
      <c r="G73" s="39" t="s">
        <v>265</v>
      </c>
      <c r="H73" s="39" t="s">
        <v>265</v>
      </c>
      <c r="I73" s="39">
        <v>47</v>
      </c>
      <c r="J73" s="88" t="s">
        <v>266</v>
      </c>
    </row>
    <row r="74" spans="1:10">
      <c r="A74" s="30">
        <f t="shared" si="1"/>
        <v>72</v>
      </c>
      <c r="B74" s="61"/>
      <c r="C74" s="63"/>
      <c r="D74" s="41" t="s">
        <v>11</v>
      </c>
      <c r="E74" s="41">
        <v>25</v>
      </c>
      <c r="F74" s="91" t="s">
        <v>267</v>
      </c>
      <c r="G74" s="91" t="s">
        <v>265</v>
      </c>
      <c r="H74" s="92" t="s">
        <v>265</v>
      </c>
      <c r="I74" s="91">
        <v>48</v>
      </c>
      <c r="J74" s="93" t="s">
        <v>268</v>
      </c>
    </row>
    <row r="75" spans="1:10">
      <c r="A75" s="30">
        <f t="shared" si="1"/>
        <v>73</v>
      </c>
      <c r="B75" s="61"/>
      <c r="C75" s="38" t="s">
        <v>178</v>
      </c>
      <c r="D75" s="20" t="s">
        <v>11</v>
      </c>
      <c r="E75" s="20">
        <v>26</v>
      </c>
      <c r="F75" s="20" t="s">
        <v>139</v>
      </c>
      <c r="G75" s="19"/>
      <c r="H75" s="21" t="s">
        <v>201</v>
      </c>
      <c r="I75" s="20">
        <v>49</v>
      </c>
      <c r="J75" s="80"/>
    </row>
    <row r="76" spans="1:10">
      <c r="A76" s="30">
        <f t="shared" si="1"/>
        <v>74</v>
      </c>
      <c r="B76" s="61"/>
      <c r="C76" s="38" t="s">
        <v>179</v>
      </c>
      <c r="D76" s="20" t="s">
        <v>11</v>
      </c>
      <c r="E76" s="20">
        <v>27</v>
      </c>
      <c r="F76" s="20" t="s">
        <v>140</v>
      </c>
      <c r="G76" s="20" t="s">
        <v>224</v>
      </c>
      <c r="H76" s="43" t="s">
        <v>167</v>
      </c>
      <c r="I76" s="20">
        <v>50</v>
      </c>
      <c r="J76" s="80"/>
    </row>
    <row r="77" spans="1:10">
      <c r="A77" s="30">
        <f t="shared" si="1"/>
        <v>75</v>
      </c>
      <c r="B77" s="67" t="s">
        <v>180</v>
      </c>
      <c r="C77" s="39" t="s">
        <v>269</v>
      </c>
      <c r="D77" s="21" t="s">
        <v>260</v>
      </c>
      <c r="E77" s="21">
        <v>1</v>
      </c>
      <c r="F77" s="21" t="s">
        <v>270</v>
      </c>
      <c r="G77" s="21" t="s">
        <v>271</v>
      </c>
      <c r="H77" s="21" t="s">
        <v>272</v>
      </c>
      <c r="I77" s="21">
        <v>51</v>
      </c>
      <c r="J77" s="82" t="s">
        <v>266</v>
      </c>
    </row>
    <row r="78" spans="1:10">
      <c r="A78" s="30">
        <f t="shared" si="1"/>
        <v>76</v>
      </c>
      <c r="B78" s="68"/>
      <c r="C78" s="41" t="s">
        <v>245</v>
      </c>
      <c r="D78" s="41" t="s">
        <v>244</v>
      </c>
      <c r="E78" s="41">
        <v>2</v>
      </c>
      <c r="F78" s="91" t="s">
        <v>311</v>
      </c>
      <c r="G78" s="91" t="s">
        <v>271</v>
      </c>
      <c r="H78" s="91" t="s">
        <v>272</v>
      </c>
      <c r="I78" s="91">
        <v>52</v>
      </c>
      <c r="J78" s="93" t="s">
        <v>312</v>
      </c>
    </row>
    <row r="79" spans="1:10">
      <c r="A79" s="30">
        <f t="shared" si="1"/>
        <v>77</v>
      </c>
      <c r="B79" s="69"/>
      <c r="C79" s="48" t="s">
        <v>259</v>
      </c>
      <c r="D79" s="48" t="s">
        <v>260</v>
      </c>
      <c r="E79" s="48">
        <v>3</v>
      </c>
      <c r="F79" s="48" t="s">
        <v>261</v>
      </c>
      <c r="G79" s="48"/>
      <c r="H79" s="48"/>
      <c r="I79" s="48">
        <f>MAX(I3:I78)+1</f>
        <v>77</v>
      </c>
      <c r="J79" s="81" t="s">
        <v>262</v>
      </c>
    </row>
    <row r="80" spans="1:10">
      <c r="H80" s="24"/>
    </row>
    <row r="81" spans="8:8">
      <c r="H81" s="24"/>
    </row>
    <row r="82" spans="8:8">
      <c r="H82" s="24"/>
    </row>
    <row r="83" spans="8:8">
      <c r="H83" s="24"/>
    </row>
    <row r="84" spans="8:8">
      <c r="H84" s="24"/>
    </row>
    <row r="85" spans="8:8">
      <c r="H85" s="24"/>
    </row>
    <row r="86" spans="8:8">
      <c r="H86" s="25"/>
    </row>
    <row r="87" spans="8:8">
      <c r="H87" s="25"/>
    </row>
    <row r="88" spans="8:8">
      <c r="H88" s="25"/>
    </row>
    <row r="89" spans="8:8">
      <c r="H89" s="24"/>
    </row>
    <row r="90" spans="8:8">
      <c r="H90" s="24"/>
    </row>
    <row r="91" spans="8:8">
      <c r="H91" s="24"/>
    </row>
    <row r="92" spans="8:8">
      <c r="H92" s="24"/>
    </row>
    <row r="93" spans="8:8">
      <c r="H93" s="26"/>
    </row>
    <row r="94" spans="8:8">
      <c r="H94" s="27"/>
    </row>
    <row r="95" spans="8:8">
      <c r="H95" s="24"/>
    </row>
    <row r="96" spans="8:8">
      <c r="H96" s="28"/>
    </row>
    <row r="97" spans="8:8">
      <c r="H97" s="28"/>
    </row>
    <row r="98" spans="8:8">
      <c r="H98" s="24"/>
    </row>
    <row r="99" spans="8:8">
      <c r="H99" s="24"/>
    </row>
    <row r="100" spans="8:8">
      <c r="H100" s="24"/>
    </row>
    <row r="101" spans="8:8">
      <c r="H101" s="24"/>
    </row>
  </sheetData>
  <mergeCells count="13">
    <mergeCell ref="C22:C28"/>
    <mergeCell ref="B21:B28"/>
    <mergeCell ref="D1:E1"/>
    <mergeCell ref="C3:C12"/>
    <mergeCell ref="C13:C14"/>
    <mergeCell ref="C19:C20"/>
    <mergeCell ref="B3:B20"/>
    <mergeCell ref="B29:B76"/>
    <mergeCell ref="C29:C58"/>
    <mergeCell ref="C66:C67"/>
    <mergeCell ref="C73:C74"/>
    <mergeCell ref="C69:C70"/>
    <mergeCell ref="B77:B7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2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value2</vt:lpstr>
      <vt:lpstr>value3</vt:lpstr>
      <vt:lpstr>opt</vt:lpstr>
      <vt:lpstr>value2!Extract</vt:lpstr>
      <vt:lpstr>value3!Extract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안지원</dc:creator>
  <cp:lastModifiedBy>Jiwon Ahn</cp:lastModifiedBy>
  <cp:lastPrinted>2018-08-17T07:31:29Z</cp:lastPrinted>
  <dcterms:created xsi:type="dcterms:W3CDTF">2017-01-05T11:13:24Z</dcterms:created>
  <dcterms:modified xsi:type="dcterms:W3CDTF">2019-02-21T05:16:20Z</dcterms:modified>
</cp:coreProperties>
</file>