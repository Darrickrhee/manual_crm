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276" windowWidth="14940" windowHeight="9156"/>
  </bookViews>
  <sheets>
    <sheet name="CRM변경기준" sheetId="4" r:id="rId1"/>
    <sheet name="CRM적용" sheetId="6" r:id="rId2"/>
    <sheet name="원장" sheetId="1" r:id="rId3"/>
    <sheet name="설문" sheetId="2" r:id="rId4"/>
  </sheets>
  <definedNames>
    <definedName name="_xlnm._FilterDatabase" localSheetId="1" hidden="1">CRM적용!$A$1:$I$2940</definedName>
    <definedName name="_xlnm._FilterDatabase" localSheetId="2" hidden="1">원장!$A$1:$H$2940</definedName>
  </definedNames>
  <calcPr calcId="125725"/>
</workbook>
</file>

<file path=xl/calcChain.xml><?xml version="1.0" encoding="utf-8"?>
<calcChain xmlns="http://schemas.openxmlformats.org/spreadsheetml/2006/main">
  <c r="F3" i="1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1515"/>
  <c r="H1516"/>
  <c r="H1517"/>
  <c r="H1518"/>
  <c r="H1519"/>
  <c r="H1520"/>
  <c r="H1521"/>
  <c r="H1522"/>
  <c r="H1523"/>
  <c r="H1524"/>
  <c r="H1525"/>
  <c r="H1526"/>
  <c r="H1527"/>
  <c r="H1528"/>
  <c r="H1529"/>
  <c r="H1530"/>
  <c r="H1531"/>
  <c r="H1532"/>
  <c r="H1533"/>
  <c r="H1534"/>
  <c r="H1535"/>
  <c r="H1536"/>
  <c r="H1537"/>
  <c r="H1538"/>
  <c r="H1539"/>
  <c r="H1540"/>
  <c r="H1541"/>
  <c r="H1542"/>
  <c r="H1543"/>
  <c r="H1544"/>
  <c r="H1545"/>
  <c r="H1546"/>
  <c r="H1547"/>
  <c r="H1548"/>
  <c r="H1549"/>
  <c r="H1550"/>
  <c r="H1551"/>
  <c r="H1552"/>
  <c r="H1553"/>
  <c r="H1554"/>
  <c r="H1555"/>
  <c r="H1556"/>
  <c r="H1557"/>
  <c r="H1558"/>
  <c r="H1559"/>
  <c r="H1560"/>
  <c r="H1561"/>
  <c r="H1562"/>
  <c r="H1563"/>
  <c r="H1564"/>
  <c r="H1565"/>
  <c r="H1566"/>
  <c r="H1567"/>
  <c r="H1568"/>
  <c r="H1569"/>
  <c r="H1570"/>
  <c r="H1571"/>
  <c r="H1572"/>
  <c r="H1573"/>
  <c r="H1574"/>
  <c r="H1575"/>
  <c r="H1576"/>
  <c r="H1577"/>
  <c r="H1578"/>
  <c r="H1579"/>
  <c r="H1580"/>
  <c r="H1581"/>
  <c r="H1582"/>
  <c r="H1583"/>
  <c r="H1584"/>
  <c r="H1585"/>
  <c r="H1586"/>
  <c r="H1587"/>
  <c r="H1588"/>
  <c r="H1589"/>
  <c r="H1590"/>
  <c r="H1591"/>
  <c r="H1592"/>
  <c r="H1593"/>
  <c r="H1594"/>
  <c r="H1595"/>
  <c r="H1596"/>
  <c r="H1597"/>
  <c r="H1598"/>
  <c r="H1599"/>
  <c r="H1600"/>
  <c r="H1601"/>
  <c r="H1602"/>
  <c r="H1603"/>
  <c r="H1604"/>
  <c r="H1605"/>
  <c r="H1606"/>
  <c r="H1607"/>
  <c r="H1608"/>
  <c r="H1609"/>
  <c r="H1610"/>
  <c r="H1611"/>
  <c r="H1612"/>
  <c r="H1613"/>
  <c r="H1614"/>
  <c r="H1615"/>
  <c r="H1616"/>
  <c r="H1617"/>
  <c r="H1618"/>
  <c r="H1619"/>
  <c r="H1620"/>
  <c r="H1621"/>
  <c r="H1622"/>
  <c r="H1623"/>
  <c r="H1624"/>
  <c r="H1625"/>
  <c r="H1626"/>
  <c r="H1627"/>
  <c r="H1628"/>
  <c r="H1629"/>
  <c r="H1630"/>
  <c r="H1631"/>
  <c r="H1632"/>
  <c r="H1633"/>
  <c r="H1634"/>
  <c r="H1635"/>
  <c r="H1636"/>
  <c r="H1637"/>
  <c r="H1638"/>
  <c r="H1639"/>
  <c r="H1640"/>
  <c r="H1641"/>
  <c r="H1642"/>
  <c r="H1643"/>
  <c r="H1644"/>
  <c r="H1645"/>
  <c r="H1646"/>
  <c r="H1647"/>
  <c r="H1648"/>
  <c r="H1649"/>
  <c r="H1650"/>
  <c r="H1651"/>
  <c r="H1652"/>
  <c r="H1653"/>
  <c r="H1654"/>
  <c r="H1655"/>
  <c r="H1656"/>
  <c r="H1657"/>
  <c r="H1658"/>
  <c r="H1659"/>
  <c r="H1660"/>
  <c r="H1661"/>
  <c r="H1662"/>
  <c r="H1663"/>
  <c r="H1664"/>
  <c r="H1665"/>
  <c r="H1666"/>
  <c r="H1667"/>
  <c r="H1668"/>
  <c r="H1669"/>
  <c r="H1670"/>
  <c r="H1671"/>
  <c r="H1672"/>
  <c r="H1673"/>
  <c r="H1674"/>
  <c r="H1675"/>
  <c r="H1676"/>
  <c r="H1677"/>
  <c r="H1678"/>
  <c r="H1679"/>
  <c r="H1680"/>
  <c r="H1681"/>
  <c r="H1682"/>
  <c r="H1683"/>
  <c r="H1684"/>
  <c r="H1685"/>
  <c r="H1686"/>
  <c r="H1687"/>
  <c r="H1688"/>
  <c r="H1689"/>
  <c r="H1690"/>
  <c r="H1691"/>
  <c r="H1692"/>
  <c r="H1693"/>
  <c r="H1694"/>
  <c r="H1695"/>
  <c r="H1696"/>
  <c r="H1697"/>
  <c r="H1698"/>
  <c r="H1699"/>
  <c r="H1700"/>
  <c r="H1701"/>
  <c r="H1702"/>
  <c r="H1703"/>
  <c r="H1704"/>
  <c r="H1705"/>
  <c r="H1706"/>
  <c r="H1707"/>
  <c r="H1708"/>
  <c r="H1709"/>
  <c r="H1710"/>
  <c r="H1711"/>
  <c r="H1712"/>
  <c r="H1713"/>
  <c r="H1714"/>
  <c r="H1715"/>
  <c r="H1716"/>
  <c r="H1717"/>
  <c r="H1718"/>
  <c r="H1719"/>
  <c r="H1720"/>
  <c r="H1721"/>
  <c r="H1722"/>
  <c r="H1723"/>
  <c r="H1724"/>
  <c r="H1725"/>
  <c r="H1726"/>
  <c r="H1727"/>
  <c r="H1728"/>
  <c r="H1729"/>
  <c r="H1730"/>
  <c r="H1731"/>
  <c r="H1732"/>
  <c r="H1733"/>
  <c r="H1734"/>
  <c r="H1735"/>
  <c r="H1736"/>
  <c r="H1737"/>
  <c r="H1738"/>
  <c r="H1739"/>
  <c r="H1740"/>
  <c r="H1741"/>
  <c r="H1742"/>
  <c r="H1743"/>
  <c r="H1744"/>
  <c r="H1745"/>
  <c r="H1746"/>
  <c r="H1747"/>
  <c r="H1748"/>
  <c r="H1749"/>
  <c r="H1750"/>
  <c r="H1751"/>
  <c r="H1752"/>
  <c r="H1753"/>
  <c r="H1754"/>
  <c r="H1755"/>
  <c r="H1756"/>
  <c r="H1757"/>
  <c r="H1758"/>
  <c r="H1759"/>
  <c r="H1760"/>
  <c r="H1761"/>
  <c r="H1762"/>
  <c r="H1763"/>
  <c r="H1764"/>
  <c r="H1765"/>
  <c r="H1766"/>
  <c r="H1767"/>
  <c r="H1768"/>
  <c r="H1769"/>
  <c r="H1770"/>
  <c r="H1771"/>
  <c r="H1772"/>
  <c r="H1773"/>
  <c r="H1774"/>
  <c r="H1775"/>
  <c r="H1776"/>
  <c r="H1777"/>
  <c r="H1778"/>
  <c r="H1779"/>
  <c r="H1780"/>
  <c r="H1781"/>
  <c r="H1782"/>
  <c r="H1783"/>
  <c r="H1784"/>
  <c r="H1785"/>
  <c r="H1786"/>
  <c r="H1787"/>
  <c r="H1788"/>
  <c r="H1789"/>
  <c r="H1790"/>
  <c r="H1791"/>
  <c r="H1792"/>
  <c r="H1793"/>
  <c r="H1794"/>
  <c r="H1795"/>
  <c r="H1796"/>
  <c r="H1797"/>
  <c r="H1798"/>
  <c r="H1799"/>
  <c r="H1800"/>
  <c r="H1801"/>
  <c r="H1802"/>
  <c r="H1803"/>
  <c r="H1804"/>
  <c r="H1805"/>
  <c r="H1806"/>
  <c r="H1807"/>
  <c r="H1808"/>
  <c r="H1809"/>
  <c r="H1810"/>
  <c r="H1811"/>
  <c r="H1812"/>
  <c r="H1813"/>
  <c r="H1814"/>
  <c r="H1815"/>
  <c r="H1816"/>
  <c r="H1817"/>
  <c r="H1818"/>
  <c r="H1819"/>
  <c r="H1820"/>
  <c r="H1821"/>
  <c r="H1822"/>
  <c r="H1823"/>
  <c r="H1824"/>
  <c r="H1825"/>
  <c r="H1826"/>
  <c r="H1827"/>
  <c r="H1828"/>
  <c r="H1829"/>
  <c r="H1830"/>
  <c r="H1831"/>
  <c r="H1832"/>
  <c r="H1833"/>
  <c r="H1834"/>
  <c r="H1835"/>
  <c r="H1836"/>
  <c r="H1837"/>
  <c r="H1838"/>
  <c r="H1839"/>
  <c r="H1840"/>
  <c r="H1841"/>
  <c r="H1842"/>
  <c r="H1843"/>
  <c r="H1844"/>
  <c r="H1845"/>
  <c r="H1846"/>
  <c r="H1847"/>
  <c r="H1848"/>
  <c r="H1849"/>
  <c r="H1850"/>
  <c r="H1851"/>
  <c r="H1852"/>
  <c r="H1853"/>
  <c r="H1854"/>
  <c r="H1855"/>
  <c r="H1856"/>
  <c r="H1857"/>
  <c r="H1858"/>
  <c r="H1859"/>
  <c r="H1860"/>
  <c r="H1861"/>
  <c r="H1862"/>
  <c r="H1863"/>
  <c r="H1864"/>
  <c r="H1865"/>
  <c r="H1866"/>
  <c r="H1867"/>
  <c r="H1868"/>
  <c r="H1869"/>
  <c r="H1870"/>
  <c r="H1871"/>
  <c r="H1872"/>
  <c r="H1873"/>
  <c r="H1874"/>
  <c r="H1875"/>
  <c r="H1876"/>
  <c r="H1877"/>
  <c r="H1878"/>
  <c r="H1879"/>
  <c r="H1880"/>
  <c r="H1881"/>
  <c r="H1882"/>
  <c r="H1883"/>
  <c r="H1884"/>
  <c r="H1885"/>
  <c r="H1886"/>
  <c r="H1887"/>
  <c r="H1888"/>
  <c r="H1889"/>
  <c r="H1890"/>
  <c r="H1891"/>
  <c r="H1892"/>
  <c r="H1893"/>
  <c r="H1894"/>
  <c r="H1895"/>
  <c r="H1896"/>
  <c r="H1897"/>
  <c r="H1898"/>
  <c r="H1899"/>
  <c r="H1900"/>
  <c r="H1901"/>
  <c r="H1902"/>
  <c r="H1903"/>
  <c r="H1904"/>
  <c r="H1905"/>
  <c r="H1906"/>
  <c r="H1907"/>
  <c r="H1908"/>
  <c r="H1909"/>
  <c r="H1910"/>
  <c r="H1911"/>
  <c r="H1912"/>
  <c r="H1913"/>
  <c r="H1914"/>
  <c r="H1915"/>
  <c r="H1916"/>
  <c r="H1917"/>
  <c r="H1918"/>
  <c r="H1919"/>
  <c r="H1920"/>
  <c r="H1921"/>
  <c r="H1922"/>
  <c r="H1923"/>
  <c r="H1924"/>
  <c r="H1925"/>
  <c r="H1926"/>
  <c r="H1927"/>
  <c r="H1928"/>
  <c r="H1929"/>
  <c r="H1930"/>
  <c r="H1931"/>
  <c r="H1932"/>
  <c r="H1933"/>
  <c r="H1934"/>
  <c r="H1935"/>
  <c r="H1936"/>
  <c r="H1937"/>
  <c r="H1938"/>
  <c r="H1939"/>
  <c r="H1940"/>
  <c r="H1941"/>
  <c r="H1942"/>
  <c r="H1943"/>
  <c r="H1944"/>
  <c r="H1945"/>
  <c r="H1946"/>
  <c r="H1947"/>
  <c r="H1948"/>
  <c r="H1949"/>
  <c r="H1950"/>
  <c r="H1951"/>
  <c r="H1952"/>
  <c r="H1953"/>
  <c r="H1954"/>
  <c r="H1955"/>
  <c r="H1956"/>
  <c r="H1957"/>
  <c r="H1958"/>
  <c r="H1959"/>
  <c r="H1960"/>
  <c r="H1961"/>
  <c r="H1962"/>
  <c r="H1963"/>
  <c r="H1964"/>
  <c r="H1965"/>
  <c r="H1966"/>
  <c r="H1967"/>
  <c r="H1968"/>
  <c r="H1969"/>
  <c r="H1970"/>
  <c r="H1971"/>
  <c r="H1972"/>
  <c r="H1973"/>
  <c r="H1974"/>
  <c r="H1975"/>
  <c r="H1976"/>
  <c r="H1977"/>
  <c r="H1978"/>
  <c r="H1979"/>
  <c r="H1980"/>
  <c r="H1981"/>
  <c r="H1982"/>
  <c r="H1983"/>
  <c r="H1984"/>
  <c r="H1985"/>
  <c r="H1986"/>
  <c r="H1987"/>
  <c r="H1988"/>
  <c r="H1989"/>
  <c r="H1990"/>
  <c r="H1991"/>
  <c r="H1992"/>
  <c r="H1993"/>
  <c r="H1994"/>
  <c r="H1995"/>
  <c r="H1996"/>
  <c r="H1997"/>
  <c r="H1998"/>
  <c r="H1999"/>
  <c r="H2000"/>
  <c r="H2001"/>
  <c r="H2002"/>
  <c r="H2003"/>
  <c r="H2004"/>
  <c r="H2005"/>
  <c r="H2006"/>
  <c r="H2007"/>
  <c r="H2008"/>
  <c r="H2009"/>
  <c r="H2010"/>
  <c r="H2011"/>
  <c r="H2012"/>
  <c r="H2013"/>
  <c r="H2014"/>
  <c r="H2015"/>
  <c r="H2016"/>
  <c r="H2017"/>
  <c r="H2018"/>
  <c r="H2019"/>
  <c r="H2020"/>
  <c r="H2021"/>
  <c r="H2022"/>
  <c r="H2023"/>
  <c r="H2024"/>
  <c r="H2025"/>
  <c r="H2026"/>
  <c r="H2027"/>
  <c r="H2028"/>
  <c r="H2029"/>
  <c r="H2030"/>
  <c r="H2031"/>
  <c r="H2032"/>
  <c r="H2033"/>
  <c r="H2034"/>
  <c r="H2035"/>
  <c r="H2036"/>
  <c r="H2037"/>
  <c r="H2038"/>
  <c r="H2039"/>
  <c r="H2040"/>
  <c r="H2041"/>
  <c r="H2042"/>
  <c r="H2043"/>
  <c r="H2044"/>
  <c r="H2045"/>
  <c r="H2046"/>
  <c r="H2047"/>
  <c r="H2048"/>
  <c r="H2049"/>
  <c r="H2050"/>
  <c r="H2051"/>
  <c r="H2052"/>
  <c r="H2053"/>
  <c r="H2054"/>
  <c r="H2055"/>
  <c r="H2056"/>
  <c r="H2057"/>
  <c r="H2058"/>
  <c r="H2059"/>
  <c r="H2060"/>
  <c r="H2061"/>
  <c r="H2062"/>
  <c r="H2063"/>
  <c r="H2064"/>
  <c r="H2065"/>
  <c r="H2066"/>
  <c r="H2067"/>
  <c r="H2068"/>
  <c r="H2069"/>
  <c r="H2070"/>
  <c r="H2071"/>
  <c r="H2072"/>
  <c r="H2073"/>
  <c r="H2074"/>
  <c r="H2075"/>
  <c r="H2076"/>
  <c r="H2077"/>
  <c r="H2078"/>
  <c r="H2079"/>
  <c r="H2080"/>
  <c r="H2081"/>
  <c r="H2082"/>
  <c r="H2083"/>
  <c r="H2084"/>
  <c r="H2085"/>
  <c r="H2086"/>
  <c r="H2087"/>
  <c r="H2088"/>
  <c r="H2089"/>
  <c r="H2090"/>
  <c r="H2091"/>
  <c r="H2092"/>
  <c r="H2093"/>
  <c r="H2094"/>
  <c r="H2095"/>
  <c r="H2096"/>
  <c r="H2097"/>
  <c r="H2098"/>
  <c r="H2099"/>
  <c r="H2100"/>
  <c r="H2101"/>
  <c r="H2102"/>
  <c r="H2103"/>
  <c r="H2104"/>
  <c r="H2105"/>
  <c r="H2106"/>
  <c r="H2107"/>
  <c r="H2108"/>
  <c r="H2109"/>
  <c r="H2110"/>
  <c r="H2111"/>
  <c r="H2112"/>
  <c r="H2113"/>
  <c r="H2114"/>
  <c r="H2115"/>
  <c r="H2116"/>
  <c r="H2117"/>
  <c r="H2118"/>
  <c r="H2119"/>
  <c r="H2120"/>
  <c r="H2121"/>
  <c r="H2122"/>
  <c r="H2123"/>
  <c r="H2124"/>
  <c r="H2125"/>
  <c r="H2126"/>
  <c r="H2127"/>
  <c r="H2128"/>
  <c r="H2129"/>
  <c r="H2130"/>
  <c r="H2131"/>
  <c r="H2132"/>
  <c r="H2133"/>
  <c r="H2134"/>
  <c r="H2135"/>
  <c r="H2136"/>
  <c r="H2137"/>
  <c r="H2138"/>
  <c r="H2139"/>
  <c r="H2140"/>
  <c r="H2141"/>
  <c r="H2142"/>
  <c r="H2143"/>
  <c r="H2144"/>
  <c r="H2145"/>
  <c r="H2146"/>
  <c r="H2147"/>
  <c r="H2148"/>
  <c r="H2149"/>
  <c r="H2150"/>
  <c r="H2151"/>
  <c r="H2152"/>
  <c r="H2153"/>
  <c r="H2154"/>
  <c r="H2155"/>
  <c r="H2156"/>
  <c r="H2157"/>
  <c r="H2158"/>
  <c r="H2159"/>
  <c r="H2160"/>
  <c r="H2161"/>
  <c r="H2162"/>
  <c r="H2163"/>
  <c r="H2164"/>
  <c r="H2165"/>
  <c r="H2166"/>
  <c r="H2167"/>
  <c r="H2168"/>
  <c r="H2169"/>
  <c r="H2170"/>
  <c r="H2171"/>
  <c r="H2172"/>
  <c r="H2173"/>
  <c r="H2174"/>
  <c r="H2175"/>
  <c r="H2176"/>
  <c r="H2177"/>
  <c r="H2178"/>
  <c r="H2179"/>
  <c r="H2180"/>
  <c r="H2181"/>
  <c r="H2182"/>
  <c r="H2183"/>
  <c r="H2184"/>
  <c r="H2185"/>
  <c r="H2186"/>
  <c r="H2187"/>
  <c r="H2188"/>
  <c r="H2189"/>
  <c r="H2190"/>
  <c r="H2191"/>
  <c r="H2192"/>
  <c r="H2193"/>
  <c r="H2194"/>
  <c r="H2195"/>
  <c r="H2196"/>
  <c r="H2197"/>
  <c r="H2198"/>
  <c r="H2199"/>
  <c r="H2200"/>
  <c r="H2201"/>
  <c r="H2202"/>
  <c r="H2203"/>
  <c r="H2204"/>
  <c r="H2205"/>
  <c r="H2206"/>
  <c r="H2207"/>
  <c r="H2208"/>
  <c r="H2209"/>
  <c r="H2210"/>
  <c r="H2211"/>
  <c r="H2212"/>
  <c r="H2213"/>
  <c r="H2214"/>
  <c r="H2215"/>
  <c r="H2216"/>
  <c r="H2217"/>
  <c r="H2218"/>
  <c r="H2219"/>
  <c r="H2220"/>
  <c r="H2221"/>
  <c r="H2222"/>
  <c r="H2223"/>
  <c r="H2224"/>
  <c r="H2225"/>
  <c r="H2226"/>
  <c r="H2227"/>
  <c r="H2228"/>
  <c r="H2229"/>
  <c r="H2230"/>
  <c r="H2231"/>
  <c r="H2232"/>
  <c r="H2233"/>
  <c r="H2234"/>
  <c r="H2235"/>
  <c r="H2236"/>
  <c r="H2237"/>
  <c r="H2238"/>
  <c r="H2239"/>
  <c r="H2240"/>
  <c r="H2241"/>
  <c r="H2242"/>
  <c r="H2243"/>
  <c r="H2244"/>
  <c r="H2245"/>
  <c r="H2246"/>
  <c r="H2247"/>
  <c r="H2248"/>
  <c r="H2249"/>
  <c r="H2250"/>
  <c r="H2251"/>
  <c r="H2252"/>
  <c r="H2253"/>
  <c r="H2254"/>
  <c r="H2255"/>
  <c r="H2256"/>
  <c r="H2257"/>
  <c r="H2258"/>
  <c r="H2259"/>
  <c r="H2260"/>
  <c r="H2261"/>
  <c r="H2262"/>
  <c r="H2263"/>
  <c r="H2264"/>
  <c r="H2265"/>
  <c r="H2266"/>
  <c r="H2267"/>
  <c r="H2268"/>
  <c r="H2269"/>
  <c r="H2270"/>
  <c r="H2271"/>
  <c r="H2272"/>
  <c r="H2273"/>
  <c r="H2274"/>
  <c r="H2275"/>
  <c r="H2276"/>
  <c r="H2277"/>
  <c r="H2278"/>
  <c r="H2279"/>
  <c r="H2280"/>
  <c r="H2281"/>
  <c r="H2282"/>
  <c r="H2283"/>
  <c r="H2284"/>
  <c r="H2285"/>
  <c r="H2286"/>
  <c r="H2287"/>
  <c r="H2288"/>
  <c r="H2289"/>
  <c r="H2290"/>
  <c r="H2291"/>
  <c r="H2292"/>
  <c r="H2293"/>
  <c r="H2294"/>
  <c r="H2295"/>
  <c r="H2296"/>
  <c r="H2297"/>
  <c r="H2298"/>
  <c r="H2299"/>
  <c r="H2300"/>
  <c r="H2301"/>
  <c r="H2302"/>
  <c r="H2303"/>
  <c r="H2304"/>
  <c r="H2305"/>
  <c r="H2306"/>
  <c r="H2307"/>
  <c r="H2308"/>
  <c r="H2309"/>
  <c r="H2310"/>
  <c r="H2311"/>
  <c r="H2312"/>
  <c r="H2313"/>
  <c r="H2314"/>
  <c r="H2315"/>
  <c r="H2316"/>
  <c r="H2317"/>
  <c r="H2318"/>
  <c r="H2319"/>
  <c r="H2320"/>
  <c r="H2321"/>
  <c r="H2322"/>
  <c r="H2323"/>
  <c r="H2324"/>
  <c r="H2325"/>
  <c r="H2326"/>
  <c r="H2327"/>
  <c r="H2328"/>
  <c r="H2329"/>
  <c r="H2330"/>
  <c r="H2331"/>
  <c r="H2332"/>
  <c r="H2333"/>
  <c r="H2334"/>
  <c r="H2335"/>
  <c r="H2336"/>
  <c r="H2337"/>
  <c r="H2338"/>
  <c r="H2339"/>
  <c r="H2340"/>
  <c r="H2341"/>
  <c r="H2342"/>
  <c r="H2343"/>
  <c r="H2344"/>
  <c r="H2345"/>
  <c r="H2346"/>
  <c r="H2347"/>
  <c r="H2348"/>
  <c r="H2349"/>
  <c r="H2350"/>
  <c r="H2351"/>
  <c r="H2352"/>
  <c r="H2353"/>
  <c r="H2354"/>
  <c r="H2355"/>
  <c r="H2356"/>
  <c r="H2357"/>
  <c r="H2358"/>
  <c r="H2359"/>
  <c r="H2360"/>
  <c r="H2361"/>
  <c r="H2362"/>
  <c r="H2363"/>
  <c r="H2364"/>
  <c r="H2365"/>
  <c r="H2366"/>
  <c r="H2367"/>
  <c r="H2368"/>
  <c r="H2369"/>
  <c r="H2370"/>
  <c r="H2371"/>
  <c r="H2372"/>
  <c r="H2373"/>
  <c r="H2374"/>
  <c r="H2375"/>
  <c r="H2376"/>
  <c r="H2377"/>
  <c r="H2378"/>
  <c r="H2379"/>
  <c r="H2380"/>
  <c r="H2381"/>
  <c r="H2382"/>
  <c r="H2383"/>
  <c r="H2384"/>
  <c r="H2385"/>
  <c r="H2386"/>
  <c r="H2387"/>
  <c r="H2388"/>
  <c r="H2389"/>
  <c r="H2390"/>
  <c r="H2391"/>
  <c r="H2392"/>
  <c r="H2393"/>
  <c r="H2394"/>
  <c r="H2395"/>
  <c r="H2396"/>
  <c r="H2397"/>
  <c r="H2398"/>
  <c r="H2399"/>
  <c r="H2400"/>
  <c r="H2401"/>
  <c r="H2402"/>
  <c r="H2403"/>
  <c r="H2404"/>
  <c r="H2405"/>
  <c r="H2406"/>
  <c r="H2407"/>
  <c r="H2408"/>
  <c r="H2409"/>
  <c r="H2410"/>
  <c r="H2411"/>
  <c r="H2412"/>
  <c r="H2413"/>
  <c r="H2414"/>
  <c r="H2415"/>
  <c r="H2416"/>
  <c r="H2417"/>
  <c r="H2418"/>
  <c r="H2419"/>
  <c r="H2420"/>
  <c r="H2421"/>
  <c r="H2422"/>
  <c r="H2423"/>
  <c r="H2424"/>
  <c r="H2425"/>
  <c r="H2426"/>
  <c r="H2427"/>
  <c r="H2428"/>
  <c r="H2429"/>
  <c r="H2430"/>
  <c r="H2431"/>
  <c r="H2432"/>
  <c r="H2433"/>
  <c r="H2434"/>
  <c r="H2435"/>
  <c r="H2436"/>
  <c r="H2437"/>
  <c r="H2438"/>
  <c r="H2439"/>
  <c r="H2440"/>
  <c r="H2441"/>
  <c r="H2442"/>
  <c r="H2443"/>
  <c r="H2444"/>
  <c r="H2445"/>
  <c r="H2446"/>
  <c r="H2447"/>
  <c r="H2448"/>
  <c r="H2449"/>
  <c r="H2450"/>
  <c r="H2451"/>
  <c r="H2452"/>
  <c r="H2453"/>
  <c r="H2454"/>
  <c r="H2455"/>
  <c r="H2456"/>
  <c r="H2457"/>
  <c r="H2458"/>
  <c r="H2459"/>
  <c r="H2460"/>
  <c r="H2461"/>
  <c r="H2462"/>
  <c r="H2463"/>
  <c r="H2464"/>
  <c r="H2465"/>
  <c r="H2466"/>
  <c r="H2467"/>
  <c r="H2468"/>
  <c r="H2469"/>
  <c r="H2470"/>
  <c r="H2471"/>
  <c r="H2472"/>
  <c r="H2473"/>
  <c r="H2474"/>
  <c r="H2475"/>
  <c r="H2476"/>
  <c r="H2477"/>
  <c r="H2478"/>
  <c r="H2479"/>
  <c r="H2480"/>
  <c r="H2481"/>
  <c r="H2482"/>
  <c r="H2483"/>
  <c r="H2484"/>
  <c r="H2485"/>
  <c r="H2486"/>
  <c r="H2487"/>
  <c r="H2488"/>
  <c r="H2489"/>
  <c r="H2490"/>
  <c r="H2491"/>
  <c r="H2492"/>
  <c r="H2493"/>
  <c r="H2494"/>
  <c r="H2495"/>
  <c r="H2496"/>
  <c r="H2497"/>
  <c r="H2498"/>
  <c r="H2499"/>
  <c r="H2500"/>
  <c r="H2501"/>
  <c r="H2502"/>
  <c r="H2503"/>
  <c r="H2504"/>
  <c r="H2505"/>
  <c r="H2506"/>
  <c r="H2507"/>
  <c r="H2508"/>
  <c r="H2509"/>
  <c r="H2510"/>
  <c r="H2511"/>
  <c r="H2512"/>
  <c r="H2513"/>
  <c r="H2514"/>
  <c r="H2515"/>
  <c r="H2516"/>
  <c r="H2517"/>
  <c r="H2518"/>
  <c r="H2519"/>
  <c r="H2520"/>
  <c r="H2521"/>
  <c r="H2522"/>
  <c r="H2523"/>
  <c r="H2524"/>
  <c r="H2525"/>
  <c r="H2526"/>
  <c r="H2527"/>
  <c r="H2528"/>
  <c r="H2529"/>
  <c r="H2530"/>
  <c r="H2531"/>
  <c r="H2532"/>
  <c r="H2533"/>
  <c r="H2534"/>
  <c r="H2535"/>
  <c r="H2536"/>
  <c r="H2537"/>
  <c r="H2538"/>
  <c r="H2539"/>
  <c r="H2540"/>
  <c r="H2541"/>
  <c r="H2542"/>
  <c r="H2543"/>
  <c r="H2544"/>
  <c r="H2545"/>
  <c r="H2546"/>
  <c r="H2547"/>
  <c r="H2548"/>
  <c r="H2549"/>
  <c r="H2550"/>
  <c r="H2551"/>
  <c r="H2552"/>
  <c r="H2553"/>
  <c r="H2554"/>
  <c r="H2555"/>
  <c r="H2556"/>
  <c r="H2557"/>
  <c r="H2558"/>
  <c r="H2559"/>
  <c r="H2560"/>
  <c r="H2561"/>
  <c r="H2562"/>
  <c r="H2563"/>
  <c r="H2564"/>
  <c r="H2565"/>
  <c r="H2566"/>
  <c r="H2567"/>
  <c r="H2568"/>
  <c r="H2569"/>
  <c r="H2570"/>
  <c r="H2571"/>
  <c r="H2572"/>
  <c r="H2573"/>
  <c r="H2574"/>
  <c r="H2575"/>
  <c r="H2576"/>
  <c r="H2577"/>
  <c r="H2578"/>
  <c r="H2579"/>
  <c r="H2580"/>
  <c r="H2581"/>
  <c r="H2582"/>
  <c r="H2583"/>
  <c r="H2584"/>
  <c r="H2585"/>
  <c r="H2586"/>
  <c r="H2587"/>
  <c r="H2588"/>
  <c r="H2589"/>
  <c r="H2590"/>
  <c r="H2591"/>
  <c r="H2592"/>
  <c r="H2593"/>
  <c r="H2594"/>
  <c r="H2595"/>
  <c r="H2596"/>
  <c r="H2597"/>
  <c r="H2598"/>
  <c r="H2599"/>
  <c r="H2600"/>
  <c r="H2601"/>
  <c r="H2602"/>
  <c r="H2603"/>
  <c r="H2604"/>
  <c r="H2605"/>
  <c r="H2606"/>
  <c r="H2607"/>
  <c r="H2608"/>
  <c r="H2609"/>
  <c r="H2610"/>
  <c r="H2611"/>
  <c r="H2612"/>
  <c r="H2613"/>
  <c r="H2614"/>
  <c r="H2615"/>
  <c r="H2616"/>
  <c r="H2617"/>
  <c r="H2618"/>
  <c r="H2619"/>
  <c r="H2620"/>
  <c r="H2621"/>
  <c r="H2622"/>
  <c r="H2623"/>
  <c r="H2624"/>
  <c r="H2625"/>
  <c r="H2626"/>
  <c r="H2627"/>
  <c r="H2628"/>
  <c r="H2629"/>
  <c r="H2630"/>
  <c r="H2631"/>
  <c r="H2632"/>
  <c r="H2633"/>
  <c r="H2634"/>
  <c r="H2635"/>
  <c r="H2636"/>
  <c r="H2637"/>
  <c r="H2638"/>
  <c r="H2639"/>
  <c r="H2640"/>
  <c r="H2641"/>
  <c r="H2642"/>
  <c r="H2643"/>
  <c r="H2644"/>
  <c r="H2645"/>
  <c r="H2646"/>
  <c r="H2647"/>
  <c r="H2648"/>
  <c r="H2649"/>
  <c r="H2650"/>
  <c r="H2651"/>
  <c r="H2652"/>
  <c r="H2653"/>
  <c r="H2654"/>
  <c r="H2655"/>
  <c r="H2656"/>
  <c r="H2657"/>
  <c r="H2658"/>
  <c r="H2659"/>
  <c r="H2660"/>
  <c r="H2661"/>
  <c r="H2662"/>
  <c r="H2663"/>
  <c r="H2664"/>
  <c r="H2665"/>
  <c r="H2666"/>
  <c r="H2667"/>
  <c r="H2668"/>
  <c r="H2669"/>
  <c r="H2670"/>
  <c r="H2671"/>
  <c r="H2672"/>
  <c r="H2673"/>
  <c r="H2674"/>
  <c r="H2675"/>
  <c r="H2676"/>
  <c r="H2677"/>
  <c r="H2678"/>
  <c r="H2679"/>
  <c r="H2680"/>
  <c r="H2681"/>
  <c r="H2682"/>
  <c r="H2683"/>
  <c r="H2684"/>
  <c r="H2685"/>
  <c r="H2686"/>
  <c r="H2687"/>
  <c r="H2688"/>
  <c r="H2689"/>
  <c r="H2690"/>
  <c r="H2691"/>
  <c r="H2692"/>
  <c r="H2693"/>
  <c r="H2694"/>
  <c r="H2695"/>
  <c r="H2696"/>
  <c r="H2697"/>
  <c r="H2698"/>
  <c r="H2699"/>
  <c r="H2700"/>
  <c r="H2701"/>
  <c r="H2702"/>
  <c r="H2703"/>
  <c r="H2704"/>
  <c r="H2705"/>
  <c r="H2706"/>
  <c r="H2707"/>
  <c r="H2708"/>
  <c r="H2709"/>
  <c r="H2710"/>
  <c r="H2711"/>
  <c r="H2712"/>
  <c r="H2713"/>
  <c r="H2714"/>
  <c r="H2715"/>
  <c r="H2716"/>
  <c r="H2717"/>
  <c r="H2718"/>
  <c r="H2719"/>
  <c r="H2720"/>
  <c r="H2721"/>
  <c r="H2722"/>
  <c r="H2723"/>
  <c r="H2724"/>
  <c r="H2725"/>
  <c r="H2726"/>
  <c r="H2727"/>
  <c r="H2728"/>
  <c r="H2729"/>
  <c r="H2730"/>
  <c r="H2731"/>
  <c r="H2732"/>
  <c r="H2733"/>
  <c r="H2734"/>
  <c r="H2735"/>
  <c r="H2736"/>
  <c r="H2737"/>
  <c r="H2738"/>
  <c r="H2739"/>
  <c r="H2740"/>
  <c r="H2741"/>
  <c r="H2742"/>
  <c r="H2743"/>
  <c r="H2744"/>
  <c r="H2745"/>
  <c r="H2746"/>
  <c r="H2747"/>
  <c r="H2748"/>
  <c r="H2749"/>
  <c r="H2750"/>
  <c r="H2751"/>
  <c r="H2752"/>
  <c r="H2753"/>
  <c r="H2754"/>
  <c r="H2755"/>
  <c r="H2756"/>
  <c r="H2757"/>
  <c r="H2758"/>
  <c r="H2759"/>
  <c r="H2760"/>
  <c r="H2761"/>
  <c r="H2762"/>
  <c r="H2763"/>
  <c r="H2764"/>
  <c r="H2765"/>
  <c r="H2766"/>
  <c r="H2767"/>
  <c r="H2768"/>
  <c r="H2769"/>
  <c r="H2770"/>
  <c r="H2771"/>
  <c r="H2772"/>
  <c r="H2773"/>
  <c r="H2774"/>
  <c r="H2775"/>
  <c r="H2776"/>
  <c r="H2777"/>
  <c r="H2778"/>
  <c r="H2779"/>
  <c r="H2780"/>
  <c r="H2781"/>
  <c r="H2782"/>
  <c r="H2783"/>
  <c r="H2784"/>
  <c r="H2785"/>
  <c r="H2786"/>
  <c r="H2787"/>
  <c r="H2788"/>
  <c r="H2789"/>
  <c r="H2790"/>
  <c r="H2791"/>
  <c r="H2792"/>
  <c r="H2793"/>
  <c r="H2794"/>
  <c r="H2795"/>
  <c r="H2796"/>
  <c r="H2797"/>
  <c r="H2798"/>
  <c r="H2799"/>
  <c r="H2800"/>
  <c r="H2801"/>
  <c r="H2802"/>
  <c r="H2803"/>
  <c r="H2804"/>
  <c r="H2805"/>
  <c r="H2806"/>
  <c r="H2807"/>
  <c r="H2808"/>
  <c r="H2809"/>
  <c r="H2810"/>
  <c r="H2811"/>
  <c r="H2812"/>
  <c r="H2813"/>
  <c r="H2814"/>
  <c r="H2815"/>
  <c r="H2816"/>
  <c r="H2817"/>
  <c r="H2818"/>
  <c r="H2819"/>
  <c r="H2820"/>
  <c r="H2821"/>
  <c r="H2822"/>
  <c r="H2823"/>
  <c r="H2824"/>
  <c r="H2825"/>
  <c r="H2826"/>
  <c r="H2827"/>
  <c r="H2828"/>
  <c r="H2829"/>
  <c r="H2830"/>
  <c r="H2831"/>
  <c r="H2832"/>
  <c r="H2833"/>
  <c r="H2834"/>
  <c r="H2835"/>
  <c r="H2836"/>
  <c r="H2837"/>
  <c r="H2838"/>
  <c r="H2839"/>
  <c r="H2840"/>
  <c r="H2841"/>
  <c r="H2842"/>
  <c r="H2843"/>
  <c r="H2844"/>
  <c r="H2845"/>
  <c r="H2846"/>
  <c r="H2847"/>
  <c r="H2848"/>
  <c r="H2849"/>
  <c r="H2850"/>
  <c r="H2851"/>
  <c r="H2852"/>
  <c r="H2853"/>
  <c r="H2854"/>
  <c r="H2855"/>
  <c r="H2856"/>
  <c r="H2857"/>
  <c r="H2858"/>
  <c r="H2859"/>
  <c r="H2860"/>
  <c r="H2861"/>
  <c r="H2862"/>
  <c r="H2863"/>
  <c r="H2864"/>
  <c r="H2865"/>
  <c r="H2866"/>
  <c r="H2867"/>
  <c r="H2868"/>
  <c r="H2869"/>
  <c r="H2870"/>
  <c r="H2871"/>
  <c r="H2872"/>
  <c r="H2873"/>
  <c r="H2874"/>
  <c r="H2875"/>
  <c r="H2876"/>
  <c r="H2877"/>
  <c r="H2878"/>
  <c r="H2879"/>
  <c r="H2880"/>
  <c r="H2881"/>
  <c r="H2882"/>
  <c r="H2883"/>
  <c r="H2884"/>
  <c r="H2885"/>
  <c r="H2886"/>
  <c r="H2887"/>
  <c r="H2888"/>
  <c r="H2889"/>
  <c r="H2890"/>
  <c r="H2891"/>
  <c r="H2892"/>
  <c r="H2893"/>
  <c r="H2894"/>
  <c r="H2895"/>
  <c r="H2896"/>
  <c r="H2897"/>
  <c r="H2898"/>
  <c r="H2899"/>
  <c r="H2900"/>
  <c r="H2901"/>
  <c r="H2902"/>
  <c r="H2903"/>
  <c r="H2904"/>
  <c r="H2905"/>
  <c r="H2906"/>
  <c r="H2907"/>
  <c r="H2908"/>
  <c r="H2909"/>
  <c r="H2910"/>
  <c r="H2911"/>
  <c r="H2912"/>
  <c r="H2913"/>
  <c r="H2914"/>
  <c r="H2915"/>
  <c r="H2916"/>
  <c r="H2917"/>
  <c r="H2918"/>
  <c r="H2919"/>
  <c r="H2920"/>
  <c r="H2921"/>
  <c r="H2922"/>
  <c r="H2923"/>
  <c r="H2924"/>
  <c r="H2925"/>
  <c r="H2926"/>
  <c r="H2927"/>
  <c r="H2928"/>
  <c r="H2929"/>
  <c r="H2930"/>
  <c r="H2931"/>
  <c r="H2932"/>
  <c r="H2933"/>
  <c r="H2934"/>
  <c r="H2935"/>
  <c r="H2936"/>
  <c r="H2937"/>
  <c r="H2938"/>
  <c r="H2939"/>
  <c r="H2940"/>
  <c r="H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63"/>
  <c r="G1164"/>
  <c r="G1165"/>
  <c r="G1166"/>
  <c r="G1167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77"/>
  <c r="G1278"/>
  <c r="G1279"/>
  <c r="G1280"/>
  <c r="G1281"/>
  <c r="G1282"/>
  <c r="G1283"/>
  <c r="G1284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1316"/>
  <c r="G1317"/>
  <c r="G1318"/>
  <c r="G1319"/>
  <c r="G1320"/>
  <c r="G1321"/>
  <c r="G1322"/>
  <c r="G1323"/>
  <c r="G1324"/>
  <c r="G1325"/>
  <c r="G1326"/>
  <c r="G1327"/>
  <c r="G1328"/>
  <c r="G1329"/>
  <c r="G1330"/>
  <c r="G1331"/>
  <c r="G1332"/>
  <c r="G1333"/>
  <c r="G1334"/>
  <c r="G1335"/>
  <c r="G1336"/>
  <c r="G1337"/>
  <c r="G1338"/>
  <c r="G1339"/>
  <c r="G1340"/>
  <c r="G1341"/>
  <c r="G1342"/>
  <c r="G1343"/>
  <c r="G1344"/>
  <c r="G1345"/>
  <c r="G1346"/>
  <c r="G1347"/>
  <c r="G1348"/>
  <c r="G1349"/>
  <c r="G1350"/>
  <c r="G1351"/>
  <c r="G1352"/>
  <c r="G1353"/>
  <c r="G1354"/>
  <c r="G1355"/>
  <c r="G1356"/>
  <c r="G1357"/>
  <c r="G1358"/>
  <c r="G1359"/>
  <c r="G1360"/>
  <c r="G1361"/>
  <c r="G1362"/>
  <c r="G1363"/>
  <c r="G1364"/>
  <c r="G1365"/>
  <c r="G1366"/>
  <c r="G1367"/>
  <c r="G1368"/>
  <c r="G1369"/>
  <c r="G1370"/>
  <c r="G1371"/>
  <c r="G1372"/>
  <c r="G1373"/>
  <c r="G1374"/>
  <c r="G1375"/>
  <c r="G1376"/>
  <c r="G1377"/>
  <c r="G1378"/>
  <c r="G1379"/>
  <c r="G1380"/>
  <c r="G1381"/>
  <c r="G1382"/>
  <c r="G1383"/>
  <c r="G1384"/>
  <c r="G1385"/>
  <c r="G1386"/>
  <c r="G1387"/>
  <c r="G1388"/>
  <c r="G1389"/>
  <c r="G1390"/>
  <c r="G1391"/>
  <c r="G1392"/>
  <c r="G1393"/>
  <c r="G1394"/>
  <c r="G1395"/>
  <c r="G1396"/>
  <c r="G1397"/>
  <c r="G1398"/>
  <c r="G1399"/>
  <c r="G1400"/>
  <c r="G1401"/>
  <c r="G1402"/>
  <c r="G1403"/>
  <c r="G1404"/>
  <c r="G1405"/>
  <c r="G1406"/>
  <c r="G1407"/>
  <c r="G1408"/>
  <c r="G1409"/>
  <c r="G1410"/>
  <c r="G1411"/>
  <c r="G1412"/>
  <c r="G1413"/>
  <c r="G1414"/>
  <c r="G1415"/>
  <c r="G1416"/>
  <c r="G1417"/>
  <c r="G1418"/>
  <c r="G1419"/>
  <c r="G1420"/>
  <c r="G1421"/>
  <c r="G1422"/>
  <c r="G1423"/>
  <c r="G1424"/>
  <c r="G1425"/>
  <c r="G1426"/>
  <c r="G1427"/>
  <c r="G1428"/>
  <c r="G1429"/>
  <c r="G1430"/>
  <c r="G1431"/>
  <c r="G1432"/>
  <c r="G1433"/>
  <c r="G1434"/>
  <c r="G1435"/>
  <c r="G1436"/>
  <c r="G1437"/>
  <c r="G1438"/>
  <c r="G1439"/>
  <c r="G1440"/>
  <c r="G1441"/>
  <c r="G1442"/>
  <c r="G1443"/>
  <c r="G1444"/>
  <c r="G1445"/>
  <c r="G1446"/>
  <c r="G1447"/>
  <c r="G1448"/>
  <c r="G1449"/>
  <c r="G1450"/>
  <c r="G1451"/>
  <c r="G1452"/>
  <c r="G1453"/>
  <c r="G1454"/>
  <c r="G1455"/>
  <c r="G1456"/>
  <c r="G1457"/>
  <c r="G1458"/>
  <c r="G1459"/>
  <c r="G1460"/>
  <c r="G1461"/>
  <c r="G1462"/>
  <c r="G1463"/>
  <c r="G1464"/>
  <c r="G1465"/>
  <c r="G1466"/>
  <c r="G1467"/>
  <c r="G1468"/>
  <c r="G1469"/>
  <c r="G1470"/>
  <c r="G1471"/>
  <c r="G1472"/>
  <c r="G1473"/>
  <c r="G1474"/>
  <c r="G1475"/>
  <c r="G1476"/>
  <c r="G1477"/>
  <c r="G1478"/>
  <c r="G1479"/>
  <c r="G1480"/>
  <c r="G1481"/>
  <c r="G1482"/>
  <c r="G1483"/>
  <c r="G1484"/>
  <c r="G1485"/>
  <c r="G1486"/>
  <c r="G1487"/>
  <c r="G1488"/>
  <c r="G1489"/>
  <c r="G1490"/>
  <c r="G1491"/>
  <c r="G1492"/>
  <c r="G1493"/>
  <c r="G1494"/>
  <c r="G1495"/>
  <c r="G1496"/>
  <c r="G1497"/>
  <c r="G1498"/>
  <c r="G1499"/>
  <c r="G1500"/>
  <c r="G1501"/>
  <c r="G1502"/>
  <c r="G1503"/>
  <c r="G1504"/>
  <c r="G1505"/>
  <c r="G1506"/>
  <c r="G1507"/>
  <c r="G1508"/>
  <c r="G1509"/>
  <c r="G1510"/>
  <c r="G1511"/>
  <c r="G1512"/>
  <c r="G1513"/>
  <c r="G1514"/>
  <c r="G1515"/>
  <c r="G1516"/>
  <c r="G1517"/>
  <c r="G1518"/>
  <c r="G1519"/>
  <c r="G1520"/>
  <c r="G1521"/>
  <c r="G1522"/>
  <c r="G1523"/>
  <c r="G1524"/>
  <c r="G1525"/>
  <c r="G1526"/>
  <c r="G1527"/>
  <c r="G1528"/>
  <c r="G1529"/>
  <c r="G1530"/>
  <c r="G1531"/>
  <c r="G1532"/>
  <c r="G1533"/>
  <c r="G1534"/>
  <c r="G1535"/>
  <c r="G1536"/>
  <c r="G1537"/>
  <c r="G1538"/>
  <c r="G1539"/>
  <c r="G1540"/>
  <c r="G1541"/>
  <c r="G1542"/>
  <c r="G1543"/>
  <c r="G1544"/>
  <c r="G1545"/>
  <c r="G1546"/>
  <c r="G1547"/>
  <c r="G1548"/>
  <c r="G1549"/>
  <c r="G1550"/>
  <c r="G1551"/>
  <c r="G1552"/>
  <c r="G1553"/>
  <c r="G1554"/>
  <c r="G1555"/>
  <c r="G1556"/>
  <c r="G1557"/>
  <c r="G1558"/>
  <c r="G1559"/>
  <c r="G1560"/>
  <c r="G1561"/>
  <c r="G1562"/>
  <c r="G1563"/>
  <c r="G1564"/>
  <c r="G1565"/>
  <c r="G1566"/>
  <c r="G1567"/>
  <c r="G1568"/>
  <c r="G1569"/>
  <c r="G1570"/>
  <c r="G1571"/>
  <c r="G1572"/>
  <c r="G1573"/>
  <c r="G1574"/>
  <c r="G1575"/>
  <c r="G1576"/>
  <c r="G1577"/>
  <c r="G1578"/>
  <c r="G1579"/>
  <c r="G1580"/>
  <c r="G1581"/>
  <c r="G1582"/>
  <c r="G1583"/>
  <c r="G1584"/>
  <c r="G1585"/>
  <c r="G1586"/>
  <c r="G1587"/>
  <c r="G1588"/>
  <c r="G1589"/>
  <c r="G1590"/>
  <c r="G1591"/>
  <c r="G1592"/>
  <c r="G1593"/>
  <c r="G1594"/>
  <c r="G1595"/>
  <c r="G1596"/>
  <c r="G1597"/>
  <c r="G1598"/>
  <c r="G1599"/>
  <c r="G1600"/>
  <c r="G1601"/>
  <c r="G1602"/>
  <c r="G1603"/>
  <c r="G1604"/>
  <c r="G1605"/>
  <c r="G1606"/>
  <c r="G1607"/>
  <c r="G1608"/>
  <c r="G1609"/>
  <c r="G1610"/>
  <c r="G1611"/>
  <c r="G1612"/>
  <c r="G1613"/>
  <c r="G1614"/>
  <c r="G1615"/>
  <c r="G1616"/>
  <c r="G1617"/>
  <c r="G1618"/>
  <c r="G1619"/>
  <c r="G1620"/>
  <c r="G1621"/>
  <c r="G1622"/>
  <c r="G1623"/>
  <c r="G1624"/>
  <c r="G1625"/>
  <c r="G1626"/>
  <c r="G1627"/>
  <c r="G1628"/>
  <c r="G1629"/>
  <c r="G1630"/>
  <c r="G1631"/>
  <c r="G1632"/>
  <c r="G1633"/>
  <c r="G1634"/>
  <c r="G1635"/>
  <c r="G1636"/>
  <c r="G1637"/>
  <c r="G1638"/>
  <c r="G1639"/>
  <c r="G1640"/>
  <c r="G1641"/>
  <c r="G1642"/>
  <c r="G1643"/>
  <c r="G1644"/>
  <c r="G1645"/>
  <c r="G1646"/>
  <c r="G1647"/>
  <c r="G1648"/>
  <c r="G1649"/>
  <c r="G1650"/>
  <c r="G1651"/>
  <c r="G1652"/>
  <c r="G1653"/>
  <c r="G1654"/>
  <c r="G1655"/>
  <c r="G1656"/>
  <c r="G1657"/>
  <c r="G1658"/>
  <c r="G1659"/>
  <c r="G1660"/>
  <c r="G1661"/>
  <c r="G1662"/>
  <c r="G1663"/>
  <c r="G1664"/>
  <c r="G1665"/>
  <c r="G1666"/>
  <c r="G1667"/>
  <c r="G1668"/>
  <c r="G1669"/>
  <c r="G1670"/>
  <c r="G1671"/>
  <c r="G1672"/>
  <c r="G1673"/>
  <c r="G1674"/>
  <c r="G1675"/>
  <c r="G1676"/>
  <c r="G1677"/>
  <c r="G1678"/>
  <c r="G1679"/>
  <c r="G1680"/>
  <c r="G1681"/>
  <c r="G1682"/>
  <c r="G1683"/>
  <c r="G1684"/>
  <c r="G1685"/>
  <c r="G1686"/>
  <c r="G1687"/>
  <c r="G1688"/>
  <c r="G1689"/>
  <c r="G1690"/>
  <c r="G1691"/>
  <c r="G1692"/>
  <c r="G1693"/>
  <c r="G1694"/>
  <c r="G1695"/>
  <c r="G1696"/>
  <c r="G1697"/>
  <c r="G1698"/>
  <c r="G1699"/>
  <c r="G1700"/>
  <c r="G1701"/>
  <c r="G1702"/>
  <c r="G1703"/>
  <c r="G1704"/>
  <c r="G1705"/>
  <c r="G1706"/>
  <c r="G1707"/>
  <c r="G1708"/>
  <c r="G1709"/>
  <c r="G1710"/>
  <c r="G1711"/>
  <c r="G1712"/>
  <c r="G1713"/>
  <c r="G1714"/>
  <c r="G1715"/>
  <c r="G1716"/>
  <c r="G1717"/>
  <c r="G1718"/>
  <c r="G1719"/>
  <c r="G1720"/>
  <c r="G1721"/>
  <c r="G1722"/>
  <c r="G1723"/>
  <c r="G1724"/>
  <c r="G1725"/>
  <c r="G1726"/>
  <c r="G1727"/>
  <c r="G1728"/>
  <c r="G1729"/>
  <c r="G1730"/>
  <c r="G1731"/>
  <c r="G1732"/>
  <c r="G1733"/>
  <c r="G1734"/>
  <c r="G1735"/>
  <c r="G1736"/>
  <c r="G1737"/>
  <c r="G1738"/>
  <c r="G1739"/>
  <c r="G1740"/>
  <c r="G1741"/>
  <c r="G1742"/>
  <c r="G1743"/>
  <c r="G1744"/>
  <c r="G1745"/>
  <c r="G1746"/>
  <c r="G1747"/>
  <c r="G1748"/>
  <c r="G1749"/>
  <c r="G1750"/>
  <c r="G1751"/>
  <c r="G1752"/>
  <c r="G1753"/>
  <c r="G1754"/>
  <c r="G1755"/>
  <c r="G1756"/>
  <c r="G1757"/>
  <c r="G1758"/>
  <c r="G1759"/>
  <c r="G1760"/>
  <c r="G1761"/>
  <c r="G1762"/>
  <c r="G1763"/>
  <c r="G1764"/>
  <c r="G1765"/>
  <c r="G1766"/>
  <c r="G1767"/>
  <c r="G1768"/>
  <c r="G1769"/>
  <c r="G1770"/>
  <c r="G1771"/>
  <c r="G1772"/>
  <c r="G1773"/>
  <c r="G1774"/>
  <c r="G1775"/>
  <c r="G1776"/>
  <c r="G1777"/>
  <c r="G1778"/>
  <c r="G1779"/>
  <c r="G1780"/>
  <c r="G1781"/>
  <c r="G1782"/>
  <c r="G1783"/>
  <c r="G1784"/>
  <c r="G1785"/>
  <c r="G1786"/>
  <c r="G1787"/>
  <c r="G1788"/>
  <c r="G1789"/>
  <c r="G1790"/>
  <c r="G1791"/>
  <c r="G1792"/>
  <c r="G1793"/>
  <c r="G1794"/>
  <c r="G1795"/>
  <c r="G1796"/>
  <c r="G1797"/>
  <c r="G1798"/>
  <c r="G1799"/>
  <c r="G1800"/>
  <c r="G1801"/>
  <c r="G1802"/>
  <c r="G1803"/>
  <c r="G1804"/>
  <c r="G1805"/>
  <c r="G1806"/>
  <c r="G1807"/>
  <c r="G1808"/>
  <c r="G1809"/>
  <c r="G1810"/>
  <c r="G1811"/>
  <c r="G1812"/>
  <c r="G1813"/>
  <c r="G1814"/>
  <c r="G1815"/>
  <c r="G1816"/>
  <c r="G1817"/>
  <c r="G1818"/>
  <c r="G1819"/>
  <c r="G1820"/>
  <c r="G1821"/>
  <c r="G1822"/>
  <c r="G1823"/>
  <c r="G1824"/>
  <c r="G1825"/>
  <c r="G1826"/>
  <c r="G1827"/>
  <c r="G1828"/>
  <c r="G1829"/>
  <c r="G1830"/>
  <c r="G1831"/>
  <c r="G1832"/>
  <c r="G1833"/>
  <c r="G1834"/>
  <c r="G1835"/>
  <c r="G1836"/>
  <c r="G1837"/>
  <c r="G1838"/>
  <c r="G1839"/>
  <c r="G1840"/>
  <c r="G1841"/>
  <c r="G1842"/>
  <c r="G1843"/>
  <c r="G1844"/>
  <c r="G1845"/>
  <c r="G1846"/>
  <c r="G1847"/>
  <c r="G1848"/>
  <c r="G1849"/>
  <c r="G1850"/>
  <c r="G1851"/>
  <c r="G1852"/>
  <c r="G1853"/>
  <c r="G1854"/>
  <c r="G1855"/>
  <c r="G1856"/>
  <c r="G1857"/>
  <c r="G1858"/>
  <c r="G1859"/>
  <c r="G1860"/>
  <c r="G1861"/>
  <c r="G1862"/>
  <c r="G1863"/>
  <c r="G1864"/>
  <c r="G1865"/>
  <c r="G1866"/>
  <c r="G1867"/>
  <c r="G1868"/>
  <c r="G1869"/>
  <c r="G1870"/>
  <c r="G1871"/>
  <c r="G1872"/>
  <c r="G1873"/>
  <c r="G1874"/>
  <c r="G1875"/>
  <c r="G1876"/>
  <c r="G1877"/>
  <c r="G1878"/>
  <c r="G1879"/>
  <c r="G1880"/>
  <c r="G1881"/>
  <c r="G1882"/>
  <c r="G1883"/>
  <c r="G1884"/>
  <c r="G1885"/>
  <c r="G1886"/>
  <c r="G1887"/>
  <c r="G1888"/>
  <c r="G1889"/>
  <c r="G1890"/>
  <c r="G1891"/>
  <c r="G1892"/>
  <c r="G1893"/>
  <c r="G1894"/>
  <c r="G1895"/>
  <c r="G1896"/>
  <c r="G1897"/>
  <c r="G1898"/>
  <c r="G1899"/>
  <c r="G1900"/>
  <c r="G1901"/>
  <c r="G1902"/>
  <c r="G1903"/>
  <c r="G1904"/>
  <c r="G1905"/>
  <c r="G1906"/>
  <c r="G1907"/>
  <c r="G1908"/>
  <c r="G1909"/>
  <c r="G1910"/>
  <c r="G1911"/>
  <c r="G1912"/>
  <c r="G1913"/>
  <c r="G1914"/>
  <c r="G1915"/>
  <c r="G1916"/>
  <c r="G1917"/>
  <c r="G1918"/>
  <c r="G1919"/>
  <c r="G1920"/>
  <c r="G1921"/>
  <c r="G1922"/>
  <c r="G1923"/>
  <c r="G1924"/>
  <c r="G1925"/>
  <c r="G1926"/>
  <c r="G1927"/>
  <c r="G1928"/>
  <c r="G1929"/>
  <c r="G1930"/>
  <c r="G1931"/>
  <c r="G1932"/>
  <c r="G1933"/>
  <c r="G1934"/>
  <c r="G1935"/>
  <c r="G1936"/>
  <c r="G1937"/>
  <c r="G1938"/>
  <c r="G1939"/>
  <c r="G1940"/>
  <c r="G1941"/>
  <c r="G1942"/>
  <c r="G1943"/>
  <c r="G1944"/>
  <c r="G1945"/>
  <c r="G1946"/>
  <c r="G1947"/>
  <c r="G1948"/>
  <c r="G1949"/>
  <c r="G1950"/>
  <c r="G1951"/>
  <c r="G1952"/>
  <c r="G1953"/>
  <c r="G1954"/>
  <c r="G1955"/>
  <c r="G1956"/>
  <c r="G1957"/>
  <c r="G1958"/>
  <c r="G1959"/>
  <c r="G1960"/>
  <c r="G1961"/>
  <c r="G1962"/>
  <c r="G1963"/>
  <c r="G1964"/>
  <c r="G1965"/>
  <c r="G1966"/>
  <c r="G1967"/>
  <c r="G1968"/>
  <c r="G1969"/>
  <c r="G1970"/>
  <c r="G1971"/>
  <c r="G1972"/>
  <c r="G1973"/>
  <c r="G1974"/>
  <c r="G1975"/>
  <c r="G1976"/>
  <c r="G1977"/>
  <c r="G1978"/>
  <c r="G1979"/>
  <c r="G1980"/>
  <c r="G1981"/>
  <c r="G1982"/>
  <c r="G1983"/>
  <c r="G1984"/>
  <c r="G1985"/>
  <c r="G1986"/>
  <c r="G1987"/>
  <c r="G1988"/>
  <c r="G1989"/>
  <c r="G1990"/>
  <c r="G1991"/>
  <c r="G1992"/>
  <c r="G1993"/>
  <c r="G1994"/>
  <c r="G1995"/>
  <c r="G1996"/>
  <c r="G1997"/>
  <c r="G1998"/>
  <c r="G1999"/>
  <c r="G2000"/>
  <c r="G2001"/>
  <c r="G2002"/>
  <c r="G2003"/>
  <c r="G2004"/>
  <c r="G2005"/>
  <c r="G2006"/>
  <c r="G2007"/>
  <c r="G2008"/>
  <c r="G2009"/>
  <c r="G2010"/>
  <c r="G2011"/>
  <c r="G2012"/>
  <c r="G2013"/>
  <c r="G2014"/>
  <c r="G2015"/>
  <c r="G2016"/>
  <c r="G2017"/>
  <c r="G2018"/>
  <c r="G2019"/>
  <c r="G2020"/>
  <c r="G2021"/>
  <c r="G2022"/>
  <c r="G2023"/>
  <c r="G2024"/>
  <c r="G2025"/>
  <c r="G2026"/>
  <c r="G2027"/>
  <c r="G2028"/>
  <c r="G2029"/>
  <c r="G2030"/>
  <c r="G2031"/>
  <c r="G2032"/>
  <c r="G2033"/>
  <c r="G2034"/>
  <c r="G2035"/>
  <c r="G2036"/>
  <c r="G2037"/>
  <c r="G2038"/>
  <c r="G2039"/>
  <c r="G2040"/>
  <c r="G2041"/>
  <c r="G2042"/>
  <c r="G2043"/>
  <c r="G2044"/>
  <c r="G2045"/>
  <c r="G2046"/>
  <c r="G2047"/>
  <c r="G2048"/>
  <c r="G2049"/>
  <c r="G2050"/>
  <c r="G2051"/>
  <c r="G2052"/>
  <c r="G2053"/>
  <c r="G2054"/>
  <c r="G2055"/>
  <c r="G2056"/>
  <c r="G2057"/>
  <c r="G2058"/>
  <c r="G2059"/>
  <c r="G2060"/>
  <c r="G2061"/>
  <c r="G2062"/>
  <c r="G2063"/>
  <c r="G2064"/>
  <c r="G2065"/>
  <c r="G2066"/>
  <c r="G2067"/>
  <c r="G2068"/>
  <c r="G2069"/>
  <c r="G2070"/>
  <c r="G2071"/>
  <c r="G2072"/>
  <c r="G2073"/>
  <c r="G2074"/>
  <c r="G2075"/>
  <c r="G2076"/>
  <c r="G2077"/>
  <c r="G2078"/>
  <c r="G2079"/>
  <c r="G2080"/>
  <c r="G2081"/>
  <c r="G2082"/>
  <c r="G2083"/>
  <c r="G2084"/>
  <c r="G2085"/>
  <c r="G2086"/>
  <c r="G2087"/>
  <c r="G2088"/>
  <c r="G2089"/>
  <c r="G2090"/>
  <c r="G2091"/>
  <c r="G2092"/>
  <c r="G2093"/>
  <c r="G2094"/>
  <c r="G2095"/>
  <c r="G2096"/>
  <c r="G2097"/>
  <c r="G2098"/>
  <c r="G2099"/>
  <c r="G2100"/>
  <c r="G2101"/>
  <c r="G2102"/>
  <c r="G2103"/>
  <c r="G2104"/>
  <c r="G2105"/>
  <c r="G2106"/>
  <c r="G2107"/>
  <c r="G2108"/>
  <c r="G2109"/>
  <c r="G2110"/>
  <c r="G2111"/>
  <c r="G2112"/>
  <c r="G2113"/>
  <c r="G2114"/>
  <c r="G2115"/>
  <c r="G2116"/>
  <c r="G2117"/>
  <c r="G2118"/>
  <c r="G2119"/>
  <c r="G2120"/>
  <c r="G2121"/>
  <c r="G2122"/>
  <c r="G2123"/>
  <c r="G2124"/>
  <c r="G2125"/>
  <c r="G2126"/>
  <c r="G2127"/>
  <c r="G2128"/>
  <c r="G2129"/>
  <c r="G2130"/>
  <c r="G2131"/>
  <c r="G2132"/>
  <c r="G2133"/>
  <c r="G2134"/>
  <c r="G2135"/>
  <c r="G2136"/>
  <c r="G2137"/>
  <c r="G2138"/>
  <c r="G2139"/>
  <c r="G2140"/>
  <c r="G2141"/>
  <c r="G2142"/>
  <c r="G2143"/>
  <c r="G2144"/>
  <c r="G2145"/>
  <c r="G2146"/>
  <c r="G2147"/>
  <c r="G2148"/>
  <c r="G2149"/>
  <c r="G2150"/>
  <c r="G2151"/>
  <c r="G2152"/>
  <c r="G2153"/>
  <c r="G2154"/>
  <c r="G2155"/>
  <c r="G2156"/>
  <c r="G2157"/>
  <c r="G2158"/>
  <c r="G2159"/>
  <c r="G2160"/>
  <c r="G2161"/>
  <c r="G2162"/>
  <c r="G2163"/>
  <c r="G2164"/>
  <c r="G2165"/>
  <c r="G2166"/>
  <c r="G2167"/>
  <c r="G2168"/>
  <c r="G2169"/>
  <c r="G2170"/>
  <c r="G2171"/>
  <c r="G2172"/>
  <c r="G2173"/>
  <c r="G2174"/>
  <c r="G2175"/>
  <c r="G2176"/>
  <c r="G2177"/>
  <c r="G2178"/>
  <c r="G2179"/>
  <c r="G2180"/>
  <c r="G2181"/>
  <c r="G2182"/>
  <c r="G2183"/>
  <c r="G2184"/>
  <c r="G2185"/>
  <c r="G2186"/>
  <c r="G2187"/>
  <c r="G2188"/>
  <c r="G2189"/>
  <c r="G2190"/>
  <c r="G2191"/>
  <c r="G2192"/>
  <c r="G2193"/>
  <c r="G2194"/>
  <c r="G2195"/>
  <c r="G2196"/>
  <c r="G2197"/>
  <c r="G2198"/>
  <c r="G2199"/>
  <c r="G2200"/>
  <c r="G2201"/>
  <c r="G2202"/>
  <c r="G2203"/>
  <c r="G2204"/>
  <c r="G2205"/>
  <c r="G2206"/>
  <c r="G2207"/>
  <c r="G2208"/>
  <c r="G2209"/>
  <c r="G2210"/>
  <c r="G2211"/>
  <c r="G2212"/>
  <c r="G2213"/>
  <c r="G2214"/>
  <c r="G2215"/>
  <c r="G2216"/>
  <c r="G2217"/>
  <c r="G2218"/>
  <c r="G2219"/>
  <c r="G2220"/>
  <c r="G2221"/>
  <c r="G2222"/>
  <c r="G2223"/>
  <c r="G2224"/>
  <c r="G2225"/>
  <c r="G2226"/>
  <c r="G2227"/>
  <c r="G2228"/>
  <c r="G2229"/>
  <c r="G2230"/>
  <c r="G2231"/>
  <c r="G2232"/>
  <c r="G2233"/>
  <c r="G2234"/>
  <c r="G2235"/>
  <c r="G2236"/>
  <c r="G2237"/>
  <c r="G2238"/>
  <c r="G2239"/>
  <c r="G2240"/>
  <c r="G2241"/>
  <c r="G2242"/>
  <c r="G2243"/>
  <c r="G2244"/>
  <c r="G2245"/>
  <c r="G2246"/>
  <c r="G2247"/>
  <c r="G2248"/>
  <c r="G2249"/>
  <c r="G2250"/>
  <c r="G2251"/>
  <c r="G2252"/>
  <c r="G2253"/>
  <c r="G2254"/>
  <c r="G2255"/>
  <c r="G2256"/>
  <c r="G2257"/>
  <c r="G2258"/>
  <c r="G2259"/>
  <c r="G2260"/>
  <c r="G2261"/>
  <c r="G2262"/>
  <c r="G2263"/>
  <c r="G2264"/>
  <c r="G2265"/>
  <c r="G2266"/>
  <c r="G2267"/>
  <c r="G2268"/>
  <c r="G2269"/>
  <c r="G2270"/>
  <c r="G2271"/>
  <c r="G2272"/>
  <c r="G2273"/>
  <c r="G2274"/>
  <c r="G2275"/>
  <c r="G2276"/>
  <c r="G2277"/>
  <c r="G2278"/>
  <c r="G2279"/>
  <c r="G2280"/>
  <c r="G2281"/>
  <c r="G2282"/>
  <c r="G2283"/>
  <c r="G2284"/>
  <c r="G2285"/>
  <c r="G2286"/>
  <c r="G2287"/>
  <c r="G2288"/>
  <c r="G2289"/>
  <c r="G2290"/>
  <c r="G2291"/>
  <c r="G2292"/>
  <c r="G2293"/>
  <c r="G2294"/>
  <c r="G2295"/>
  <c r="G2296"/>
  <c r="G2297"/>
  <c r="G2298"/>
  <c r="G2299"/>
  <c r="G2300"/>
  <c r="G2301"/>
  <c r="G2302"/>
  <c r="G2303"/>
  <c r="G2304"/>
  <c r="G2305"/>
  <c r="G2306"/>
  <c r="G2307"/>
  <c r="G2308"/>
  <c r="G2309"/>
  <c r="G2310"/>
  <c r="G2311"/>
  <c r="G2312"/>
  <c r="G2313"/>
  <c r="G2314"/>
  <c r="G2315"/>
  <c r="G2316"/>
  <c r="G2317"/>
  <c r="G2318"/>
  <c r="G2319"/>
  <c r="G2320"/>
  <c r="G2321"/>
  <c r="G2322"/>
  <c r="G2323"/>
  <c r="G2324"/>
  <c r="G2325"/>
  <c r="G2326"/>
  <c r="G2327"/>
  <c r="G2328"/>
  <c r="G2329"/>
  <c r="G2330"/>
  <c r="G2331"/>
  <c r="G2332"/>
  <c r="G2333"/>
  <c r="G2334"/>
  <c r="G2335"/>
  <c r="G2336"/>
  <c r="G2337"/>
  <c r="G2338"/>
  <c r="G2339"/>
  <c r="G2340"/>
  <c r="G2341"/>
  <c r="G2342"/>
  <c r="G2343"/>
  <c r="G2344"/>
  <c r="G2345"/>
  <c r="G2346"/>
  <c r="G2347"/>
  <c r="G2348"/>
  <c r="G2349"/>
  <c r="G2350"/>
  <c r="G2351"/>
  <c r="G2352"/>
  <c r="G2353"/>
  <c r="G2354"/>
  <c r="G2355"/>
  <c r="G2356"/>
  <c r="G2357"/>
  <c r="G2358"/>
  <c r="G2359"/>
  <c r="G2360"/>
  <c r="G2361"/>
  <c r="G2362"/>
  <c r="G2363"/>
  <c r="G2364"/>
  <c r="G2365"/>
  <c r="G2366"/>
  <c r="G2367"/>
  <c r="G2368"/>
  <c r="G2369"/>
  <c r="G2370"/>
  <c r="G2371"/>
  <c r="G2372"/>
  <c r="G2373"/>
  <c r="G2374"/>
  <c r="G2375"/>
  <c r="G2376"/>
  <c r="G2377"/>
  <c r="G2378"/>
  <c r="G2379"/>
  <c r="G2380"/>
  <c r="G2381"/>
  <c r="G2382"/>
  <c r="G2383"/>
  <c r="G2384"/>
  <c r="G2385"/>
  <c r="G2386"/>
  <c r="G2387"/>
  <c r="G2388"/>
  <c r="G2389"/>
  <c r="G2390"/>
  <c r="G2391"/>
  <c r="G2392"/>
  <c r="G2393"/>
  <c r="G2394"/>
  <c r="G2395"/>
  <c r="G2396"/>
  <c r="G2397"/>
  <c r="G2398"/>
  <c r="G2399"/>
  <c r="G2400"/>
  <c r="G2401"/>
  <c r="G2402"/>
  <c r="G2403"/>
  <c r="G2404"/>
  <c r="G2405"/>
  <c r="G2406"/>
  <c r="G2407"/>
  <c r="G2408"/>
  <c r="G2409"/>
  <c r="G2410"/>
  <c r="G2411"/>
  <c r="G2412"/>
  <c r="G2413"/>
  <c r="G2414"/>
  <c r="G2415"/>
  <c r="G2416"/>
  <c r="G2417"/>
  <c r="G2418"/>
  <c r="G2419"/>
  <c r="G2420"/>
  <c r="G2421"/>
  <c r="G2422"/>
  <c r="G2423"/>
  <c r="G2424"/>
  <c r="G2425"/>
  <c r="G2426"/>
  <c r="G2427"/>
  <c r="G2428"/>
  <c r="G2429"/>
  <c r="G2430"/>
  <c r="G2431"/>
  <c r="G2432"/>
  <c r="G2433"/>
  <c r="G2434"/>
  <c r="G2435"/>
  <c r="G2436"/>
  <c r="G2437"/>
  <c r="G2438"/>
  <c r="G2439"/>
  <c r="G2440"/>
  <c r="G2441"/>
  <c r="G2442"/>
  <c r="G2443"/>
  <c r="G2444"/>
  <c r="G2445"/>
  <c r="G2446"/>
  <c r="G2447"/>
  <c r="G2448"/>
  <c r="G2449"/>
  <c r="G2450"/>
  <c r="G2451"/>
  <c r="G2452"/>
  <c r="G2453"/>
  <c r="G2454"/>
  <c r="G2455"/>
  <c r="G2456"/>
  <c r="G2457"/>
  <c r="G2458"/>
  <c r="G2459"/>
  <c r="G2460"/>
  <c r="G2461"/>
  <c r="G2462"/>
  <c r="G2463"/>
  <c r="G2464"/>
  <c r="G2465"/>
  <c r="G2466"/>
  <c r="G2467"/>
  <c r="G2468"/>
  <c r="G2469"/>
  <c r="G2470"/>
  <c r="G2471"/>
  <c r="G2472"/>
  <c r="G2473"/>
  <c r="G2474"/>
  <c r="G2475"/>
  <c r="G2476"/>
  <c r="G2477"/>
  <c r="G2478"/>
  <c r="G2479"/>
  <c r="G2480"/>
  <c r="G2481"/>
  <c r="G2482"/>
  <c r="G2483"/>
  <c r="G2484"/>
  <c r="G2485"/>
  <c r="G2486"/>
  <c r="G2487"/>
  <c r="G2488"/>
  <c r="G2489"/>
  <c r="G2490"/>
  <c r="G2491"/>
  <c r="G2492"/>
  <c r="G2493"/>
  <c r="G2494"/>
  <c r="G2495"/>
  <c r="G2496"/>
  <c r="G2497"/>
  <c r="G2498"/>
  <c r="G2499"/>
  <c r="G2500"/>
  <c r="G2501"/>
  <c r="G2502"/>
  <c r="G2503"/>
  <c r="G2504"/>
  <c r="G2505"/>
  <c r="G2506"/>
  <c r="G2507"/>
  <c r="G2508"/>
  <c r="G2509"/>
  <c r="G2510"/>
  <c r="G2511"/>
  <c r="G2512"/>
  <c r="G2513"/>
  <c r="G2514"/>
  <c r="G2515"/>
  <c r="G2516"/>
  <c r="G2517"/>
  <c r="G2518"/>
  <c r="G2519"/>
  <c r="G2520"/>
  <c r="G2521"/>
  <c r="G2522"/>
  <c r="G2523"/>
  <c r="G2524"/>
  <c r="G2525"/>
  <c r="G2526"/>
  <c r="G2527"/>
  <c r="G2528"/>
  <c r="G2529"/>
  <c r="G2530"/>
  <c r="G2531"/>
  <c r="G2532"/>
  <c r="G2533"/>
  <c r="G2534"/>
  <c r="G2535"/>
  <c r="G2536"/>
  <c r="G2537"/>
  <c r="G2538"/>
  <c r="G2539"/>
  <c r="G2540"/>
  <c r="G2541"/>
  <c r="G2542"/>
  <c r="G2543"/>
  <c r="G2544"/>
  <c r="G2545"/>
  <c r="G2546"/>
  <c r="G2547"/>
  <c r="G2548"/>
  <c r="G2549"/>
  <c r="G2550"/>
  <c r="G2551"/>
  <c r="G2552"/>
  <c r="G2553"/>
  <c r="G2554"/>
  <c r="G2555"/>
  <c r="G2556"/>
  <c r="G2557"/>
  <c r="G2558"/>
  <c r="G2559"/>
  <c r="G2560"/>
  <c r="G2561"/>
  <c r="G2562"/>
  <c r="G2563"/>
  <c r="G2564"/>
  <c r="G2565"/>
  <c r="G2566"/>
  <c r="G2567"/>
  <c r="G2568"/>
  <c r="G2569"/>
  <c r="G2570"/>
  <c r="G2571"/>
  <c r="G2572"/>
  <c r="G2573"/>
  <c r="G2574"/>
  <c r="G2575"/>
  <c r="G2576"/>
  <c r="G2577"/>
  <c r="G2578"/>
  <c r="G2579"/>
  <c r="G2580"/>
  <c r="G2581"/>
  <c r="G2582"/>
  <c r="G2583"/>
  <c r="G2584"/>
  <c r="G2585"/>
  <c r="G2586"/>
  <c r="G2587"/>
  <c r="G2588"/>
  <c r="G2589"/>
  <c r="G2590"/>
  <c r="G2591"/>
  <c r="G2592"/>
  <c r="G2593"/>
  <c r="G2594"/>
  <c r="G2595"/>
  <c r="G2596"/>
  <c r="G2597"/>
  <c r="G2598"/>
  <c r="G2599"/>
  <c r="G2600"/>
  <c r="G2601"/>
  <c r="G2602"/>
  <c r="G2603"/>
  <c r="G2604"/>
  <c r="G2605"/>
  <c r="G2606"/>
  <c r="G2607"/>
  <c r="G2608"/>
  <c r="G2609"/>
  <c r="G2610"/>
  <c r="G2611"/>
  <c r="G2612"/>
  <c r="G2613"/>
  <c r="G2614"/>
  <c r="G2615"/>
  <c r="G2616"/>
  <c r="G2617"/>
  <c r="G2618"/>
  <c r="G2619"/>
  <c r="G2620"/>
  <c r="G2621"/>
  <c r="G2622"/>
  <c r="G2623"/>
  <c r="G2624"/>
  <c r="G2625"/>
  <c r="G2626"/>
  <c r="G2627"/>
  <c r="G2628"/>
  <c r="G2629"/>
  <c r="G2630"/>
  <c r="G2631"/>
  <c r="G2632"/>
  <c r="G2633"/>
  <c r="G2634"/>
  <c r="G2635"/>
  <c r="G2636"/>
  <c r="G2637"/>
  <c r="G2638"/>
  <c r="G2639"/>
  <c r="G2640"/>
  <c r="G2641"/>
  <c r="G2642"/>
  <c r="G2643"/>
  <c r="G2644"/>
  <c r="G2645"/>
  <c r="G2646"/>
  <c r="G2647"/>
  <c r="G2648"/>
  <c r="G2649"/>
  <c r="G2650"/>
  <c r="G2651"/>
  <c r="G2652"/>
  <c r="G2653"/>
  <c r="G2654"/>
  <c r="G2655"/>
  <c r="G2656"/>
  <c r="G2657"/>
  <c r="G2658"/>
  <c r="G2659"/>
  <c r="G2660"/>
  <c r="G2661"/>
  <c r="G2662"/>
  <c r="G2663"/>
  <c r="G2664"/>
  <c r="G2665"/>
  <c r="G2666"/>
  <c r="G2667"/>
  <c r="G2668"/>
  <c r="G2669"/>
  <c r="G2670"/>
  <c r="G2671"/>
  <c r="G2672"/>
  <c r="G2673"/>
  <c r="G2674"/>
  <c r="G2675"/>
  <c r="G2676"/>
  <c r="G2677"/>
  <c r="G2678"/>
  <c r="G2679"/>
  <c r="G2680"/>
  <c r="G2681"/>
  <c r="G2682"/>
  <c r="G2683"/>
  <c r="G2684"/>
  <c r="G2685"/>
  <c r="G2686"/>
  <c r="G2687"/>
  <c r="G2688"/>
  <c r="G2689"/>
  <c r="G2690"/>
  <c r="G2691"/>
  <c r="G2692"/>
  <c r="G2693"/>
  <c r="G2694"/>
  <c r="G2695"/>
  <c r="G2696"/>
  <c r="G2697"/>
  <c r="G2698"/>
  <c r="G2699"/>
  <c r="G2700"/>
  <c r="G2701"/>
  <c r="G2702"/>
  <c r="G2703"/>
  <c r="G2704"/>
  <c r="G2705"/>
  <c r="G2706"/>
  <c r="G2707"/>
  <c r="G2708"/>
  <c r="G2709"/>
  <c r="G2710"/>
  <c r="G2711"/>
  <c r="G2712"/>
  <c r="G2713"/>
  <c r="G2714"/>
  <c r="G2715"/>
  <c r="G2716"/>
  <c r="G2717"/>
  <c r="G2718"/>
  <c r="G2719"/>
  <c r="G2720"/>
  <c r="G2721"/>
  <c r="G2722"/>
  <c r="G2723"/>
  <c r="G2724"/>
  <c r="G2725"/>
  <c r="G2726"/>
  <c r="G2727"/>
  <c r="G2728"/>
  <c r="G2729"/>
  <c r="G2730"/>
  <c r="G2731"/>
  <c r="G2732"/>
  <c r="G2733"/>
  <c r="G2734"/>
  <c r="G2735"/>
  <c r="G2736"/>
  <c r="G2737"/>
  <c r="G2738"/>
  <c r="G2739"/>
  <c r="G2740"/>
  <c r="G2741"/>
  <c r="G2742"/>
  <c r="G2743"/>
  <c r="G2744"/>
  <c r="G2745"/>
  <c r="G2746"/>
  <c r="G2747"/>
  <c r="G2748"/>
  <c r="G2749"/>
  <c r="G2750"/>
  <c r="G2751"/>
  <c r="G2752"/>
  <c r="G2753"/>
  <c r="G2754"/>
  <c r="G2755"/>
  <c r="G2756"/>
  <c r="G2757"/>
  <c r="G2758"/>
  <c r="G2759"/>
  <c r="G2760"/>
  <c r="G2761"/>
  <c r="G2762"/>
  <c r="G2763"/>
  <c r="G2764"/>
  <c r="G2765"/>
  <c r="G2766"/>
  <c r="G2767"/>
  <c r="G2768"/>
  <c r="G2769"/>
  <c r="G2770"/>
  <c r="G2771"/>
  <c r="G2772"/>
  <c r="G2773"/>
  <c r="G2774"/>
  <c r="G2775"/>
  <c r="G2776"/>
  <c r="G2777"/>
  <c r="G2778"/>
  <c r="G2779"/>
  <c r="G2780"/>
  <c r="G2781"/>
  <c r="G2782"/>
  <c r="G2783"/>
  <c r="G2784"/>
  <c r="G2785"/>
  <c r="G2786"/>
  <c r="G2787"/>
  <c r="G2788"/>
  <c r="G2789"/>
  <c r="G2790"/>
  <c r="G2791"/>
  <c r="G2792"/>
  <c r="G2793"/>
  <c r="G2794"/>
  <c r="G2795"/>
  <c r="G2796"/>
  <c r="G2797"/>
  <c r="G2798"/>
  <c r="G2799"/>
  <c r="G2800"/>
  <c r="G2801"/>
  <c r="G2802"/>
  <c r="G2803"/>
  <c r="G2804"/>
  <c r="G2805"/>
  <c r="G2806"/>
  <c r="G2807"/>
  <c r="G2808"/>
  <c r="G2809"/>
  <c r="G2810"/>
  <c r="G2811"/>
  <c r="G2812"/>
  <c r="G2813"/>
  <c r="G2814"/>
  <c r="G2815"/>
  <c r="G2816"/>
  <c r="G2817"/>
  <c r="G2818"/>
  <c r="G2819"/>
  <c r="G2820"/>
  <c r="G2821"/>
  <c r="G2822"/>
  <c r="G2823"/>
  <c r="G2824"/>
  <c r="G2825"/>
  <c r="G2826"/>
  <c r="G2827"/>
  <c r="G2828"/>
  <c r="G2829"/>
  <c r="G2830"/>
  <c r="G2831"/>
  <c r="G2832"/>
  <c r="G2833"/>
  <c r="G2834"/>
  <c r="G2835"/>
  <c r="G2836"/>
  <c r="G2837"/>
  <c r="G2838"/>
  <c r="G2839"/>
  <c r="G2840"/>
  <c r="G2841"/>
  <c r="G2842"/>
  <c r="G2843"/>
  <c r="G2844"/>
  <c r="G2845"/>
  <c r="G2846"/>
  <c r="G2847"/>
  <c r="G2848"/>
  <c r="G2849"/>
  <c r="G2850"/>
  <c r="G2851"/>
  <c r="G2852"/>
  <c r="G2853"/>
  <c r="G2854"/>
  <c r="G2855"/>
  <c r="G2856"/>
  <c r="G2857"/>
  <c r="G2858"/>
  <c r="G2859"/>
  <c r="G2860"/>
  <c r="G2861"/>
  <c r="G2862"/>
  <c r="G2863"/>
  <c r="G2864"/>
  <c r="G2865"/>
  <c r="G2866"/>
  <c r="G2867"/>
  <c r="G2868"/>
  <c r="G2869"/>
  <c r="G2870"/>
  <c r="G2871"/>
  <c r="G2872"/>
  <c r="G2873"/>
  <c r="G2874"/>
  <c r="G2875"/>
  <c r="G2876"/>
  <c r="G2877"/>
  <c r="G2878"/>
  <c r="G2879"/>
  <c r="G2880"/>
  <c r="G2881"/>
  <c r="G2882"/>
  <c r="G2883"/>
  <c r="G2884"/>
  <c r="G2885"/>
  <c r="G2886"/>
  <c r="G2887"/>
  <c r="G2888"/>
  <c r="G2889"/>
  <c r="G2890"/>
  <c r="G2891"/>
  <c r="G2892"/>
  <c r="G2893"/>
  <c r="G2894"/>
  <c r="G2895"/>
  <c r="G2896"/>
  <c r="G2897"/>
  <c r="G2898"/>
  <c r="G2899"/>
  <c r="G2900"/>
  <c r="G2901"/>
  <c r="G2902"/>
  <c r="G2903"/>
  <c r="G2904"/>
  <c r="G2905"/>
  <c r="G2906"/>
  <c r="G2907"/>
  <c r="G2908"/>
  <c r="G2909"/>
  <c r="G2910"/>
  <c r="G2911"/>
  <c r="G2912"/>
  <c r="G2913"/>
  <c r="G2914"/>
  <c r="G2915"/>
  <c r="G2916"/>
  <c r="G2917"/>
  <c r="G2918"/>
  <c r="G2919"/>
  <c r="G2920"/>
  <c r="G2921"/>
  <c r="G2922"/>
  <c r="G2923"/>
  <c r="G2924"/>
  <c r="G2925"/>
  <c r="G2926"/>
  <c r="G2927"/>
  <c r="G2928"/>
  <c r="G2929"/>
  <c r="G2930"/>
  <c r="G2931"/>
  <c r="G2932"/>
  <c r="G2933"/>
  <c r="G2934"/>
  <c r="G2935"/>
  <c r="G2936"/>
  <c r="G2937"/>
  <c r="G2938"/>
  <c r="G2939"/>
  <c r="G2940"/>
  <c r="G2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504"/>
  <c r="F1505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765"/>
  <c r="F1766"/>
  <c r="F1767"/>
  <c r="F1768"/>
  <c r="F1769"/>
  <c r="F1770"/>
  <c r="F1771"/>
  <c r="F1772"/>
  <c r="F1773"/>
  <c r="F1774"/>
  <c r="F1775"/>
  <c r="F1776"/>
  <c r="F1777"/>
  <c r="F1778"/>
  <c r="F1779"/>
  <c r="F1780"/>
  <c r="F1781"/>
  <c r="F1782"/>
  <c r="F1783"/>
  <c r="F1784"/>
  <c r="F1785"/>
  <c r="F1786"/>
  <c r="F1787"/>
  <c r="F1788"/>
  <c r="F1789"/>
  <c r="F1790"/>
  <c r="F1791"/>
  <c r="F1792"/>
  <c r="F1793"/>
  <c r="F1794"/>
  <c r="F1795"/>
  <c r="F1796"/>
  <c r="F1797"/>
  <c r="F1798"/>
  <c r="F1799"/>
  <c r="F1800"/>
  <c r="F1801"/>
  <c r="F1802"/>
  <c r="F1803"/>
  <c r="F1804"/>
  <c r="F1805"/>
  <c r="F1806"/>
  <c r="F1807"/>
  <c r="F1808"/>
  <c r="F1809"/>
  <c r="F1810"/>
  <c r="F1811"/>
  <c r="F1812"/>
  <c r="F1813"/>
  <c r="F1814"/>
  <c r="F1815"/>
  <c r="F1816"/>
  <c r="F1817"/>
  <c r="F1818"/>
  <c r="F1819"/>
  <c r="F1820"/>
  <c r="F1821"/>
  <c r="F1822"/>
  <c r="F1823"/>
  <c r="F1824"/>
  <c r="F1825"/>
  <c r="F1826"/>
  <c r="F1827"/>
  <c r="F1828"/>
  <c r="F1829"/>
  <c r="F1830"/>
  <c r="F1831"/>
  <c r="F1832"/>
  <c r="F1833"/>
  <c r="F1834"/>
  <c r="F1835"/>
  <c r="F1836"/>
  <c r="F1837"/>
  <c r="F1838"/>
  <c r="F1839"/>
  <c r="F1840"/>
  <c r="F1841"/>
  <c r="F1842"/>
  <c r="F1843"/>
  <c r="F1844"/>
  <c r="F1845"/>
  <c r="F1846"/>
  <c r="F1847"/>
  <c r="F1848"/>
  <c r="F1849"/>
  <c r="F1850"/>
  <c r="F1851"/>
  <c r="F1852"/>
  <c r="F1853"/>
  <c r="F1854"/>
  <c r="F1855"/>
  <c r="F1856"/>
  <c r="F1857"/>
  <c r="F1858"/>
  <c r="F1859"/>
  <c r="F1860"/>
  <c r="F1861"/>
  <c r="F1862"/>
  <c r="F1863"/>
  <c r="F1864"/>
  <c r="F1865"/>
  <c r="F1866"/>
  <c r="F1867"/>
  <c r="F1868"/>
  <c r="F1869"/>
  <c r="F1870"/>
  <c r="F1871"/>
  <c r="F1872"/>
  <c r="F1873"/>
  <c r="F1874"/>
  <c r="F1875"/>
  <c r="F1876"/>
  <c r="F1877"/>
  <c r="F1878"/>
  <c r="F1879"/>
  <c r="F1880"/>
  <c r="F1881"/>
  <c r="F1882"/>
  <c r="F1883"/>
  <c r="F1884"/>
  <c r="F1885"/>
  <c r="F1886"/>
  <c r="F1887"/>
  <c r="F1888"/>
  <c r="F1889"/>
  <c r="F1890"/>
  <c r="F1891"/>
  <c r="F1892"/>
  <c r="F1893"/>
  <c r="F1894"/>
  <c r="F1895"/>
  <c r="F1896"/>
  <c r="F1897"/>
  <c r="F1898"/>
  <c r="F1899"/>
  <c r="F1900"/>
  <c r="F1901"/>
  <c r="F1902"/>
  <c r="F1903"/>
  <c r="F1904"/>
  <c r="F1905"/>
  <c r="F1906"/>
  <c r="F1907"/>
  <c r="F1908"/>
  <c r="F1909"/>
  <c r="F1910"/>
  <c r="F1911"/>
  <c r="F1912"/>
  <c r="F1913"/>
  <c r="F1914"/>
  <c r="F1915"/>
  <c r="F1916"/>
  <c r="F1917"/>
  <c r="F1918"/>
  <c r="F1919"/>
  <c r="F1920"/>
  <c r="F1921"/>
  <c r="F1922"/>
  <c r="F1923"/>
  <c r="F1924"/>
  <c r="F1925"/>
  <c r="F1926"/>
  <c r="F1927"/>
  <c r="F1928"/>
  <c r="F1929"/>
  <c r="F1930"/>
  <c r="F1931"/>
  <c r="F1932"/>
  <c r="F1933"/>
  <c r="F1934"/>
  <c r="F1935"/>
  <c r="F1936"/>
  <c r="F1937"/>
  <c r="F1938"/>
  <c r="F1939"/>
  <c r="F1940"/>
  <c r="F1941"/>
  <c r="F1942"/>
  <c r="F1943"/>
  <c r="F1944"/>
  <c r="F1945"/>
  <c r="F1946"/>
  <c r="F1947"/>
  <c r="F1948"/>
  <c r="F1949"/>
  <c r="F1950"/>
  <c r="F1951"/>
  <c r="F1952"/>
  <c r="F1953"/>
  <c r="F1954"/>
  <c r="F1955"/>
  <c r="F1956"/>
  <c r="F1957"/>
  <c r="F1958"/>
  <c r="F1959"/>
  <c r="F1960"/>
  <c r="F1961"/>
  <c r="F1962"/>
  <c r="F1963"/>
  <c r="F1964"/>
  <c r="F1965"/>
  <c r="F1966"/>
  <c r="F1967"/>
  <c r="F1968"/>
  <c r="F1969"/>
  <c r="F1970"/>
  <c r="F1971"/>
  <c r="F1972"/>
  <c r="F1973"/>
  <c r="F1974"/>
  <c r="F1975"/>
  <c r="F1976"/>
  <c r="F1977"/>
  <c r="F1978"/>
  <c r="F1979"/>
  <c r="F1980"/>
  <c r="F1981"/>
  <c r="F1982"/>
  <c r="F1983"/>
  <c r="F1984"/>
  <c r="F1985"/>
  <c r="F1986"/>
  <c r="F1987"/>
  <c r="F1988"/>
  <c r="F1989"/>
  <c r="F1990"/>
  <c r="F1991"/>
  <c r="F1992"/>
  <c r="F1993"/>
  <c r="F1994"/>
  <c r="F1995"/>
  <c r="F1996"/>
  <c r="F1997"/>
  <c r="F1998"/>
  <c r="F1999"/>
  <c r="F2000"/>
  <c r="F2001"/>
  <c r="F2002"/>
  <c r="F2003"/>
  <c r="F2004"/>
  <c r="F2005"/>
  <c r="F2006"/>
  <c r="F2007"/>
  <c r="F2008"/>
  <c r="F2009"/>
  <c r="F2010"/>
  <c r="F2011"/>
  <c r="F2012"/>
  <c r="F2013"/>
  <c r="F2014"/>
  <c r="F2015"/>
  <c r="F2016"/>
  <c r="F2017"/>
  <c r="F2018"/>
  <c r="F2019"/>
  <c r="F2020"/>
  <c r="F2021"/>
  <c r="F2022"/>
  <c r="F2023"/>
  <c r="F2024"/>
  <c r="F2025"/>
  <c r="F2026"/>
  <c r="F2027"/>
  <c r="F2028"/>
  <c r="F2029"/>
  <c r="F2030"/>
  <c r="F2031"/>
  <c r="F2032"/>
  <c r="F2033"/>
  <c r="F2034"/>
  <c r="F2035"/>
  <c r="F2036"/>
  <c r="F2037"/>
  <c r="F2038"/>
  <c r="F2039"/>
  <c r="F2040"/>
  <c r="F2041"/>
  <c r="F2042"/>
  <c r="F2043"/>
  <c r="F2044"/>
  <c r="F2045"/>
  <c r="F2046"/>
  <c r="F2047"/>
  <c r="F2048"/>
  <c r="F2049"/>
  <c r="F2050"/>
  <c r="F2051"/>
  <c r="F2052"/>
  <c r="F2053"/>
  <c r="F2054"/>
  <c r="F2055"/>
  <c r="F2056"/>
  <c r="F2057"/>
  <c r="F2058"/>
  <c r="F2059"/>
  <c r="F2060"/>
  <c r="F2061"/>
  <c r="F2062"/>
  <c r="F2063"/>
  <c r="F2064"/>
  <c r="F2065"/>
  <c r="F2066"/>
  <c r="F2067"/>
  <c r="F2068"/>
  <c r="F2069"/>
  <c r="F2070"/>
  <c r="F2071"/>
  <c r="F2072"/>
  <c r="F2073"/>
  <c r="F2074"/>
  <c r="F2075"/>
  <c r="F2076"/>
  <c r="F2077"/>
  <c r="F2078"/>
  <c r="F2079"/>
  <c r="F2080"/>
  <c r="F2081"/>
  <c r="F2082"/>
  <c r="F2083"/>
  <c r="F2084"/>
  <c r="F2085"/>
  <c r="F2086"/>
  <c r="F2087"/>
  <c r="F2088"/>
  <c r="F2089"/>
  <c r="F2090"/>
  <c r="F2091"/>
  <c r="F2092"/>
  <c r="F2093"/>
  <c r="F2094"/>
  <c r="F2095"/>
  <c r="F2096"/>
  <c r="F2097"/>
  <c r="F2098"/>
  <c r="F2099"/>
  <c r="F2100"/>
  <c r="F2101"/>
  <c r="F2102"/>
  <c r="F2103"/>
  <c r="F2104"/>
  <c r="F2105"/>
  <c r="F2106"/>
  <c r="F2107"/>
  <c r="F2108"/>
  <c r="F2109"/>
  <c r="F2110"/>
  <c r="F2111"/>
  <c r="F2112"/>
  <c r="F2113"/>
  <c r="F2114"/>
  <c r="F2115"/>
  <c r="F2116"/>
  <c r="F2117"/>
  <c r="F2118"/>
  <c r="F2119"/>
  <c r="F2120"/>
  <c r="F2121"/>
  <c r="F2122"/>
  <c r="F2123"/>
  <c r="F2124"/>
  <c r="F2125"/>
  <c r="F2126"/>
  <c r="F2127"/>
  <c r="F2128"/>
  <c r="F2129"/>
  <c r="F2130"/>
  <c r="F2131"/>
  <c r="F2132"/>
  <c r="F2133"/>
  <c r="F2134"/>
  <c r="F2135"/>
  <c r="F2136"/>
  <c r="F2137"/>
  <c r="F2138"/>
  <c r="F2139"/>
  <c r="F2140"/>
  <c r="F2141"/>
  <c r="F2142"/>
  <c r="F2143"/>
  <c r="F2144"/>
  <c r="F2145"/>
  <c r="F2146"/>
  <c r="F2147"/>
  <c r="F2148"/>
  <c r="F2149"/>
  <c r="F2150"/>
  <c r="F2151"/>
  <c r="F2152"/>
  <c r="F2153"/>
  <c r="F2154"/>
  <c r="F2155"/>
  <c r="F2156"/>
  <c r="F2157"/>
  <c r="F2158"/>
  <c r="F2159"/>
  <c r="F2160"/>
  <c r="F2161"/>
  <c r="F2162"/>
  <c r="F2163"/>
  <c r="F2164"/>
  <c r="F2165"/>
  <c r="F2166"/>
  <c r="F2167"/>
  <c r="F2168"/>
  <c r="F2169"/>
  <c r="F2170"/>
  <c r="F2171"/>
  <c r="F2172"/>
  <c r="F2173"/>
  <c r="F2174"/>
  <c r="F2175"/>
  <c r="F2176"/>
  <c r="F2177"/>
  <c r="F2178"/>
  <c r="F2179"/>
  <c r="F2180"/>
  <c r="F2181"/>
  <c r="F2182"/>
  <c r="F2183"/>
  <c r="F2184"/>
  <c r="F2185"/>
  <c r="F2186"/>
  <c r="F2187"/>
  <c r="F2188"/>
  <c r="F2189"/>
  <c r="F2190"/>
  <c r="F2191"/>
  <c r="F2192"/>
  <c r="F2193"/>
  <c r="F2194"/>
  <c r="F2195"/>
  <c r="F2196"/>
  <c r="F2197"/>
  <c r="F2198"/>
  <c r="F2199"/>
  <c r="F2200"/>
  <c r="F2201"/>
  <c r="F2202"/>
  <c r="F2203"/>
  <c r="F2204"/>
  <c r="F2205"/>
  <c r="F2206"/>
  <c r="F2207"/>
  <c r="F2208"/>
  <c r="F2209"/>
  <c r="F2210"/>
  <c r="F2211"/>
  <c r="F2212"/>
  <c r="F2213"/>
  <c r="F2214"/>
  <c r="F2215"/>
  <c r="F2216"/>
  <c r="F2217"/>
  <c r="F2218"/>
  <c r="F2219"/>
  <c r="F2220"/>
  <c r="F2221"/>
  <c r="F2222"/>
  <c r="F2223"/>
  <c r="F2224"/>
  <c r="F2225"/>
  <c r="F2226"/>
  <c r="F2227"/>
  <c r="F2228"/>
  <c r="F2229"/>
  <c r="F2230"/>
  <c r="F2231"/>
  <c r="F2232"/>
  <c r="F2233"/>
  <c r="F2234"/>
  <c r="F2235"/>
  <c r="F2236"/>
  <c r="F2237"/>
  <c r="F2238"/>
  <c r="F2239"/>
  <c r="F2240"/>
  <c r="F2241"/>
  <c r="F2242"/>
  <c r="F2243"/>
  <c r="F2244"/>
  <c r="F2245"/>
  <c r="F2246"/>
  <c r="F2247"/>
  <c r="F2248"/>
  <c r="F2249"/>
  <c r="F2250"/>
  <c r="F2251"/>
  <c r="F2252"/>
  <c r="F2253"/>
  <c r="F2254"/>
  <c r="F2255"/>
  <c r="F2256"/>
  <c r="F2257"/>
  <c r="F2258"/>
  <c r="F2259"/>
  <c r="F2260"/>
  <c r="F2261"/>
  <c r="F2262"/>
  <c r="F2263"/>
  <c r="F2264"/>
  <c r="F2265"/>
  <c r="F2266"/>
  <c r="F2267"/>
  <c r="F2268"/>
  <c r="F2269"/>
  <c r="F2270"/>
  <c r="F2271"/>
  <c r="F2272"/>
  <c r="F2273"/>
  <c r="F2274"/>
  <c r="F2275"/>
  <c r="F2276"/>
  <c r="F2277"/>
  <c r="F2278"/>
  <c r="F2279"/>
  <c r="F2280"/>
  <c r="F2281"/>
  <c r="F2282"/>
  <c r="F2283"/>
  <c r="F2284"/>
  <c r="F2285"/>
  <c r="F2286"/>
  <c r="F2287"/>
  <c r="F2288"/>
  <c r="F2289"/>
  <c r="F2290"/>
  <c r="F2291"/>
  <c r="F2292"/>
  <c r="F2293"/>
  <c r="F2294"/>
  <c r="F2295"/>
  <c r="F2296"/>
  <c r="F2297"/>
  <c r="F2298"/>
  <c r="F2299"/>
  <c r="F2300"/>
  <c r="F2301"/>
  <c r="F2302"/>
  <c r="F2303"/>
  <c r="F2304"/>
  <c r="F2305"/>
  <c r="F2306"/>
  <c r="F2307"/>
  <c r="F2308"/>
  <c r="F2309"/>
  <c r="F2310"/>
  <c r="F2311"/>
  <c r="F2312"/>
  <c r="F2313"/>
  <c r="F2314"/>
  <c r="F2315"/>
  <c r="F2316"/>
  <c r="F2317"/>
  <c r="F2318"/>
  <c r="F2319"/>
  <c r="F2320"/>
  <c r="F2321"/>
  <c r="F2322"/>
  <c r="F2323"/>
  <c r="F2324"/>
  <c r="F2325"/>
  <c r="F2326"/>
  <c r="F2327"/>
  <c r="F2328"/>
  <c r="F2329"/>
  <c r="F2330"/>
  <c r="F2331"/>
  <c r="F2332"/>
  <c r="F2333"/>
  <c r="F2334"/>
  <c r="F2335"/>
  <c r="F2336"/>
  <c r="F2337"/>
  <c r="F2338"/>
  <c r="F2339"/>
  <c r="F2340"/>
  <c r="F2341"/>
  <c r="F2342"/>
  <c r="F2343"/>
  <c r="F2344"/>
  <c r="F2345"/>
  <c r="F2346"/>
  <c r="F2347"/>
  <c r="F2348"/>
  <c r="F2349"/>
  <c r="F2350"/>
  <c r="F2351"/>
  <c r="F2352"/>
  <c r="F2353"/>
  <c r="F2354"/>
  <c r="F2355"/>
  <c r="F2356"/>
  <c r="F2357"/>
  <c r="F2358"/>
  <c r="F2359"/>
  <c r="F2360"/>
  <c r="F2361"/>
  <c r="F2362"/>
  <c r="F2363"/>
  <c r="F2364"/>
  <c r="F2365"/>
  <c r="F2366"/>
  <c r="F2367"/>
  <c r="F2368"/>
  <c r="F2369"/>
  <c r="F2370"/>
  <c r="F2371"/>
  <c r="F2372"/>
  <c r="F2373"/>
  <c r="F2374"/>
  <c r="F2375"/>
  <c r="F2376"/>
  <c r="F2377"/>
  <c r="F2378"/>
  <c r="F2379"/>
  <c r="F2380"/>
  <c r="F2381"/>
  <c r="F2382"/>
  <c r="F2383"/>
  <c r="F2384"/>
  <c r="F2385"/>
  <c r="F2386"/>
  <c r="F2387"/>
  <c r="F2388"/>
  <c r="F2389"/>
  <c r="F2390"/>
  <c r="F2391"/>
  <c r="F2392"/>
  <c r="F2393"/>
  <c r="F2394"/>
  <c r="F2395"/>
  <c r="F2396"/>
  <c r="F2397"/>
  <c r="F2398"/>
  <c r="F2399"/>
  <c r="F2400"/>
  <c r="F2401"/>
  <c r="F2402"/>
  <c r="F2403"/>
  <c r="F2404"/>
  <c r="F2405"/>
  <c r="F2406"/>
  <c r="F2407"/>
  <c r="F2408"/>
  <c r="F2409"/>
  <c r="F2410"/>
  <c r="F2411"/>
  <c r="F2412"/>
  <c r="F2413"/>
  <c r="F2414"/>
  <c r="F2415"/>
  <c r="F2416"/>
  <c r="F2417"/>
  <c r="F2418"/>
  <c r="F2419"/>
  <c r="F2420"/>
  <c r="F2421"/>
  <c r="F2422"/>
  <c r="F2423"/>
  <c r="F2424"/>
  <c r="F2425"/>
  <c r="F2426"/>
  <c r="F2427"/>
  <c r="F2428"/>
  <c r="F2429"/>
  <c r="F2430"/>
  <c r="F2431"/>
  <c r="F2432"/>
  <c r="F2433"/>
  <c r="F2434"/>
  <c r="F2435"/>
  <c r="F2436"/>
  <c r="F2437"/>
  <c r="F2438"/>
  <c r="F2439"/>
  <c r="F2440"/>
  <c r="F2441"/>
  <c r="F2442"/>
  <c r="F2443"/>
  <c r="F2444"/>
  <c r="F2445"/>
  <c r="F2446"/>
  <c r="F2447"/>
  <c r="F2448"/>
  <c r="F2449"/>
  <c r="F2450"/>
  <c r="F2451"/>
  <c r="F2452"/>
  <c r="F2453"/>
  <c r="F2454"/>
  <c r="F2455"/>
  <c r="F2456"/>
  <c r="F2457"/>
  <c r="F2458"/>
  <c r="F2459"/>
  <c r="F2460"/>
  <c r="F2461"/>
  <c r="F2462"/>
  <c r="F2463"/>
  <c r="F2464"/>
  <c r="F2465"/>
  <c r="F2466"/>
  <c r="F2467"/>
  <c r="F2468"/>
  <c r="F2469"/>
  <c r="F2470"/>
  <c r="F2471"/>
  <c r="F2472"/>
  <c r="F2473"/>
  <c r="F2474"/>
  <c r="F2475"/>
  <c r="F2476"/>
  <c r="F2477"/>
  <c r="F2478"/>
  <c r="F2479"/>
  <c r="F2480"/>
  <c r="F2481"/>
  <c r="F2482"/>
  <c r="F2483"/>
  <c r="F2484"/>
  <c r="F2485"/>
  <c r="F2486"/>
  <c r="F2487"/>
  <c r="F2488"/>
  <c r="F2489"/>
  <c r="F2490"/>
  <c r="F2491"/>
  <c r="F2492"/>
  <c r="F2493"/>
  <c r="F2494"/>
  <c r="F2495"/>
  <c r="F2496"/>
  <c r="F2497"/>
  <c r="F2498"/>
  <c r="F2499"/>
  <c r="F2500"/>
  <c r="F2501"/>
  <c r="F2502"/>
  <c r="F2503"/>
  <c r="F2504"/>
  <c r="F2505"/>
  <c r="F2506"/>
  <c r="F2507"/>
  <c r="F2508"/>
  <c r="F2509"/>
  <c r="F2510"/>
  <c r="F2511"/>
  <c r="F2512"/>
  <c r="F2513"/>
  <c r="F2514"/>
  <c r="F2515"/>
  <c r="F2516"/>
  <c r="F2517"/>
  <c r="F2518"/>
  <c r="F2519"/>
  <c r="F2520"/>
  <c r="F2521"/>
  <c r="F2522"/>
  <c r="F2523"/>
  <c r="F2524"/>
  <c r="F2525"/>
  <c r="F2526"/>
  <c r="F2527"/>
  <c r="F2528"/>
  <c r="F2529"/>
  <c r="F2530"/>
  <c r="F2531"/>
  <c r="F2532"/>
  <c r="F2533"/>
  <c r="F2534"/>
  <c r="F2535"/>
  <c r="F2536"/>
  <c r="F2537"/>
  <c r="F2538"/>
  <c r="F2539"/>
  <c r="F2540"/>
  <c r="F2541"/>
  <c r="F2542"/>
  <c r="F2543"/>
  <c r="F2544"/>
  <c r="F2545"/>
  <c r="F2546"/>
  <c r="F2547"/>
  <c r="F2548"/>
  <c r="F2549"/>
  <c r="F2550"/>
  <c r="F2551"/>
  <c r="F2552"/>
  <c r="F2553"/>
  <c r="F2554"/>
  <c r="F2555"/>
  <c r="F2556"/>
  <c r="F2557"/>
  <c r="F2558"/>
  <c r="F2559"/>
  <c r="F2560"/>
  <c r="F2561"/>
  <c r="F2562"/>
  <c r="F2563"/>
  <c r="F2564"/>
  <c r="F2565"/>
  <c r="F2566"/>
  <c r="F2567"/>
  <c r="F2568"/>
  <c r="F2569"/>
  <c r="F2570"/>
  <c r="F2571"/>
  <c r="F2572"/>
  <c r="F2573"/>
  <c r="F2574"/>
  <c r="F2575"/>
  <c r="F2576"/>
  <c r="F2577"/>
  <c r="F2578"/>
  <c r="F2579"/>
  <c r="F2580"/>
  <c r="F2581"/>
  <c r="F2582"/>
  <c r="F2583"/>
  <c r="F2584"/>
  <c r="F2585"/>
  <c r="F2586"/>
  <c r="F2587"/>
  <c r="F2588"/>
  <c r="F2589"/>
  <c r="F2590"/>
  <c r="F2591"/>
  <c r="F2592"/>
  <c r="F2593"/>
  <c r="F2594"/>
  <c r="F2595"/>
  <c r="F2596"/>
  <c r="F2597"/>
  <c r="F2598"/>
  <c r="F2599"/>
  <c r="F2600"/>
  <c r="F2601"/>
  <c r="F2602"/>
  <c r="F2603"/>
  <c r="F2604"/>
  <c r="F2605"/>
  <c r="F2606"/>
  <c r="F2607"/>
  <c r="F2608"/>
  <c r="F2609"/>
  <c r="F2610"/>
  <c r="F2611"/>
  <c r="F2612"/>
  <c r="F2613"/>
  <c r="F2614"/>
  <c r="F2615"/>
  <c r="F2616"/>
  <c r="F2617"/>
  <c r="F2618"/>
  <c r="F2619"/>
  <c r="F2620"/>
  <c r="F2621"/>
  <c r="F2622"/>
  <c r="F2623"/>
  <c r="F2624"/>
  <c r="F2625"/>
  <c r="F2626"/>
  <c r="F2627"/>
  <c r="F2628"/>
  <c r="F2629"/>
  <c r="F2630"/>
  <c r="F2631"/>
  <c r="F2632"/>
  <c r="F2633"/>
  <c r="F2634"/>
  <c r="F2635"/>
  <c r="F2636"/>
  <c r="F2637"/>
  <c r="F2638"/>
  <c r="F2639"/>
  <c r="F2640"/>
  <c r="F2641"/>
  <c r="F2642"/>
  <c r="F2643"/>
  <c r="F2644"/>
  <c r="F2645"/>
  <c r="F2646"/>
  <c r="F2647"/>
  <c r="F2648"/>
  <c r="F2649"/>
  <c r="F2650"/>
  <c r="F2651"/>
  <c r="F2652"/>
  <c r="F2653"/>
  <c r="F2654"/>
  <c r="F2655"/>
  <c r="F2656"/>
  <c r="F2657"/>
  <c r="F2658"/>
  <c r="F2659"/>
  <c r="F2660"/>
  <c r="F2661"/>
  <c r="F2662"/>
  <c r="F2663"/>
  <c r="F2664"/>
  <c r="F2665"/>
  <c r="F2666"/>
  <c r="F2667"/>
  <c r="F2668"/>
  <c r="F2669"/>
  <c r="F2670"/>
  <c r="F2671"/>
  <c r="F2672"/>
  <c r="F2673"/>
  <c r="F2674"/>
  <c r="F2675"/>
  <c r="F2676"/>
  <c r="F2677"/>
  <c r="F2678"/>
  <c r="F2679"/>
  <c r="F2680"/>
  <c r="F2681"/>
  <c r="F2682"/>
  <c r="F2683"/>
  <c r="F2684"/>
  <c r="F2685"/>
  <c r="F2686"/>
  <c r="F2687"/>
  <c r="F2688"/>
  <c r="F2689"/>
  <c r="F2690"/>
  <c r="F2691"/>
  <c r="F2692"/>
  <c r="F2693"/>
  <c r="F2694"/>
  <c r="F2695"/>
  <c r="F2696"/>
  <c r="F2697"/>
  <c r="F2698"/>
  <c r="F2699"/>
  <c r="F2700"/>
  <c r="F2701"/>
  <c r="F2702"/>
  <c r="F2703"/>
  <c r="F2704"/>
  <c r="F2705"/>
  <c r="F2706"/>
  <c r="F2707"/>
  <c r="F2708"/>
  <c r="F2709"/>
  <c r="F2710"/>
  <c r="F2711"/>
  <c r="F2712"/>
  <c r="F2713"/>
  <c r="F2714"/>
  <c r="F2715"/>
  <c r="F2716"/>
  <c r="F2717"/>
  <c r="F2718"/>
  <c r="F2719"/>
  <c r="F2720"/>
  <c r="F2721"/>
  <c r="F2722"/>
  <c r="F2723"/>
  <c r="F2724"/>
  <c r="F2725"/>
  <c r="F2726"/>
  <c r="F2727"/>
  <c r="F2728"/>
  <c r="F2729"/>
  <c r="F2730"/>
  <c r="F2731"/>
  <c r="F2732"/>
  <c r="F2733"/>
  <c r="F2734"/>
  <c r="F2735"/>
  <c r="F2736"/>
  <c r="F2737"/>
  <c r="F2738"/>
  <c r="F2739"/>
  <c r="F2740"/>
  <c r="F2741"/>
  <c r="F2742"/>
  <c r="F2743"/>
  <c r="F2744"/>
  <c r="F2745"/>
  <c r="F2746"/>
  <c r="F2747"/>
  <c r="F2748"/>
  <c r="F2749"/>
  <c r="F2750"/>
  <c r="F2751"/>
  <c r="F2752"/>
  <c r="F2753"/>
  <c r="F2754"/>
  <c r="F2755"/>
  <c r="F2756"/>
  <c r="F2757"/>
  <c r="F2758"/>
  <c r="F2759"/>
  <c r="F2760"/>
  <c r="F2761"/>
  <c r="F2762"/>
  <c r="F2763"/>
  <c r="F2764"/>
  <c r="F2765"/>
  <c r="F2766"/>
  <c r="F2767"/>
  <c r="F2768"/>
  <c r="F2769"/>
  <c r="F2770"/>
  <c r="F2771"/>
  <c r="F2772"/>
  <c r="F2773"/>
  <c r="F2774"/>
  <c r="F2775"/>
  <c r="F2776"/>
  <c r="F2777"/>
  <c r="F2778"/>
  <c r="F2779"/>
  <c r="F2780"/>
  <c r="F2781"/>
  <c r="F2782"/>
  <c r="F2783"/>
  <c r="F2784"/>
  <c r="F2785"/>
  <c r="F2786"/>
  <c r="F2787"/>
  <c r="F2788"/>
  <c r="F2789"/>
  <c r="F2790"/>
  <c r="F2791"/>
  <c r="F2792"/>
  <c r="F2793"/>
  <c r="F2794"/>
  <c r="F2795"/>
  <c r="F2796"/>
  <c r="F2797"/>
  <c r="F2798"/>
  <c r="F2799"/>
  <c r="F2800"/>
  <c r="F2801"/>
  <c r="F2802"/>
  <c r="F2803"/>
  <c r="F2804"/>
  <c r="F2805"/>
  <c r="F2806"/>
  <c r="F2807"/>
  <c r="F2808"/>
  <c r="F2809"/>
  <c r="F2810"/>
  <c r="F2811"/>
  <c r="F2812"/>
  <c r="F2813"/>
  <c r="F2814"/>
  <c r="F2815"/>
  <c r="F2816"/>
  <c r="F2817"/>
  <c r="F2818"/>
  <c r="F2819"/>
  <c r="F2820"/>
  <c r="F2821"/>
  <c r="F2822"/>
  <c r="F2823"/>
  <c r="F2824"/>
  <c r="F2825"/>
  <c r="F2826"/>
  <c r="F2827"/>
  <c r="F2828"/>
  <c r="F2829"/>
  <c r="F2830"/>
  <c r="F2831"/>
  <c r="F2832"/>
  <c r="F2833"/>
  <c r="F2834"/>
  <c r="F2835"/>
  <c r="F2836"/>
  <c r="F2837"/>
  <c r="F2838"/>
  <c r="F2839"/>
  <c r="F2840"/>
  <c r="F2841"/>
  <c r="F2842"/>
  <c r="F2843"/>
  <c r="F2844"/>
  <c r="F2845"/>
  <c r="F2846"/>
  <c r="F2847"/>
  <c r="F2848"/>
  <c r="F2849"/>
  <c r="F2850"/>
  <c r="F2851"/>
  <c r="F2852"/>
  <c r="F2853"/>
  <c r="F2854"/>
  <c r="F2855"/>
  <c r="F2856"/>
  <c r="F2857"/>
  <c r="F2858"/>
  <c r="F2859"/>
  <c r="F2860"/>
  <c r="F2861"/>
  <c r="F2862"/>
  <c r="F2863"/>
  <c r="F2864"/>
  <c r="F2865"/>
  <c r="F2866"/>
  <c r="F2867"/>
  <c r="F2868"/>
  <c r="F2869"/>
  <c r="F2870"/>
  <c r="F2871"/>
  <c r="F2872"/>
  <c r="F2873"/>
  <c r="F2874"/>
  <c r="F2875"/>
  <c r="F2876"/>
  <c r="F2877"/>
  <c r="F2878"/>
  <c r="F2879"/>
  <c r="F2880"/>
  <c r="F2881"/>
  <c r="F2882"/>
  <c r="F2883"/>
  <c r="F2884"/>
  <c r="F2885"/>
  <c r="F2886"/>
  <c r="F2887"/>
  <c r="F2888"/>
  <c r="F2889"/>
  <c r="F2890"/>
  <c r="F2891"/>
  <c r="F2892"/>
  <c r="F2893"/>
  <c r="F2894"/>
  <c r="F2895"/>
  <c r="F2896"/>
  <c r="F2897"/>
  <c r="F2898"/>
  <c r="F2899"/>
  <c r="F2900"/>
  <c r="F2901"/>
  <c r="F2902"/>
  <c r="F2903"/>
  <c r="F2904"/>
  <c r="F2905"/>
  <c r="F2906"/>
  <c r="F2907"/>
  <c r="F2908"/>
  <c r="F2909"/>
  <c r="F2910"/>
  <c r="F2911"/>
  <c r="F2912"/>
  <c r="F2913"/>
  <c r="F2914"/>
  <c r="F2915"/>
  <c r="F2916"/>
  <c r="F2917"/>
  <c r="F2918"/>
  <c r="F2919"/>
  <c r="F2920"/>
  <c r="F2921"/>
  <c r="F2922"/>
  <c r="F2923"/>
  <c r="F2924"/>
  <c r="F2925"/>
  <c r="F2926"/>
  <c r="F2927"/>
  <c r="F2928"/>
  <c r="F2929"/>
  <c r="F2930"/>
  <c r="F2931"/>
  <c r="F2932"/>
  <c r="F2933"/>
  <c r="F2934"/>
  <c r="F2935"/>
  <c r="F2936"/>
  <c r="F2937"/>
  <c r="F2938"/>
  <c r="F2939"/>
  <c r="F2940"/>
  <c r="F2"/>
  <c r="I1732"/>
  <c r="I1733"/>
  <c r="I1734"/>
  <c r="I1731"/>
</calcChain>
</file>

<file path=xl/sharedStrings.xml><?xml version="1.0" encoding="utf-8"?>
<sst xmlns="http://schemas.openxmlformats.org/spreadsheetml/2006/main" count="34527" uniqueCount="7309">
  <si>
    <t>리서치</t>
  </si>
  <si>
    <t>기관명</t>
  </si>
  <si>
    <t>비용부서</t>
  </si>
  <si>
    <t>설치부서</t>
  </si>
  <si>
    <t>PID</t>
  </si>
  <si>
    <t>성명(주)</t>
  </si>
  <si>
    <t>KB증권</t>
  </si>
  <si>
    <t>PBS부(10090111)</t>
  </si>
  <si>
    <t>SC-A16-190-01</t>
  </si>
  <si>
    <t/>
  </si>
  <si>
    <t>신수정</t>
  </si>
  <si>
    <t>아트만자산운용</t>
  </si>
  <si>
    <t>TR-000-502-10</t>
  </si>
  <si>
    <t>최혜민5</t>
  </si>
  <si>
    <t>TR-000-502-09</t>
  </si>
  <si>
    <t>최혜민4</t>
  </si>
  <si>
    <t>TR-000-502-08</t>
  </si>
  <si>
    <t>최혜민3</t>
  </si>
  <si>
    <t>TR-000-502-07</t>
  </si>
  <si>
    <t>최혜민2</t>
  </si>
  <si>
    <t>TR-000-502-06</t>
  </si>
  <si>
    <t>최혜민1</t>
  </si>
  <si>
    <t>유니베스트투자자문</t>
  </si>
  <si>
    <t>TR-000-502-03</t>
  </si>
  <si>
    <t>강정호</t>
  </si>
  <si>
    <t>TR-000-502-02</t>
  </si>
  <si>
    <t>유재명</t>
  </si>
  <si>
    <t>TR-000-502-01</t>
  </si>
  <si>
    <t>이송이</t>
  </si>
  <si>
    <t>농업협동조합중앙회(농협중앙회)</t>
  </si>
  <si>
    <t>상호금융자금부</t>
  </si>
  <si>
    <t>자금결제팀</t>
  </si>
  <si>
    <t>BN-A15-190-01</t>
  </si>
  <si>
    <t>현혜선</t>
  </si>
  <si>
    <t>리딩투자증권</t>
  </si>
  <si>
    <t>에쿼티운용팀</t>
  </si>
  <si>
    <t>SC-A14-190-01</t>
  </si>
  <si>
    <t>최영재</t>
  </si>
  <si>
    <t>한국투자증권</t>
  </si>
  <si>
    <t>고용보험기금운용부</t>
  </si>
  <si>
    <t>고용보험기금운용부(10090408)</t>
  </si>
  <si>
    <t>SC-A11-190-01</t>
  </si>
  <si>
    <t>박상진</t>
  </si>
  <si>
    <t>상호금융자산전략본부/상무실</t>
  </si>
  <si>
    <t>BN-A09-190-01</t>
  </si>
  <si>
    <t>여영현</t>
  </si>
  <si>
    <t>김형균</t>
  </si>
  <si>
    <t>신한은행</t>
  </si>
  <si>
    <t>ETF운용팀</t>
  </si>
  <si>
    <t>TR-000-501-01</t>
  </si>
  <si>
    <t>최홍석</t>
  </si>
  <si>
    <t>키움증권</t>
  </si>
  <si>
    <t>패시브Sales&amp;LP팀(구법인영업3팀)</t>
  </si>
  <si>
    <t>SC-A07-190-04</t>
  </si>
  <si>
    <t>조혜리</t>
  </si>
  <si>
    <t>신한금융투자</t>
  </si>
  <si>
    <t>GMS그룹</t>
  </si>
  <si>
    <t>SC-A07-190-03</t>
  </si>
  <si>
    <t>장동기</t>
  </si>
  <si>
    <t>하이투자증권</t>
  </si>
  <si>
    <t>채권투자팀</t>
  </si>
  <si>
    <t>SC-A07-190-01</t>
  </si>
  <si>
    <t>미지정사용자</t>
  </si>
  <si>
    <t>씨엘에스에이코리아증권</t>
  </si>
  <si>
    <t>F&amp;O</t>
  </si>
  <si>
    <t>SC-A07-190-02</t>
  </si>
  <si>
    <t>건설근로자공제회</t>
  </si>
  <si>
    <t>CP-A03-190-01</t>
  </si>
  <si>
    <t>유리자산운용</t>
  </si>
  <si>
    <t>주식운용본부</t>
  </si>
  <si>
    <t>주식운용본부(10090163)</t>
  </si>
  <si>
    <t>MN-A02-190-02</t>
  </si>
  <si>
    <t>소정섭</t>
  </si>
  <si>
    <t>메리츠종합금융증권</t>
  </si>
  <si>
    <t>신탁팀</t>
  </si>
  <si>
    <t>SC-A02-190-01</t>
  </si>
  <si>
    <t>전현정</t>
  </si>
  <si>
    <t>비엔케이자산운용</t>
  </si>
  <si>
    <t>주식운용팀</t>
  </si>
  <si>
    <t>MN-A02-190-01</t>
  </si>
  <si>
    <t>오준완</t>
  </si>
  <si>
    <t>한국교직원공제회</t>
  </si>
  <si>
    <t>금융투자부</t>
  </si>
  <si>
    <t>CP-A02-190-02</t>
  </si>
  <si>
    <t>정지연</t>
  </si>
  <si>
    <t>경남은행</t>
  </si>
  <si>
    <t>자금증권부</t>
  </si>
  <si>
    <t>자금증권부(10027305)</t>
  </si>
  <si>
    <t>BN-A02-190-02</t>
  </si>
  <si>
    <t>윤수영</t>
  </si>
  <si>
    <t>BN-A02-190-01</t>
  </si>
  <si>
    <t>문아라</t>
  </si>
  <si>
    <t>기금운용부</t>
  </si>
  <si>
    <t>기금운용전략실</t>
  </si>
  <si>
    <t>CP-A02-190-01</t>
  </si>
  <si>
    <t>류영학</t>
  </si>
  <si>
    <t>금융상품팀</t>
  </si>
  <si>
    <t>SC-L31-180-01</t>
  </si>
  <si>
    <t>김주성</t>
  </si>
  <si>
    <t>부국증권</t>
  </si>
  <si>
    <t>FICC본부</t>
  </si>
  <si>
    <t>SC-L27-180-01</t>
  </si>
  <si>
    <t>안재희</t>
  </si>
  <si>
    <t>라이언자산운용</t>
  </si>
  <si>
    <t>MN-L26-180-01</t>
  </si>
  <si>
    <t>진종언</t>
  </si>
  <si>
    <t>대표이사</t>
  </si>
  <si>
    <t>바로투자증권</t>
  </si>
  <si>
    <t>종합금융팀</t>
  </si>
  <si>
    <t>SC-L26-180-01</t>
  </si>
  <si>
    <t>권철</t>
  </si>
  <si>
    <t>신영증권</t>
  </si>
  <si>
    <t>채권영업부</t>
  </si>
  <si>
    <t>SC-L24-180-01</t>
  </si>
  <si>
    <t>왕동민</t>
  </si>
  <si>
    <t>신한비엔피파리바자산운용</t>
  </si>
  <si>
    <t>투자전략팀</t>
  </si>
  <si>
    <t>MN-L21-180-01</t>
  </si>
  <si>
    <t>김재승</t>
  </si>
  <si>
    <t>채권금융부</t>
  </si>
  <si>
    <t>SC-L18-180-02</t>
  </si>
  <si>
    <t>조영훈</t>
  </si>
  <si>
    <t>SC-L18-180-01</t>
  </si>
  <si>
    <t>홍정완</t>
  </si>
  <si>
    <t>한국투자밸류자산운용</t>
  </si>
  <si>
    <t>자산운용2본부</t>
  </si>
  <si>
    <t>MN-L17-180-01</t>
  </si>
  <si>
    <t>김은형</t>
  </si>
  <si>
    <t>본부장</t>
  </si>
  <si>
    <t>디지비자산운용</t>
  </si>
  <si>
    <t>주식금융공학운용본부</t>
  </si>
  <si>
    <t>MN-L13-180-01</t>
  </si>
  <si>
    <t>김은총</t>
  </si>
  <si>
    <t>유진자산운용</t>
  </si>
  <si>
    <t>채권운용본부</t>
  </si>
  <si>
    <t>채권운용1팀</t>
  </si>
  <si>
    <t>MN-L12-180-01</t>
  </si>
  <si>
    <t>윤성주</t>
  </si>
  <si>
    <t>현대라이프생명보험</t>
  </si>
  <si>
    <t>투자운용팀(10022948)</t>
  </si>
  <si>
    <t>IN-L04-180-01</t>
  </si>
  <si>
    <t>이지만</t>
  </si>
  <si>
    <t>미래에셋대우</t>
  </si>
  <si>
    <t>멀티팩터운용팀</t>
  </si>
  <si>
    <t>SC-L04-180-02</t>
  </si>
  <si>
    <t>성욱현</t>
  </si>
  <si>
    <t>전략운용본부</t>
  </si>
  <si>
    <t>SC-L04-180-01</t>
  </si>
  <si>
    <t>윤성환</t>
  </si>
  <si>
    <t>채권영업팀</t>
  </si>
  <si>
    <t>SC-K27-180-02</t>
  </si>
  <si>
    <t>김진오</t>
  </si>
  <si>
    <t>씨지에스 씨아이엠비증권 홍콩 한국지점</t>
  </si>
  <si>
    <t>Equity팀</t>
  </si>
  <si>
    <t>SC-K27-180-01</t>
  </si>
  <si>
    <t>CGSCIMB</t>
  </si>
  <si>
    <t>키움투자자산운용</t>
  </si>
  <si>
    <t>ETF운용팀(10030885)</t>
  </si>
  <si>
    <t>MN-K26-180-01</t>
  </si>
  <si>
    <t>김재우</t>
  </si>
  <si>
    <t>삼성증권</t>
  </si>
  <si>
    <t>투자전략센터</t>
  </si>
  <si>
    <t>리서치센터</t>
  </si>
  <si>
    <t>SC-K26-180-01</t>
  </si>
  <si>
    <t>백유빈</t>
  </si>
  <si>
    <t>PROP.TRADING부</t>
  </si>
  <si>
    <t>SC-K22-180-01</t>
  </si>
  <si>
    <t>김준호</t>
  </si>
  <si>
    <t>한화생명보험</t>
  </si>
  <si>
    <t>10088355</t>
  </si>
  <si>
    <t>IN-K20-180-01</t>
  </si>
  <si>
    <t>이원섭</t>
  </si>
  <si>
    <t>SC-K15-180-01</t>
  </si>
  <si>
    <t>정아름</t>
  </si>
  <si>
    <t>유진투자선물</t>
  </si>
  <si>
    <t>상품운용4팀</t>
  </si>
  <si>
    <t>CP-K12-180-01</t>
  </si>
  <si>
    <t>윤오필</t>
  </si>
  <si>
    <t>케이알선물</t>
  </si>
  <si>
    <t>채권1팀</t>
  </si>
  <si>
    <t>SC-K12-180-01</t>
  </si>
  <si>
    <t>백영주</t>
  </si>
  <si>
    <t>아이비케이투자증권</t>
  </si>
  <si>
    <t>금융공학팀</t>
  </si>
  <si>
    <t>SC-K08-180-02</t>
  </si>
  <si>
    <t>장성준</t>
  </si>
  <si>
    <t>이창선</t>
  </si>
  <si>
    <t>케이티비투자증권</t>
  </si>
  <si>
    <t>채권영업1팀</t>
  </si>
  <si>
    <t>SC-K08-180-01</t>
  </si>
  <si>
    <t>김주현</t>
  </si>
  <si>
    <t>Synthetic Service팀</t>
  </si>
  <si>
    <t>SC-K06-180-04</t>
  </si>
  <si>
    <t>이세정</t>
  </si>
  <si>
    <t>SC-K06-180-03</t>
  </si>
  <si>
    <t>유재민</t>
  </si>
  <si>
    <t>SC-K06-180-02</t>
  </si>
  <si>
    <t>박재범</t>
  </si>
  <si>
    <t>SC-K06-180-01</t>
  </si>
  <si>
    <t>정재웅</t>
  </si>
  <si>
    <t>크레디트스위스은행서울지점</t>
  </si>
  <si>
    <t>GEM</t>
  </si>
  <si>
    <t>딜링룸</t>
  </si>
  <si>
    <t>BN-K06-180-01</t>
  </si>
  <si>
    <t>유민준</t>
  </si>
  <si>
    <t>이베스트투자증권</t>
  </si>
  <si>
    <t>Captial Market팀</t>
  </si>
  <si>
    <t>SC-K05-180-01</t>
  </si>
  <si>
    <t>윤지원</t>
  </si>
  <si>
    <t>알파인베스트</t>
  </si>
  <si>
    <t>MN-J31-180-01</t>
  </si>
  <si>
    <t>김선태</t>
  </si>
  <si>
    <t>엔에이치아문디자산운용</t>
  </si>
  <si>
    <t>ETF전략팀</t>
  </si>
  <si>
    <t>MN-K01-180-01</t>
  </si>
  <si>
    <t>김성식</t>
  </si>
  <si>
    <t>WRAP운용팀</t>
  </si>
  <si>
    <t>고객자산운용부</t>
  </si>
  <si>
    <t>SC-K01-180-01</t>
  </si>
  <si>
    <t>박양수</t>
  </si>
  <si>
    <t>DR센터(10049747 )</t>
  </si>
  <si>
    <t>SC-J30-180-01</t>
  </si>
  <si>
    <t>박재우</t>
  </si>
  <si>
    <t>멀티솔루션3팀</t>
  </si>
  <si>
    <t>SC-J29-180-01</t>
  </si>
  <si>
    <t>박응식</t>
  </si>
  <si>
    <t>케이프투자증권</t>
  </si>
  <si>
    <t>법인영업팀</t>
  </si>
  <si>
    <t>SC-J24-180-01</t>
  </si>
  <si>
    <t>최형선</t>
  </si>
  <si>
    <t>김대영</t>
  </si>
  <si>
    <t>우정사업본부</t>
  </si>
  <si>
    <t>예금자금운용팀</t>
  </si>
  <si>
    <t>CP-J16-180-01</t>
  </si>
  <si>
    <t>박민선</t>
  </si>
  <si>
    <t>하나금융투자</t>
  </si>
  <si>
    <t>신탁운용실</t>
  </si>
  <si>
    <t>SC-J11-180-01</t>
  </si>
  <si>
    <t>임성래</t>
  </si>
  <si>
    <t>맥쿼리투자신탁운용</t>
  </si>
  <si>
    <t>MN-J08-180-01</t>
  </si>
  <si>
    <t>서연우</t>
  </si>
  <si>
    <t>SK 주식회사</t>
  </si>
  <si>
    <t>CP-J05-180-02</t>
  </si>
  <si>
    <t>최안호</t>
  </si>
  <si>
    <t>기금운용전략팀</t>
  </si>
  <si>
    <t>CP-J05-180-01</t>
  </si>
  <si>
    <t>조계원</t>
  </si>
  <si>
    <t>국민은행</t>
  </si>
  <si>
    <t>WM투자전략부</t>
  </si>
  <si>
    <t>BN-J02-180-01</t>
  </si>
  <si>
    <t>최철호</t>
  </si>
  <si>
    <t>한국 에스지증권</t>
  </si>
  <si>
    <t>SC-J02-180-01</t>
  </si>
  <si>
    <t>Wan CHOI</t>
  </si>
  <si>
    <t>SC-J01-180-01</t>
  </si>
  <si>
    <t>김진기</t>
  </si>
  <si>
    <t>파생법인팀(10088929)</t>
  </si>
  <si>
    <t>SC-I27-180-01</t>
  </si>
  <si>
    <t>이태호</t>
  </si>
  <si>
    <t>시장조성팀</t>
  </si>
  <si>
    <t>시장조성팀(10091592)</t>
  </si>
  <si>
    <t>SC-I20-180-01</t>
  </si>
  <si>
    <t>박준범</t>
  </si>
  <si>
    <t>채권운용팀</t>
  </si>
  <si>
    <t>MN-I19-180-01</t>
  </si>
  <si>
    <t>이승건</t>
  </si>
  <si>
    <t>KTB자산운용</t>
  </si>
  <si>
    <t>MN-I18-180-01</t>
  </si>
  <si>
    <t>양승후</t>
  </si>
  <si>
    <t>투자운용팀</t>
  </si>
  <si>
    <t>IN-I18-180-01</t>
  </si>
  <si>
    <t>신지훈</t>
  </si>
  <si>
    <t>.</t>
  </si>
  <si>
    <t>유진투자증권</t>
  </si>
  <si>
    <t>금융상품실</t>
  </si>
  <si>
    <t>SC-I18-180-01</t>
  </si>
  <si>
    <t>김규환</t>
  </si>
  <si>
    <t>리테일금융팀</t>
  </si>
  <si>
    <t>SC-I12-180-01</t>
  </si>
  <si>
    <t>민환준</t>
  </si>
  <si>
    <t>피아이엠자산운용(주)</t>
  </si>
  <si>
    <t>MN-G21-180-03</t>
  </si>
  <si>
    <t>박진희</t>
  </si>
  <si>
    <t>케이비자산운용</t>
  </si>
  <si>
    <t>멀티솔루션본부</t>
  </si>
  <si>
    <t>멀티솔루션운용본부</t>
  </si>
  <si>
    <t>MN-I03-180-01</t>
  </si>
  <si>
    <t>김병석</t>
  </si>
  <si>
    <t>채권상품부(10091260)</t>
  </si>
  <si>
    <t>SC-I03-180-01</t>
  </si>
  <si>
    <t>김태한</t>
  </si>
  <si>
    <t>(주)골든브릿지자산운용</t>
  </si>
  <si>
    <t>파생운용팀</t>
  </si>
  <si>
    <t>MN-H31-180-01</t>
  </si>
  <si>
    <t>김세종</t>
  </si>
  <si>
    <t>SC-H31-180-01</t>
  </si>
  <si>
    <t>박번</t>
  </si>
  <si>
    <t>한화투자증권</t>
  </si>
  <si>
    <t>마켓메이킹팀</t>
  </si>
  <si>
    <t>SC-K28-170-04</t>
  </si>
  <si>
    <t>송윤화</t>
  </si>
  <si>
    <t>SC-H28-180-02</t>
  </si>
  <si>
    <t>이기연</t>
  </si>
  <si>
    <t>강남지점</t>
  </si>
  <si>
    <t>SC-H28-180-01</t>
  </si>
  <si>
    <t>이정관</t>
  </si>
  <si>
    <t>멀티자산솔루션본부</t>
  </si>
  <si>
    <t>솔루션운용팀</t>
  </si>
  <si>
    <t>MN-H27-180-01</t>
  </si>
  <si>
    <t>이장혁</t>
  </si>
  <si>
    <t>무상</t>
  </si>
  <si>
    <t>IT전략부</t>
  </si>
  <si>
    <t>SC-H23-180-01</t>
  </si>
  <si>
    <t>이정은</t>
  </si>
  <si>
    <t>지홍해</t>
  </si>
  <si>
    <t>국제영업1부</t>
  </si>
  <si>
    <t>SC-H21-180-01</t>
  </si>
  <si>
    <t>장지석</t>
  </si>
  <si>
    <t>흥국증권</t>
  </si>
  <si>
    <t>채권금융1팀</t>
  </si>
  <si>
    <t>SC-H17-180-03</t>
  </si>
  <si>
    <t>김재인</t>
  </si>
  <si>
    <t>SC-H17-180-02</t>
  </si>
  <si>
    <t>홍석균</t>
  </si>
  <si>
    <t>SC-H17-180-01</t>
  </si>
  <si>
    <t>이은경</t>
  </si>
  <si>
    <t>한화자산운용</t>
  </si>
  <si>
    <t>FI투자기획팀(10091663)</t>
  </si>
  <si>
    <t>MN-H17-180-01</t>
  </si>
  <si>
    <t>김경남</t>
  </si>
  <si>
    <t>AI실</t>
  </si>
  <si>
    <t>SC-H13-180-01</t>
  </si>
  <si>
    <t>성기행</t>
  </si>
  <si>
    <t>알리안츠글로벌인베스터스자산운용</t>
  </si>
  <si>
    <t>CIO 사무실</t>
  </si>
  <si>
    <t>Equity management</t>
  </si>
  <si>
    <t>MN-H06-180-01</t>
  </si>
  <si>
    <t>이수연</t>
  </si>
  <si>
    <t>비엔케이투자증권</t>
  </si>
  <si>
    <t>법인영업부(10091590)</t>
  </si>
  <si>
    <t>SC-H06-180-01</t>
  </si>
  <si>
    <t>김경욱</t>
  </si>
  <si>
    <t>마이퍼스트에셋자산운용</t>
  </si>
  <si>
    <t>MN-G30-180-02</t>
  </si>
  <si>
    <t>Henry Kim</t>
  </si>
  <si>
    <t>해외투자부문</t>
  </si>
  <si>
    <t>해외투자본부</t>
  </si>
  <si>
    <t>MN-G30-180-01</t>
  </si>
  <si>
    <t>박혜정</t>
  </si>
  <si>
    <t>복합금융상품팀</t>
  </si>
  <si>
    <t>SC-G30-180-02</t>
  </si>
  <si>
    <t>김형빈</t>
  </si>
  <si>
    <t>SC-G30-180-01</t>
  </si>
  <si>
    <t>장승혁</t>
  </si>
  <si>
    <t>경영지원부</t>
  </si>
  <si>
    <t>MN-G27-180-01</t>
  </si>
  <si>
    <t>백준석</t>
  </si>
  <si>
    <t>주식/금융공학운용본부</t>
  </si>
  <si>
    <t>MN-G25-180-01</t>
  </si>
  <si>
    <t>양여울</t>
  </si>
  <si>
    <t>코리아에셋투자증권</t>
  </si>
  <si>
    <t>채권영업본부</t>
  </si>
  <si>
    <t>SC-G25-180-01</t>
  </si>
  <si>
    <t>박혜령</t>
  </si>
  <si>
    <t>FICC운용팀</t>
  </si>
  <si>
    <t>SC-G24-180-03</t>
  </si>
  <si>
    <t>하서진</t>
  </si>
  <si>
    <t>SC-G24-180-01</t>
  </si>
  <si>
    <t>김지선</t>
  </si>
  <si>
    <t>SC-G24-180-02</t>
  </si>
  <si>
    <t>고진광</t>
  </si>
  <si>
    <t>교보악사자산운용</t>
  </si>
  <si>
    <t>BSITs팀</t>
  </si>
  <si>
    <t>헤지펀드운용팀</t>
  </si>
  <si>
    <t>MN-G23-180-01</t>
  </si>
  <si>
    <t>서정기</t>
  </si>
  <si>
    <t>선물옵션팀</t>
  </si>
  <si>
    <t>SC-G23-180-01</t>
  </si>
  <si>
    <t>이재원</t>
  </si>
  <si>
    <t>SC-G20-180-02</t>
  </si>
  <si>
    <t>배정연</t>
  </si>
  <si>
    <t>SPU(Share Placement Unit)</t>
  </si>
  <si>
    <t>SC-G20-180-01</t>
  </si>
  <si>
    <t>강민구(Mingoo Kang)</t>
  </si>
  <si>
    <t>케이비손해보험</t>
  </si>
  <si>
    <t>특별계정운용팀</t>
  </si>
  <si>
    <t>10089659</t>
  </si>
  <si>
    <t>IN-G18-180-01</t>
  </si>
  <si>
    <t>조승희</t>
  </si>
  <si>
    <t>딜링룸(증권운용부)</t>
  </si>
  <si>
    <t>SC-G16-180-01</t>
  </si>
  <si>
    <t>MN-G12-180-01</t>
  </si>
  <si>
    <t>이지민</t>
  </si>
  <si>
    <t>제이피모간증권</t>
  </si>
  <si>
    <t>트레이딩룸</t>
  </si>
  <si>
    <t>SC-G05-180-01</t>
  </si>
  <si>
    <t>미정</t>
  </si>
  <si>
    <t>상품운용1팀</t>
  </si>
  <si>
    <t>CP-G02-180-01</t>
  </si>
  <si>
    <t>배성우</t>
  </si>
  <si>
    <t>공무원연금공단</t>
  </si>
  <si>
    <t>특별자산팀(10091727)</t>
  </si>
  <si>
    <t>MN-F27-180-01</t>
  </si>
  <si>
    <t>이진영</t>
  </si>
  <si>
    <t>복합투자팀(10091720)</t>
  </si>
  <si>
    <t>SC-F26-180-01</t>
  </si>
  <si>
    <t>신나리</t>
  </si>
  <si>
    <t>SC-F25-180-01</t>
  </si>
  <si>
    <t>구명훈</t>
  </si>
  <si>
    <t>FI Sales본부(10089910)</t>
  </si>
  <si>
    <t>FI Sales본부</t>
  </si>
  <si>
    <t>SC-F20-180-01</t>
  </si>
  <si>
    <t>정다정</t>
  </si>
  <si>
    <t>리스크관리실</t>
  </si>
  <si>
    <t>MN-F22-180-01</t>
  </si>
  <si>
    <t>박현상</t>
  </si>
  <si>
    <t>삼성자산운용</t>
  </si>
  <si>
    <t>FI운용2팀</t>
  </si>
  <si>
    <t>MN-F21-180-01</t>
  </si>
  <si>
    <t>조정훈</t>
  </si>
  <si>
    <t>SC-F21-180-03</t>
  </si>
  <si>
    <t>서다원</t>
  </si>
  <si>
    <t>골드만삭스증권</t>
  </si>
  <si>
    <t>SC-F21-180-02</t>
  </si>
  <si>
    <t>채경욱</t>
  </si>
  <si>
    <t>SC-F21-180-01</t>
  </si>
  <si>
    <t>씨티그룹글로벌마켓증권</t>
  </si>
  <si>
    <t>전산팀</t>
  </si>
  <si>
    <t>Equity Trading</t>
  </si>
  <si>
    <t>SC-F20-180-02</t>
  </si>
  <si>
    <t>전소현</t>
  </si>
  <si>
    <t>SC-F12-180-01</t>
  </si>
  <si>
    <t>이지수</t>
  </si>
  <si>
    <t>마이다스에셋자산운용</t>
  </si>
  <si>
    <t>대안투자담당대표</t>
  </si>
  <si>
    <t>MN-F12-180-01</t>
  </si>
  <si>
    <t>허필석</t>
  </si>
  <si>
    <t>대신증권</t>
  </si>
  <si>
    <t>인프라서비스부</t>
  </si>
  <si>
    <t>패씨브솔루션본부</t>
  </si>
  <si>
    <t>SC-F08-180-02</t>
  </si>
  <si>
    <t>우춘정</t>
  </si>
  <si>
    <t>Equity파생운용부</t>
  </si>
  <si>
    <t>Equity파생운용부(10088915)</t>
  </si>
  <si>
    <t>SC-F08-180-01</t>
  </si>
  <si>
    <t>김동완</t>
  </si>
  <si>
    <t>교보증권</t>
  </si>
  <si>
    <t>기업금융팀</t>
  </si>
  <si>
    <t>SC-F05-180-01</t>
  </si>
  <si>
    <t>장태원</t>
  </si>
  <si>
    <t>에이치엠씨투자증권</t>
  </si>
  <si>
    <t>Capital Market팀</t>
  </si>
  <si>
    <t>SC-F04-180-01</t>
  </si>
  <si>
    <t>임신우</t>
  </si>
  <si>
    <t>MN-F04-180-01</t>
  </si>
  <si>
    <t>문명덕</t>
  </si>
  <si>
    <t>엔에이치선물 주식회사</t>
  </si>
  <si>
    <t>법인영업1팀</t>
  </si>
  <si>
    <t>CP-F01-180-01</t>
  </si>
  <si>
    <t>백송이</t>
  </si>
  <si>
    <t>SC-E28-180-01</t>
  </si>
  <si>
    <t>유지훈</t>
  </si>
  <si>
    <t>SC-E23-180-05</t>
  </si>
  <si>
    <t>이보라</t>
  </si>
  <si>
    <t>SC-E23-180-04</t>
  </si>
  <si>
    <t>차윤경</t>
  </si>
  <si>
    <t>SC-E23-180-03</t>
  </si>
  <si>
    <t>김세정</t>
  </si>
  <si>
    <t>SC-E23-180-02</t>
  </si>
  <si>
    <t>박인동</t>
  </si>
  <si>
    <t>SC-E23-180-01</t>
  </si>
  <si>
    <t>정준</t>
  </si>
  <si>
    <t>한양증권</t>
  </si>
  <si>
    <t>주식파생운용팀</t>
  </si>
  <si>
    <t>주식파생운용팀(10037429)</t>
  </si>
  <si>
    <t>SC-E23-180-06</t>
  </si>
  <si>
    <t>최원철</t>
  </si>
  <si>
    <t>SC-E18-180-01</t>
  </si>
  <si>
    <t>정진욱</t>
  </si>
  <si>
    <t>SC-E16-180-01</t>
  </si>
  <si>
    <t>박동명</t>
  </si>
  <si>
    <t>증권운용팀</t>
  </si>
  <si>
    <t>증권운용부</t>
  </si>
  <si>
    <t>BN-E16-180-01</t>
  </si>
  <si>
    <t>나경업</t>
  </si>
  <si>
    <t>한국투자신탁운용</t>
  </si>
  <si>
    <t>Beta운용본부</t>
  </si>
  <si>
    <t>퀀트운용팀</t>
  </si>
  <si>
    <t>MN-E16-180-01</t>
  </si>
  <si>
    <t>손현희</t>
  </si>
  <si>
    <t>구조화파생팀</t>
  </si>
  <si>
    <t>SC-E15-180-01</t>
  </si>
  <si>
    <t>파생영업팀</t>
  </si>
  <si>
    <t>SC-E11-180-03</t>
  </si>
  <si>
    <t>박재민</t>
  </si>
  <si>
    <t>주식운용1본부</t>
  </si>
  <si>
    <t>MN-E11-180-01</t>
  </si>
  <si>
    <t>정영호</t>
  </si>
  <si>
    <t>SC-E11-180-02</t>
  </si>
  <si>
    <t>이경진</t>
  </si>
  <si>
    <t>국제영업팀</t>
  </si>
  <si>
    <t>SC-E11-180-01</t>
  </si>
  <si>
    <t>박건영</t>
  </si>
  <si>
    <t>Capital Market팀(10091689)</t>
  </si>
  <si>
    <t>SC-E08-180-01</t>
  </si>
  <si>
    <t>조강준</t>
  </si>
  <si>
    <t>링크자산운용</t>
  </si>
  <si>
    <t>대표이사실</t>
  </si>
  <si>
    <t>MN-E05-180-01</t>
  </si>
  <si>
    <t>신태식</t>
  </si>
  <si>
    <t>SC-E03-180-01</t>
  </si>
  <si>
    <t>김성현</t>
  </si>
  <si>
    <t>Captial Market팀(10091682)</t>
  </si>
  <si>
    <t>SC-D30-180-05</t>
  </si>
  <si>
    <t>조은님</t>
  </si>
  <si>
    <t>SC-D30-180-04</t>
  </si>
  <si>
    <t>서창민</t>
  </si>
  <si>
    <t>SC-D30-180-03</t>
  </si>
  <si>
    <t>김진익</t>
  </si>
  <si>
    <t>SC-D30-180-02</t>
  </si>
  <si>
    <t>이주안</t>
  </si>
  <si>
    <t>한화손해보험</t>
  </si>
  <si>
    <t>일반계정운용파트</t>
  </si>
  <si>
    <t>IN-D27-180-01</t>
  </si>
  <si>
    <t>홍지훈</t>
  </si>
  <si>
    <t>IB사업부</t>
  </si>
  <si>
    <t>전략금융팀</t>
  </si>
  <si>
    <t>SC-D30-180-01</t>
  </si>
  <si>
    <t>주하영</t>
  </si>
  <si>
    <t>멀티에셋자산운용</t>
  </si>
  <si>
    <t>헤지운용1팀</t>
  </si>
  <si>
    <t>MN-D30-180-01</t>
  </si>
  <si>
    <t>현진오</t>
  </si>
  <si>
    <t>골든브릿지투자증권</t>
  </si>
  <si>
    <t>SC-D27-180-01</t>
  </si>
  <si>
    <t>주기종</t>
  </si>
  <si>
    <t>밸류시스템자산운용</t>
  </si>
  <si>
    <t>MN-D25-180-01</t>
  </si>
  <si>
    <t>김재범</t>
  </si>
  <si>
    <t>MN-D19-180-01</t>
  </si>
  <si>
    <t>황성동</t>
  </si>
  <si>
    <t>정보전략팀</t>
  </si>
  <si>
    <t>SC-D18-180-01</t>
  </si>
  <si>
    <t>김지수</t>
  </si>
  <si>
    <t>CM부(10091676)</t>
  </si>
  <si>
    <t>SC-D17-180-01</t>
  </si>
  <si>
    <t>이동현</t>
  </si>
  <si>
    <t>SC-D10-180-01</t>
  </si>
  <si>
    <t>장우제</t>
  </si>
  <si>
    <t>FPS본부(10090632)</t>
  </si>
  <si>
    <t>FPS본부</t>
  </si>
  <si>
    <t>SC-D09-180-01</t>
  </si>
  <si>
    <t>정대욱</t>
  </si>
  <si>
    <t>SK증권</t>
  </si>
  <si>
    <t>SC-C30-180-02</t>
  </si>
  <si>
    <t>조득영</t>
  </si>
  <si>
    <t>SC-C30-180-01</t>
  </si>
  <si>
    <t>오민영</t>
  </si>
  <si>
    <t>TR-200-200-22</t>
  </si>
  <si>
    <t>성창범</t>
  </si>
  <si>
    <t>시장리스크팀</t>
  </si>
  <si>
    <t>SC-D05-180-01</t>
  </si>
  <si>
    <t>팀공동(김준희)</t>
  </si>
  <si>
    <t>하나유비에스자산운용</t>
  </si>
  <si>
    <t>운용팀</t>
  </si>
  <si>
    <t>주식운용1팀</t>
  </si>
  <si>
    <t>MN-D05-180-02</t>
  </si>
  <si>
    <t>한은미</t>
  </si>
  <si>
    <t>대신자산운용</t>
  </si>
  <si>
    <t>퀀트전략팀</t>
  </si>
  <si>
    <t>퀀트운용본부 멀티솔루션팀</t>
  </si>
  <si>
    <t>MN-D05-180-01</t>
  </si>
  <si>
    <t>최준영</t>
  </si>
  <si>
    <t>BN-D04-180-01</t>
  </si>
  <si>
    <t>홍준기</t>
  </si>
  <si>
    <t>MN-D04-180-01</t>
  </si>
  <si>
    <t>차진호</t>
  </si>
  <si>
    <t>채권투자팀(10089444)</t>
  </si>
  <si>
    <t>SC-D04-180-02</t>
  </si>
  <si>
    <t>이영진</t>
  </si>
  <si>
    <t>MN-D02-180-01</t>
  </si>
  <si>
    <t>이현지</t>
  </si>
  <si>
    <t>유진투자선물_감사실</t>
  </si>
  <si>
    <t>감사실</t>
  </si>
  <si>
    <t>CP-C30-180-01</t>
  </si>
  <si>
    <t>최윤석</t>
  </si>
  <si>
    <t>Equity파생부</t>
  </si>
  <si>
    <t>SC-C29-180-01</t>
  </si>
  <si>
    <t>퀀트운용본부(10088076)</t>
  </si>
  <si>
    <t>MN-C29-180-02</t>
  </si>
  <si>
    <t>박주현</t>
  </si>
  <si>
    <t>MN-C29-180-01</t>
  </si>
  <si>
    <t>신규호</t>
  </si>
  <si>
    <t>SC-C23-180-01</t>
  </si>
  <si>
    <t>오상아</t>
  </si>
  <si>
    <t>종합금융팀(10079565)</t>
  </si>
  <si>
    <t>SC-C28-180-01</t>
  </si>
  <si>
    <t>이용선</t>
  </si>
  <si>
    <t>교보생명</t>
  </si>
  <si>
    <t>리스크관리지원팀</t>
  </si>
  <si>
    <t>IN-C02-180-01</t>
  </si>
  <si>
    <t>김민규</t>
  </si>
  <si>
    <t>EPT팀</t>
  </si>
  <si>
    <t>SC-C27-180-01</t>
  </si>
  <si>
    <t>주식회사 하나은행</t>
  </si>
  <si>
    <t>신탁부</t>
  </si>
  <si>
    <t>BN-C22-180-02</t>
  </si>
  <si>
    <t>김태균</t>
  </si>
  <si>
    <t>고객자산운용팀</t>
  </si>
  <si>
    <t>SC-C22-180-01</t>
  </si>
  <si>
    <t>신예슬</t>
  </si>
  <si>
    <t>엔에이치투자증권</t>
  </si>
  <si>
    <t>AI부</t>
  </si>
  <si>
    <t>SC-C21-180-02</t>
  </si>
  <si>
    <t>윤준길</t>
  </si>
  <si>
    <t>김태우</t>
  </si>
  <si>
    <t>부장님실</t>
  </si>
  <si>
    <t>CP-C14-180-01</t>
  </si>
  <si>
    <t>전영봉</t>
  </si>
  <si>
    <t>구조화금융팀</t>
  </si>
  <si>
    <t>SC-C14-180-03</t>
  </si>
  <si>
    <t>조태권</t>
  </si>
  <si>
    <t>PBS부</t>
  </si>
  <si>
    <t>SC-C14-180-02</t>
  </si>
  <si>
    <t>한수연</t>
  </si>
  <si>
    <t>SC-C14-180-01</t>
  </si>
  <si>
    <t>김경애</t>
  </si>
  <si>
    <t>PBS팀</t>
  </si>
  <si>
    <t>SC-C13-180-01</t>
  </si>
  <si>
    <t>정주영</t>
  </si>
  <si>
    <t>포트폴리오관리부</t>
  </si>
  <si>
    <t>포트폴리오관리부(10091629)</t>
  </si>
  <si>
    <t>SC-C12-180-01</t>
  </si>
  <si>
    <t>반명환</t>
  </si>
  <si>
    <t>채권상품부</t>
  </si>
  <si>
    <t>SC-C08-180-03</t>
  </si>
  <si>
    <t>이동기</t>
  </si>
  <si>
    <t>IBK 연금보험</t>
  </si>
  <si>
    <t>BN-C07-180-01</t>
  </si>
  <si>
    <t>이재민</t>
  </si>
  <si>
    <t>SC-C08-180-01</t>
  </si>
  <si>
    <t>김규훈</t>
  </si>
  <si>
    <t>인덱스운용팀</t>
  </si>
  <si>
    <t>인덱스운용팀(10091622)</t>
  </si>
  <si>
    <t>MN-C05-180-01</t>
  </si>
  <si>
    <t>김찬민</t>
  </si>
  <si>
    <t>법인영업3팀</t>
  </si>
  <si>
    <t>SC-C05-180-01</t>
  </si>
  <si>
    <t>송병주</t>
  </si>
  <si>
    <t>채권운용부</t>
  </si>
  <si>
    <t>SC-B23-180-04</t>
  </si>
  <si>
    <t>박장배</t>
  </si>
  <si>
    <t>라임자산운용 주식회사</t>
  </si>
  <si>
    <t>MN-C02-180-02</t>
  </si>
  <si>
    <t>이종필</t>
  </si>
  <si>
    <t>김현정</t>
  </si>
  <si>
    <t>인덱스운용본부</t>
  </si>
  <si>
    <t>MN-C02-180-01</t>
  </si>
  <si>
    <t>심찬보</t>
  </si>
  <si>
    <t>IBK기업은행</t>
  </si>
  <si>
    <t>자금운용부</t>
  </si>
  <si>
    <t>외환선물환영업팀</t>
  </si>
  <si>
    <t>BN-B28-180-01</t>
  </si>
  <si>
    <t>이민휴</t>
  </si>
  <si>
    <t>S&amp;T Middle팀</t>
  </si>
  <si>
    <t>채권미들팀</t>
  </si>
  <si>
    <t>SC-B27-180-04</t>
  </si>
  <si>
    <t>남초롱</t>
  </si>
  <si>
    <t>SC-B27-180-03</t>
  </si>
  <si>
    <t>한웅재</t>
  </si>
  <si>
    <t>채권상품부(10091260</t>
  </si>
  <si>
    <t>SC-B27-180-02</t>
  </si>
  <si>
    <t>박신영</t>
  </si>
  <si>
    <t>유안타증권</t>
  </si>
  <si>
    <t>FICC영업팀</t>
  </si>
  <si>
    <t>FICC영업팀(10090457)</t>
  </si>
  <si>
    <t>SC-B27-180-01</t>
  </si>
  <si>
    <t>안혜성</t>
  </si>
  <si>
    <t>MN-B23-180-01</t>
  </si>
  <si>
    <t>전양민</t>
  </si>
  <si>
    <t>OCIO운용부</t>
  </si>
  <si>
    <t>OCIO운용부(10091359)</t>
  </si>
  <si>
    <t>SC-B26-180-02</t>
  </si>
  <si>
    <t>김요셉</t>
  </si>
  <si>
    <t>SC-B26-180-01</t>
  </si>
  <si>
    <t>전남중</t>
  </si>
  <si>
    <t>SC-B23-180-03</t>
  </si>
  <si>
    <t>이명진</t>
  </si>
  <si>
    <t>SC-B23-180-02</t>
  </si>
  <si>
    <t>이정호</t>
  </si>
  <si>
    <t>SC-B23-180-01</t>
  </si>
  <si>
    <t>민주화</t>
  </si>
  <si>
    <t>SC-B19-180-01</t>
  </si>
  <si>
    <t>김종호</t>
  </si>
  <si>
    <t>SC-B13-180-01</t>
  </si>
  <si>
    <t>박정민</t>
  </si>
  <si>
    <t>법인영업부</t>
  </si>
  <si>
    <t>SC-B12-180-01</t>
  </si>
  <si>
    <t>박은용</t>
  </si>
  <si>
    <t>법인영업실</t>
  </si>
  <si>
    <t>SC-B07-180-01</t>
  </si>
  <si>
    <t>홍미정</t>
  </si>
  <si>
    <t>ETF상품팀</t>
  </si>
  <si>
    <t>MN-B07-180-01</t>
  </si>
  <si>
    <t>임은혁</t>
  </si>
  <si>
    <t>액티브운용본부</t>
  </si>
  <si>
    <t>MN-B05-180-01</t>
  </si>
  <si>
    <t>노종원</t>
  </si>
  <si>
    <t>법인채권팀</t>
  </si>
  <si>
    <t>SC-B05-180-01</t>
  </si>
  <si>
    <t>이승영</t>
  </si>
  <si>
    <t>주식영업부</t>
  </si>
  <si>
    <t>주식영업2부</t>
  </si>
  <si>
    <t>SC-B02-180-02</t>
  </si>
  <si>
    <t>강병관</t>
  </si>
  <si>
    <t>SC-B02-180-01</t>
  </si>
  <si>
    <t>이주연</t>
  </si>
  <si>
    <t>채권팀</t>
  </si>
  <si>
    <t>SC-A31-180-01</t>
  </si>
  <si>
    <t>나보광</t>
  </si>
  <si>
    <t>SC-A29-180-01</t>
  </si>
  <si>
    <t>박성주</t>
  </si>
  <si>
    <t>SC-A26-180-05</t>
  </si>
  <si>
    <t>서은경</t>
  </si>
  <si>
    <t>투자금융팀</t>
  </si>
  <si>
    <t>SC-A26-180-04</t>
  </si>
  <si>
    <t>남다혜</t>
  </si>
  <si>
    <t>SC-A26-180-03</t>
  </si>
  <si>
    <t>김보현</t>
  </si>
  <si>
    <t>SC-A26-180-02</t>
  </si>
  <si>
    <t>김남원</t>
  </si>
  <si>
    <t>SC-A26-180-01</t>
  </si>
  <si>
    <t>신동원</t>
  </si>
  <si>
    <t>디비손해보험</t>
  </si>
  <si>
    <t>일반계정파트</t>
  </si>
  <si>
    <t>일반계정운용2부</t>
  </si>
  <si>
    <t>IN-A26-180-01</t>
  </si>
  <si>
    <t>김상철</t>
  </si>
  <si>
    <t>채권부</t>
  </si>
  <si>
    <t>SC-A24-180-01</t>
  </si>
  <si>
    <t>이철승</t>
  </si>
  <si>
    <t>FICC구조화팀</t>
  </si>
  <si>
    <t>SC-A22-180-01</t>
  </si>
  <si>
    <t>신재만</t>
  </si>
  <si>
    <t>박예본</t>
  </si>
  <si>
    <t>서울보증보험</t>
  </si>
  <si>
    <t>자산운용실</t>
  </si>
  <si>
    <t>IN-A19-180-01</t>
  </si>
  <si>
    <t>박현진</t>
  </si>
  <si>
    <t>디비금융투자</t>
  </si>
  <si>
    <t>SC-A17-180-04</t>
  </si>
  <si>
    <t>황민선</t>
  </si>
  <si>
    <t>SC-A17-180-03</t>
  </si>
  <si>
    <t>강서윤</t>
  </si>
  <si>
    <t>SC-A18-180-01</t>
  </si>
  <si>
    <t>박형근</t>
  </si>
  <si>
    <t>파생상품운용팀</t>
  </si>
  <si>
    <t>SC-A17-180-02</t>
  </si>
  <si>
    <t>이용준</t>
  </si>
  <si>
    <t>파생법인팀</t>
  </si>
  <si>
    <t>SC-A17-180-01</t>
  </si>
  <si>
    <t>정은성</t>
  </si>
  <si>
    <t>농협손해보험</t>
  </si>
  <si>
    <t>투자운용부</t>
  </si>
  <si>
    <t>IN-A12-180-02</t>
  </si>
  <si>
    <t>박민우</t>
  </si>
  <si>
    <t>SC-A11-180-02</t>
  </si>
  <si>
    <t>정나영</t>
  </si>
  <si>
    <t>SC-A11-180-01</t>
  </si>
  <si>
    <t>김영진</t>
  </si>
  <si>
    <t>SC-A10-180-01</t>
  </si>
  <si>
    <t>이대석</t>
  </si>
  <si>
    <t>미래에셋자산운용</t>
  </si>
  <si>
    <t>베타운용팀</t>
  </si>
  <si>
    <t>MN-A09-180-01</t>
  </si>
  <si>
    <t>유승민</t>
  </si>
  <si>
    <t>윤준수</t>
  </si>
  <si>
    <t>ETF운용팀(10080725)</t>
  </si>
  <si>
    <t>MN-A08-180-02</t>
  </si>
  <si>
    <t>박성철</t>
  </si>
  <si>
    <t>MN-A08-180-01</t>
  </si>
  <si>
    <t>이지은</t>
  </si>
  <si>
    <t>Equity파생운용팀</t>
  </si>
  <si>
    <t>SC-A08-180-01</t>
  </si>
  <si>
    <t>문성재</t>
  </si>
  <si>
    <t>삼성화재보험</t>
  </si>
  <si>
    <t>IN-A05-180-01</t>
  </si>
  <si>
    <t>백상윤</t>
  </si>
  <si>
    <t>채권운용2팀</t>
  </si>
  <si>
    <t>TR-A05-180-01</t>
  </si>
  <si>
    <t>곽태원</t>
  </si>
  <si>
    <t>Systematic Strategy운용팀</t>
  </si>
  <si>
    <t>MN-A05-180-01</t>
  </si>
  <si>
    <t>문일호</t>
  </si>
  <si>
    <t>상호금융자금운용부</t>
  </si>
  <si>
    <t>주식운용2팀</t>
  </si>
  <si>
    <t>BN-A04-180-01</t>
  </si>
  <si>
    <t>김문식</t>
  </si>
  <si>
    <t>투자금융팀(10091524)</t>
  </si>
  <si>
    <t>SC-A04-180-01</t>
  </si>
  <si>
    <t>김보연</t>
  </si>
  <si>
    <t>전략PI팀(10091527)</t>
  </si>
  <si>
    <t>SC-A04-180-02</t>
  </si>
  <si>
    <t>박영래</t>
  </si>
  <si>
    <t>이스트스프링자산운용코리아</t>
  </si>
  <si>
    <t>대체투자팀</t>
  </si>
  <si>
    <t>MN-A04-180-02</t>
  </si>
  <si>
    <t>양정원</t>
  </si>
  <si>
    <t>MN-A04-180-01</t>
  </si>
  <si>
    <t>오세인</t>
  </si>
  <si>
    <t>퀀트트펀드운용팀</t>
  </si>
  <si>
    <t>MN-A03-170-01</t>
  </si>
  <si>
    <t>이상민</t>
  </si>
  <si>
    <t>예금위험관리과</t>
  </si>
  <si>
    <t>CP-A03-180-01</t>
  </si>
  <si>
    <t>이종민</t>
  </si>
  <si>
    <t>SC-A03-180-01</t>
  </si>
  <si>
    <t>최기록</t>
  </si>
  <si>
    <t>SC-A02-180-02</t>
  </si>
  <si>
    <t>정학희</t>
  </si>
  <si>
    <t>이혜정</t>
  </si>
  <si>
    <t>SC-A02-180-01</t>
  </si>
  <si>
    <t>김영미</t>
  </si>
  <si>
    <t>SC-A02-180-03</t>
  </si>
  <si>
    <t>박세원</t>
  </si>
  <si>
    <t>CP-A02-180-02</t>
  </si>
  <si>
    <t>김의령</t>
  </si>
  <si>
    <t>CP-A02-180-01</t>
  </si>
  <si>
    <t>박호진</t>
  </si>
  <si>
    <t>신한금융지주회사</t>
  </si>
  <si>
    <t>재무팀</t>
  </si>
  <si>
    <t>CP-L29-170-01</t>
  </si>
  <si>
    <t>김태연</t>
  </si>
  <si>
    <t>OTC운용팀(10046387)</t>
  </si>
  <si>
    <t>SC-L29-170-01</t>
  </si>
  <si>
    <t>최준석</t>
  </si>
  <si>
    <t>SC-L26-170-02</t>
  </si>
  <si>
    <t>이기운</t>
  </si>
  <si>
    <t>채권금융2팀</t>
  </si>
  <si>
    <t>SC-L26-170-01</t>
  </si>
  <si>
    <t>서유진</t>
  </si>
  <si>
    <t>IN-L22-170-01</t>
  </si>
  <si>
    <t>문지은</t>
  </si>
  <si>
    <t>ETF운용팀(10091506)</t>
  </si>
  <si>
    <t>MN-L12-170-01</t>
  </si>
  <si>
    <t>탁상훈</t>
  </si>
  <si>
    <t>Wrap운용팀(10026414)</t>
  </si>
  <si>
    <t>SC-L11-170-02</t>
  </si>
  <si>
    <t>이상연</t>
  </si>
  <si>
    <t>자산운용부(FEP매매팀)</t>
  </si>
  <si>
    <t>SC-L11-170-01</t>
  </si>
  <si>
    <t>김기환</t>
  </si>
  <si>
    <t>새마을금고중앙회</t>
  </si>
  <si>
    <t>자금운용부문</t>
  </si>
  <si>
    <t>자금운용본부(A)_구조화금융팀</t>
  </si>
  <si>
    <t>BN-L11-170-02</t>
  </si>
  <si>
    <t>이국진</t>
  </si>
  <si>
    <t>자금운용본부(A)_투자전략팀</t>
  </si>
  <si>
    <t>BN-L11-170-01</t>
  </si>
  <si>
    <t>황현정</t>
  </si>
  <si>
    <t>IN-L07-170-01</t>
  </si>
  <si>
    <t>이상준</t>
  </si>
  <si>
    <t>IN-K30-170-01</t>
  </si>
  <si>
    <t>라종율</t>
  </si>
  <si>
    <t>SC-K24-170-01</t>
  </si>
  <si>
    <t>김정훈</t>
  </si>
  <si>
    <t>채권금융팀(10089755)</t>
  </si>
  <si>
    <t>채권금융본부</t>
  </si>
  <si>
    <t>SC-K28-170-02</t>
  </si>
  <si>
    <t>김민선</t>
  </si>
  <si>
    <t>SC-K28-170-01</t>
  </si>
  <si>
    <t>이원철</t>
  </si>
  <si>
    <t>BN-K24-170-01</t>
  </si>
  <si>
    <t>최정애</t>
  </si>
  <si>
    <t>전용배</t>
  </si>
  <si>
    <t>SC-K20-170-01</t>
  </si>
  <si>
    <t>법인선물옵션부</t>
  </si>
  <si>
    <t>SC-K10-170-01</t>
  </si>
  <si>
    <t>황정미</t>
  </si>
  <si>
    <t>신탁운용부</t>
  </si>
  <si>
    <t>파생상품팀</t>
  </si>
  <si>
    <t>BN-K06-170-01</t>
  </si>
  <si>
    <t>김수진</t>
  </si>
  <si>
    <t>보고펀드자산운용</t>
  </si>
  <si>
    <t>헤지부문</t>
  </si>
  <si>
    <t>MN-K03-170-01</t>
  </si>
  <si>
    <t>송상훈</t>
  </si>
  <si>
    <t>IN-K02-170-01</t>
  </si>
  <si>
    <t>이재인</t>
  </si>
  <si>
    <t>신용협동조합중앙회</t>
  </si>
  <si>
    <t>자금운용부(공제부)</t>
  </si>
  <si>
    <t>공제기획팀</t>
  </si>
  <si>
    <t>BN-K01-170-01</t>
  </si>
  <si>
    <t>최홍규</t>
  </si>
  <si>
    <t>신디케이션부(10001225)</t>
  </si>
  <si>
    <t>SC-J31-170-01</t>
  </si>
  <si>
    <t>김귀동</t>
  </si>
  <si>
    <t>채권금융팀</t>
  </si>
  <si>
    <t>SC-J26-170-01</t>
  </si>
  <si>
    <t>신오연</t>
  </si>
  <si>
    <t>웨스트포트인베스트먼트</t>
  </si>
  <si>
    <t>MN-J23-170-01</t>
  </si>
  <si>
    <t>김영민</t>
  </si>
  <si>
    <t>금융시장팀(10090730)</t>
  </si>
  <si>
    <t>금융시장팀</t>
  </si>
  <si>
    <t>SC-J17-170-01</t>
  </si>
  <si>
    <t>박연미</t>
  </si>
  <si>
    <t>SC-J16-170-01</t>
  </si>
  <si>
    <t>박주희</t>
  </si>
  <si>
    <t>MN-J13-170-03</t>
  </si>
  <si>
    <t>조재현</t>
  </si>
  <si>
    <t>MN-J13-170-02</t>
  </si>
  <si>
    <t>이진호</t>
  </si>
  <si>
    <t>슈로더투자신탁운용</t>
  </si>
  <si>
    <t>MN-J13-170-01</t>
  </si>
  <si>
    <t>정은수</t>
  </si>
  <si>
    <t>헤지펀드운용부</t>
  </si>
  <si>
    <t>SC-J13-170-01</t>
  </si>
  <si>
    <t>박주원</t>
  </si>
  <si>
    <t>도이치증권</t>
  </si>
  <si>
    <t>ICG</t>
  </si>
  <si>
    <t>10090816</t>
  </si>
  <si>
    <t>SC-J12-170-02</t>
  </si>
  <si>
    <t>Christine Kim</t>
  </si>
  <si>
    <t>SC-J11-170-01</t>
  </si>
  <si>
    <t>김동국</t>
  </si>
  <si>
    <t>MN-I26-170-01</t>
  </si>
  <si>
    <t>황명찬</t>
  </si>
  <si>
    <t>SC-I22-170-01</t>
  </si>
  <si>
    <t>신현미</t>
  </si>
  <si>
    <t>SC-I19-170-02</t>
  </si>
  <si>
    <t>윤성진</t>
  </si>
  <si>
    <t>SC-I19-170-01</t>
  </si>
  <si>
    <t>윤성일</t>
  </si>
  <si>
    <t>리스크관리부</t>
  </si>
  <si>
    <t>투자심사팀</t>
  </si>
  <si>
    <t>BN-I18-170-01</t>
  </si>
  <si>
    <t>이승용</t>
  </si>
  <si>
    <t>MN-I18-170-01</t>
  </si>
  <si>
    <t>장외파생팀(10091448)</t>
  </si>
  <si>
    <t>SC-I14-170-01</t>
  </si>
  <si>
    <t>이원창</t>
  </si>
  <si>
    <t>홍콩상하이증권</t>
  </si>
  <si>
    <t>executioner</t>
  </si>
  <si>
    <t>SC-I12-170-02</t>
  </si>
  <si>
    <t>이명주</t>
  </si>
  <si>
    <t>IB금융팀</t>
  </si>
  <si>
    <t>SC-I12-170-01</t>
  </si>
  <si>
    <t>곽철수</t>
  </si>
  <si>
    <t>디비자산운용</t>
  </si>
  <si>
    <t>퀀트운용본부</t>
  </si>
  <si>
    <t>MN-I12-170-01</t>
  </si>
  <si>
    <t>이형연</t>
  </si>
  <si>
    <t>TR-200-200-21</t>
  </si>
  <si>
    <t>박기동</t>
  </si>
  <si>
    <t>Quant리서치팀(10091442)</t>
  </si>
  <si>
    <t>MN-I08-170-02</t>
  </si>
  <si>
    <t>홍준형</t>
  </si>
  <si>
    <t>MMA팀</t>
  </si>
  <si>
    <t>MN-I08-170-01</t>
  </si>
  <si>
    <t>김성재</t>
  </si>
  <si>
    <t>WM플랫폼전략팀</t>
  </si>
  <si>
    <t>SC-I08-170-02</t>
  </si>
  <si>
    <t>김창영</t>
  </si>
  <si>
    <t>캐피탈마켓팀</t>
  </si>
  <si>
    <t>캐피탈마켓팀(10090989)</t>
  </si>
  <si>
    <t>SC-I08-170-01</t>
  </si>
  <si>
    <t>정경선</t>
  </si>
  <si>
    <t>SC-I06-170-01</t>
  </si>
  <si>
    <t>황유라</t>
  </si>
  <si>
    <t>SC-I05-170-04</t>
  </si>
  <si>
    <t>신동범</t>
  </si>
  <si>
    <t>SC-I05-170-03</t>
  </si>
  <si>
    <t>신제학</t>
  </si>
  <si>
    <t>종합금융투자팀</t>
  </si>
  <si>
    <t>SC-I05-170-01</t>
  </si>
  <si>
    <t>김주영</t>
  </si>
  <si>
    <t>멀티솔루션운용본부(10090639)</t>
  </si>
  <si>
    <t>MN-H31-170-01</t>
  </si>
  <si>
    <t>홍동기</t>
  </si>
  <si>
    <t>BN-H30-170-01</t>
  </si>
  <si>
    <t>강성희</t>
  </si>
  <si>
    <t>ETF운용본부</t>
  </si>
  <si>
    <t>MN-H30-170-01</t>
  </si>
  <si>
    <t>박구빈</t>
  </si>
  <si>
    <t>SC-H29-170-01</t>
  </si>
  <si>
    <t>최정순</t>
  </si>
  <si>
    <t>FICC상품팀</t>
  </si>
  <si>
    <t>SC-H28-170-01</t>
  </si>
  <si>
    <t>김주한</t>
  </si>
  <si>
    <t>대한지방행정공제회</t>
  </si>
  <si>
    <t>금융투자팀</t>
  </si>
  <si>
    <t>금융투자팀(10025009)</t>
  </si>
  <si>
    <t>MN-H25-170-01</t>
  </si>
  <si>
    <t>이찬우</t>
  </si>
  <si>
    <t>SC-H14-170-01</t>
  </si>
  <si>
    <t>SC-H11-170-02</t>
  </si>
  <si>
    <t>오준우</t>
  </si>
  <si>
    <t>SC-H11-170-04</t>
  </si>
  <si>
    <t>구자웅</t>
  </si>
  <si>
    <t>SC-H11-170-01</t>
  </si>
  <si>
    <t>김광조</t>
  </si>
  <si>
    <t>SC-H11-170-03</t>
  </si>
  <si>
    <t>김정은</t>
  </si>
  <si>
    <t>경영기획실</t>
  </si>
  <si>
    <t>오규택</t>
  </si>
  <si>
    <t>CP-H07-170-01</t>
  </si>
  <si>
    <t>박현</t>
  </si>
  <si>
    <t>하나금융경영연구소</t>
  </si>
  <si>
    <t>BN-H02-170-01</t>
  </si>
  <si>
    <t>정동춘</t>
  </si>
  <si>
    <t>SC-G31-170-02</t>
  </si>
  <si>
    <t>SC-G31-170-01</t>
  </si>
  <si>
    <t>김용덕</t>
  </si>
  <si>
    <t>TR-055-016-03</t>
  </si>
  <si>
    <t>권정수</t>
  </si>
  <si>
    <t>Equity파생팀</t>
  </si>
  <si>
    <t>SC-G27-170-02</t>
  </si>
  <si>
    <t>이규환</t>
  </si>
  <si>
    <t>DCM팀</t>
  </si>
  <si>
    <t>SC-G27-170-01</t>
  </si>
  <si>
    <t>우회진</t>
  </si>
  <si>
    <t>SC-G25-170-02</t>
  </si>
  <si>
    <t>배민호</t>
  </si>
  <si>
    <t>SC-G25-170-01</t>
  </si>
  <si>
    <t>Equity Management</t>
  </si>
  <si>
    <t>MN-G24-170-01</t>
  </si>
  <si>
    <t>유민중</t>
  </si>
  <si>
    <t>MPT팀</t>
  </si>
  <si>
    <t>SC-G20-170-01</t>
  </si>
  <si>
    <t>허재혁</t>
  </si>
  <si>
    <t>MN-G19-170-01</t>
  </si>
  <si>
    <t>김경석</t>
  </si>
  <si>
    <t>종합금융시장부</t>
  </si>
  <si>
    <t>SC-G19-170-01</t>
  </si>
  <si>
    <t>김연곤</t>
  </si>
  <si>
    <t>SC-G14-170-03</t>
  </si>
  <si>
    <t>김성준</t>
  </si>
  <si>
    <t>SC-G14-170-01</t>
  </si>
  <si>
    <t>이은재</t>
  </si>
  <si>
    <t>법인영업1팀(10068548)</t>
  </si>
  <si>
    <t>SC-G13-170-02</t>
  </si>
  <si>
    <t>박명규</t>
  </si>
  <si>
    <t>베어링자산운용</t>
  </si>
  <si>
    <t>MN-G13-170-02</t>
  </si>
  <si>
    <t>김범석</t>
  </si>
  <si>
    <t>MN-G13-170-01</t>
  </si>
  <si>
    <t>최유주</t>
  </si>
  <si>
    <t>Delta1 Solution부</t>
  </si>
  <si>
    <t>SC-G13-170-01</t>
  </si>
  <si>
    <t>한정욱</t>
  </si>
  <si>
    <t>운용지원부</t>
  </si>
  <si>
    <t>IN-G07-170-01</t>
  </si>
  <si>
    <t>김혜지</t>
  </si>
  <si>
    <t>MN-G07-170-01</t>
  </si>
  <si>
    <t>박수범</t>
  </si>
  <si>
    <t>채권영업2팀</t>
  </si>
  <si>
    <t>SC-G07-170-01</t>
  </si>
  <si>
    <t>고민정</t>
  </si>
  <si>
    <t>투자기획실</t>
  </si>
  <si>
    <t>위험관리책임자</t>
  </si>
  <si>
    <t>BN-G06-170-01</t>
  </si>
  <si>
    <t>박성현</t>
  </si>
  <si>
    <t>MN-G04-170-01</t>
  </si>
  <si>
    <t>이제연</t>
  </si>
  <si>
    <t>신디케이션부</t>
  </si>
  <si>
    <t>SC-G04-170-02</t>
  </si>
  <si>
    <t>감기면</t>
  </si>
  <si>
    <t>SC-G04-170-01</t>
  </si>
  <si>
    <t>전정탁</t>
  </si>
  <si>
    <t>SC-F30-170-21</t>
  </si>
  <si>
    <t>양지웅</t>
  </si>
  <si>
    <t>SC-F26-170-14</t>
  </si>
  <si>
    <t>김윤해</t>
  </si>
  <si>
    <t>SC-F26-170-12</t>
  </si>
  <si>
    <t>최윤성</t>
  </si>
  <si>
    <t>SC-F26-170-10</t>
  </si>
  <si>
    <t>정수근</t>
  </si>
  <si>
    <t>영업부</t>
  </si>
  <si>
    <t>SC-F30-170-15</t>
  </si>
  <si>
    <t>로버트 리</t>
  </si>
  <si>
    <t>SC-F26-170-08</t>
  </si>
  <si>
    <t>유경준</t>
  </si>
  <si>
    <t>SC-F26-170-06</t>
  </si>
  <si>
    <t>SC-F26-170-02</t>
  </si>
  <si>
    <t>염시안</t>
  </si>
  <si>
    <t>SC-F30-170-02</t>
  </si>
  <si>
    <t>김진</t>
  </si>
  <si>
    <t>상품기획부</t>
  </si>
  <si>
    <t>SC-F29-170-01</t>
  </si>
  <si>
    <t>류재동</t>
  </si>
  <si>
    <t>SC-F28-170-01</t>
  </si>
  <si>
    <t>김남영</t>
  </si>
  <si>
    <t>대체투자본부</t>
  </si>
  <si>
    <t>MN-F27-170-01</t>
  </si>
  <si>
    <t>박찬현</t>
  </si>
  <si>
    <t>SC-F23-170-01</t>
  </si>
  <si>
    <t>정규일</t>
  </si>
  <si>
    <t>한국증권금융</t>
  </si>
  <si>
    <t>신탁운용팀</t>
  </si>
  <si>
    <t>TR-201-000-04</t>
  </si>
  <si>
    <t>SC-F16-170-01</t>
  </si>
  <si>
    <t>이중호</t>
  </si>
  <si>
    <t>Trading센터</t>
  </si>
  <si>
    <t>SC-F12-170-03</t>
  </si>
  <si>
    <t>박진남</t>
  </si>
  <si>
    <t>SC-F12-170-02</t>
  </si>
  <si>
    <t>신유빈</t>
  </si>
  <si>
    <t>SC-F12-170-01</t>
  </si>
  <si>
    <t>구본상</t>
  </si>
  <si>
    <t>SC-F09-170-02</t>
  </si>
  <si>
    <t>김승철</t>
  </si>
  <si>
    <t>SC-F09-170-01</t>
  </si>
  <si>
    <t>김광석</t>
  </si>
  <si>
    <t>상품운용팀</t>
  </si>
  <si>
    <t>SC-F07-170-01</t>
  </si>
  <si>
    <t>김지홍</t>
  </si>
  <si>
    <t>FICC팀</t>
  </si>
  <si>
    <t>FICC Sales팀</t>
  </si>
  <si>
    <t>SC-F02-170-01</t>
  </si>
  <si>
    <t>오은정</t>
  </si>
  <si>
    <t>FI투자기획팀</t>
  </si>
  <si>
    <t>FI투자기획팀(10091374)</t>
  </si>
  <si>
    <t>MN-F01-170-01</t>
  </si>
  <si>
    <t>김하나</t>
  </si>
  <si>
    <t>SC-E31-170-01</t>
  </si>
  <si>
    <t>황현희</t>
  </si>
  <si>
    <t>고유자산운용본부</t>
  </si>
  <si>
    <t>SC-E30-170-02</t>
  </si>
  <si>
    <t>서진희</t>
  </si>
  <si>
    <t>리스크관리팀</t>
  </si>
  <si>
    <t>IN-E29-170-02</t>
  </si>
  <si>
    <t>최준규</t>
  </si>
  <si>
    <t>IN-E29-170-01</t>
  </si>
  <si>
    <t>김영태</t>
  </si>
  <si>
    <t>SC-E26-170-01</t>
  </si>
  <si>
    <t>장승진</t>
  </si>
  <si>
    <t>IN-E25-170-01</t>
  </si>
  <si>
    <t>김정태</t>
  </si>
  <si>
    <t>FICC사업부</t>
  </si>
  <si>
    <t>SC-E24-170-02</t>
  </si>
  <si>
    <t>채승일</t>
  </si>
  <si>
    <t>SC-E24-170-01</t>
  </si>
  <si>
    <t>단두연</t>
  </si>
  <si>
    <t>Equity파생영업부</t>
  </si>
  <si>
    <t>SC-E19-170-01</t>
  </si>
  <si>
    <t>신우영</t>
  </si>
  <si>
    <t>파생상품운용부</t>
  </si>
  <si>
    <t>SC-E18-170-04</t>
  </si>
  <si>
    <t>최영희</t>
  </si>
  <si>
    <t>SC-E18-170-02</t>
  </si>
  <si>
    <t>전략PI팀</t>
  </si>
  <si>
    <t>SC-E17-170-05</t>
  </si>
  <si>
    <t>박혜경</t>
  </si>
  <si>
    <t>Equity운용팀</t>
  </si>
  <si>
    <t>SC-E17-170-04</t>
  </si>
  <si>
    <t>연준모</t>
  </si>
  <si>
    <t>SC-E17-170-03</t>
  </si>
  <si>
    <t>김도현</t>
  </si>
  <si>
    <t>법인영업팀(주식파트)</t>
  </si>
  <si>
    <t>SC-E17-170-02</t>
  </si>
  <si>
    <t>박상희</t>
  </si>
  <si>
    <t>더케이손해보험</t>
  </si>
  <si>
    <t>IN-E16-170-02</t>
  </si>
  <si>
    <t>고서현</t>
  </si>
  <si>
    <t>중소기업중앙회</t>
  </si>
  <si>
    <t>CP-E12-170-06</t>
  </si>
  <si>
    <t>황석진</t>
  </si>
  <si>
    <t>MN-E10-170-02</t>
  </si>
  <si>
    <t>권구황</t>
  </si>
  <si>
    <t>맥쿼리증권</t>
  </si>
  <si>
    <t>SC-E08-170-02</t>
  </si>
  <si>
    <t>경영관리실</t>
  </si>
  <si>
    <t>자산운용2본부 트레이딩팀</t>
  </si>
  <si>
    <t>MN-D28-170-02</t>
  </si>
  <si>
    <t>김현주</t>
  </si>
  <si>
    <t>MN-D28-170-01</t>
  </si>
  <si>
    <t>성하연</t>
  </si>
  <si>
    <t>리테일채권팀</t>
  </si>
  <si>
    <t>SC-D28-170-01</t>
  </si>
  <si>
    <t>김태하</t>
  </si>
  <si>
    <t>FICC구조화부</t>
  </si>
  <si>
    <t>SC-D25-170-03</t>
  </si>
  <si>
    <t>(일시정지)</t>
  </si>
  <si>
    <t>SC-D25-170-02</t>
  </si>
  <si>
    <t>이재문</t>
  </si>
  <si>
    <t>SC-D20-170-01</t>
  </si>
  <si>
    <t>신준범</t>
  </si>
  <si>
    <t>SC-D18-170-01</t>
  </si>
  <si>
    <t>최원준</t>
  </si>
  <si>
    <t>BN-D14-170-02</t>
  </si>
  <si>
    <t>김병연</t>
  </si>
  <si>
    <t>SC-D13-170-01</t>
  </si>
  <si>
    <t>윤영록</t>
  </si>
  <si>
    <t>TR-102-002-04</t>
  </si>
  <si>
    <t>윤청우</t>
  </si>
  <si>
    <t>대전노은지점</t>
  </si>
  <si>
    <t>SC-D06-170-03</t>
  </si>
  <si>
    <t>이순창</t>
  </si>
  <si>
    <t>CP-D05-170-01</t>
  </si>
  <si>
    <t>최일문</t>
  </si>
  <si>
    <t>군인공제회</t>
  </si>
  <si>
    <t>증권운용본부</t>
  </si>
  <si>
    <t>CP-D03-170-01</t>
  </si>
  <si>
    <t>최효석</t>
  </si>
  <si>
    <t>서울외국환중개</t>
  </si>
  <si>
    <t>채권중개실</t>
  </si>
  <si>
    <t>MN-D03-170-02</t>
  </si>
  <si>
    <t>최배근</t>
  </si>
  <si>
    <t>MN-D04-170-01</t>
  </si>
  <si>
    <t>이원석</t>
  </si>
  <si>
    <t>MN-D03-170-01</t>
  </si>
  <si>
    <t>고진석</t>
  </si>
  <si>
    <t>하이자산운용</t>
  </si>
  <si>
    <t>엑티브퀀트팀</t>
  </si>
  <si>
    <t>MN-C31-170-01</t>
  </si>
  <si>
    <t>박종선</t>
  </si>
  <si>
    <t>SC-C31-170-01</t>
  </si>
  <si>
    <t>강민형</t>
  </si>
  <si>
    <t>SC-C30-170-01</t>
  </si>
  <si>
    <t>권순상</t>
  </si>
  <si>
    <t>SC-C29-170-03</t>
  </si>
  <si>
    <t>SC-C29-170-02</t>
  </si>
  <si>
    <t>백영호</t>
  </si>
  <si>
    <t>MN-C29-170-01</t>
  </si>
  <si>
    <t>SC-C29-170-01</t>
  </si>
  <si>
    <t>김정현</t>
  </si>
  <si>
    <t>제이피모간자산운용</t>
  </si>
  <si>
    <t>MN-C28-170-03</t>
  </si>
  <si>
    <t>Kim Seol</t>
  </si>
  <si>
    <t>MN-C28-170-01</t>
  </si>
  <si>
    <t>Lee Steve</t>
  </si>
  <si>
    <t>MN-C24-170-01</t>
  </si>
  <si>
    <t>박호건</t>
  </si>
  <si>
    <t>해외영업부</t>
  </si>
  <si>
    <t>SC-C21-170-01</t>
  </si>
  <si>
    <t>박종현</t>
  </si>
  <si>
    <t>김현지</t>
  </si>
  <si>
    <t>모간스탠리</t>
  </si>
  <si>
    <t>IT팀</t>
  </si>
  <si>
    <t>TR-C20-170-01</t>
  </si>
  <si>
    <t>임준형</t>
  </si>
  <si>
    <t>Bank of America Merrill Lynch</t>
  </si>
  <si>
    <t>CP-C17-170-01</t>
  </si>
  <si>
    <t>Kim, Yong Chan</t>
  </si>
  <si>
    <t>프로젝트금융부</t>
  </si>
  <si>
    <t>IN-C16-170-01</t>
  </si>
  <si>
    <t>이현주</t>
  </si>
  <si>
    <t>SC-C14-170-01</t>
  </si>
  <si>
    <t>안효은</t>
  </si>
  <si>
    <t>SC-C13-170-01</t>
  </si>
  <si>
    <t>박승모</t>
  </si>
  <si>
    <t>SC-C10-170-02</t>
  </si>
  <si>
    <t>김연택</t>
  </si>
  <si>
    <t>Equity.Finance팀</t>
  </si>
  <si>
    <t>SC-C10-170-01</t>
  </si>
  <si>
    <t>이정범</t>
  </si>
  <si>
    <t>상품전략실</t>
  </si>
  <si>
    <t>SC-C09-170-02</t>
  </si>
  <si>
    <t>이지훈</t>
  </si>
  <si>
    <t>SC-C09-170-01</t>
  </si>
  <si>
    <t>Sam Gong</t>
  </si>
  <si>
    <t>SC-C06-170-01</t>
  </si>
  <si>
    <t>구자민</t>
  </si>
  <si>
    <t>SC-044-050-46</t>
  </si>
  <si>
    <t>류황룡</t>
  </si>
  <si>
    <t>구조화투자담당</t>
  </si>
  <si>
    <t>SC-010-037-01</t>
  </si>
  <si>
    <t>황태영</t>
  </si>
  <si>
    <t>여신기획부</t>
  </si>
  <si>
    <t>BN-106-003-01</t>
  </si>
  <si>
    <t>황영섭</t>
  </si>
  <si>
    <t>부행장</t>
  </si>
  <si>
    <t>주식회사 케이뱅크은행</t>
  </si>
  <si>
    <t>자금팀</t>
  </si>
  <si>
    <t>BN-001-500-01</t>
  </si>
  <si>
    <t>양동원</t>
  </si>
  <si>
    <t>BN-002-007-08</t>
  </si>
  <si>
    <t>권형주</t>
  </si>
  <si>
    <t>Passive솔루션1팀</t>
  </si>
  <si>
    <t>SC-038-020-02</t>
  </si>
  <si>
    <t>김영성</t>
  </si>
  <si>
    <t>MN-212-000-21</t>
  </si>
  <si>
    <t>김연찬</t>
  </si>
  <si>
    <t>SC-010-036-15</t>
  </si>
  <si>
    <t>김상우</t>
  </si>
  <si>
    <t>SC-010-036-14</t>
  </si>
  <si>
    <t>조준호</t>
  </si>
  <si>
    <t>신탁자산부</t>
  </si>
  <si>
    <t>SC-022-018-12</t>
  </si>
  <si>
    <t>이문승</t>
  </si>
  <si>
    <t>자산운용컴플라이언스팀</t>
  </si>
  <si>
    <t>자산운용부문컴플라이언스팀</t>
  </si>
  <si>
    <t>IN-028-032-03</t>
  </si>
  <si>
    <t>한상준</t>
  </si>
  <si>
    <t>케이아이디비채권중개</t>
  </si>
  <si>
    <t>CP-435-000-17</t>
  </si>
  <si>
    <t>홍승기</t>
  </si>
  <si>
    <t>BN-005-200-12</t>
  </si>
  <si>
    <t>안경필</t>
  </si>
  <si>
    <t>MS팀</t>
  </si>
  <si>
    <t>MN-204-014-04</t>
  </si>
  <si>
    <t>김종관</t>
  </si>
  <si>
    <t>SC-013-004-35</t>
  </si>
  <si>
    <t>주식부</t>
  </si>
  <si>
    <t>SC-124-003-34</t>
  </si>
  <si>
    <t>조영수</t>
  </si>
  <si>
    <t>투자솔루션팀</t>
  </si>
  <si>
    <t>SC-044-040-02</t>
  </si>
  <si>
    <t>김봉주</t>
  </si>
  <si>
    <t>MN-004-000-62</t>
  </si>
  <si>
    <t>김찬영</t>
  </si>
  <si>
    <t>삼성생명보험</t>
  </si>
  <si>
    <t>자산PF운용팀</t>
  </si>
  <si>
    <t>IN-001-009-01</t>
  </si>
  <si>
    <t>황유동</t>
  </si>
  <si>
    <t>SC-014-042-08</t>
  </si>
  <si>
    <t>이현희</t>
  </si>
  <si>
    <t>자금부</t>
  </si>
  <si>
    <t>원화자금팀</t>
  </si>
  <si>
    <t>BN-106-005-30</t>
  </si>
  <si>
    <t>김태경</t>
  </si>
  <si>
    <t>LDI국내채권팀</t>
  </si>
  <si>
    <t>MN-015-012-10</t>
  </si>
  <si>
    <t>김효진</t>
  </si>
  <si>
    <t>SC-044-050-45</t>
  </si>
  <si>
    <t>손현빈</t>
  </si>
  <si>
    <t>SC-044-050-44</t>
  </si>
  <si>
    <t>변준</t>
  </si>
  <si>
    <t>SC-044-050-43</t>
  </si>
  <si>
    <t>김호범</t>
  </si>
  <si>
    <t>MN-229-000-57</t>
  </si>
  <si>
    <t>김승현</t>
  </si>
  <si>
    <t>크레디 아그리콜 아시아 증권 서울지점(영업소)</t>
  </si>
  <si>
    <t>Sales</t>
  </si>
  <si>
    <t>BN-417-000-06</t>
  </si>
  <si>
    <t>이미라</t>
  </si>
  <si>
    <t>SC-036-081-12</t>
  </si>
  <si>
    <t>한왕원</t>
  </si>
  <si>
    <t>사장실</t>
  </si>
  <si>
    <t>CP-173-000-02</t>
  </si>
  <si>
    <t>사장님</t>
  </si>
  <si>
    <t>주식회사 비앤아이투자</t>
  </si>
  <si>
    <t>PS-000-100-90</t>
  </si>
  <si>
    <t>예규창</t>
  </si>
  <si>
    <t>우리은행</t>
  </si>
  <si>
    <t>신탁사업단</t>
  </si>
  <si>
    <t>TR-000-105-70</t>
  </si>
  <si>
    <t>권주연</t>
  </si>
  <si>
    <t>SC-044-400-05</t>
  </si>
  <si>
    <t>박민아</t>
  </si>
  <si>
    <t>SC-017-999-05</t>
  </si>
  <si>
    <t>박승</t>
  </si>
  <si>
    <t>글로벌AI팀</t>
  </si>
  <si>
    <t>SC-010-042-08</t>
  </si>
  <si>
    <t>이윤하</t>
  </si>
  <si>
    <t>Prime Service팀</t>
  </si>
  <si>
    <t>SC-005-011-28</t>
  </si>
  <si>
    <t>김희석</t>
  </si>
  <si>
    <t>현대해상화재보험</t>
  </si>
  <si>
    <t>본부장실</t>
  </si>
  <si>
    <t>IN-103-002-04</t>
  </si>
  <si>
    <t>임환대</t>
  </si>
  <si>
    <t>MN-401-002-20</t>
  </si>
  <si>
    <t>안세준</t>
  </si>
  <si>
    <t>현대인베스트먼트자산운용</t>
  </si>
  <si>
    <t>전략투자팀</t>
  </si>
  <si>
    <t>MN-941-000-15</t>
  </si>
  <si>
    <t>정순오</t>
  </si>
  <si>
    <t>지에프아이코리아외국환중개</t>
  </si>
  <si>
    <t>CP-201-511-18</t>
  </si>
  <si>
    <t>김주일</t>
  </si>
  <si>
    <t>비엔피파리바증권</t>
  </si>
  <si>
    <t>EQD ELS sales</t>
  </si>
  <si>
    <t>SC-052-024-03</t>
  </si>
  <si>
    <t>Sungkon Moon</t>
  </si>
  <si>
    <t>SC-201-000-29</t>
  </si>
  <si>
    <t>조민식</t>
  </si>
  <si>
    <t>MN-218-004-02</t>
  </si>
  <si>
    <t>이홍주</t>
  </si>
  <si>
    <t>SC-036-101-02</t>
  </si>
  <si>
    <t>이광진</t>
  </si>
  <si>
    <t>트레이딩부</t>
  </si>
  <si>
    <t>TR-000-002-58</t>
  </si>
  <si>
    <t>고형우</t>
  </si>
  <si>
    <t>FI Sales</t>
  </si>
  <si>
    <t>SC-052-020-02</t>
  </si>
  <si>
    <t>Youngjung KOH</t>
  </si>
  <si>
    <t>Sales Trader</t>
  </si>
  <si>
    <t>TR-000-002-69</t>
  </si>
  <si>
    <t>재무기획파트</t>
  </si>
  <si>
    <t>경리파트</t>
  </si>
  <si>
    <t>IN-101-006-01</t>
  </si>
  <si>
    <t>홍진수</t>
  </si>
  <si>
    <t>MN-941-000-14</t>
  </si>
  <si>
    <t>전택모</t>
  </si>
  <si>
    <t>알파전략상품팀</t>
  </si>
  <si>
    <t>SC-027-214-05</t>
  </si>
  <si>
    <t>김낙기</t>
  </si>
  <si>
    <t>SC-024-021-53</t>
  </si>
  <si>
    <t>임성훈</t>
  </si>
  <si>
    <t>SC-001-010-11</t>
  </si>
  <si>
    <t>임화성</t>
  </si>
  <si>
    <t>TR-000-002-06</t>
  </si>
  <si>
    <t>박수용</t>
  </si>
  <si>
    <t>TR-000-002-05</t>
  </si>
  <si>
    <t>SC-012-049-02</t>
  </si>
  <si>
    <t>권태윤</t>
  </si>
  <si>
    <t>SC-025-031-12</t>
  </si>
  <si>
    <t>조원희</t>
  </si>
  <si>
    <t>자산운용팀</t>
  </si>
  <si>
    <t>SC-055-000-03</t>
  </si>
  <si>
    <t>강세정</t>
  </si>
  <si>
    <t>SC-001-056-15</t>
  </si>
  <si>
    <t>배윤주</t>
  </si>
  <si>
    <t>수협은행</t>
  </si>
  <si>
    <t>BN-502-001-15</t>
  </si>
  <si>
    <t>김철환</t>
  </si>
  <si>
    <t>손익관리파트</t>
  </si>
  <si>
    <t>IN-101-002-27</t>
  </si>
  <si>
    <t>김종빈</t>
  </si>
  <si>
    <t>SC-005-040-02</t>
  </si>
  <si>
    <t>정해일</t>
  </si>
  <si>
    <t>손해자산운용부</t>
  </si>
  <si>
    <t>IN-505-000-15</t>
  </si>
  <si>
    <t>조상욱</t>
  </si>
  <si>
    <t>IN-505-001-14</t>
  </si>
  <si>
    <t>농협손해 이재성</t>
  </si>
  <si>
    <t>SC-040-028-12</t>
  </si>
  <si>
    <t>사영진</t>
  </si>
  <si>
    <t>운용지원팀</t>
  </si>
  <si>
    <t>MN-216-005-17</t>
  </si>
  <si>
    <t>정진아</t>
  </si>
  <si>
    <t>헤지펀드본부</t>
  </si>
  <si>
    <t>헤지운용2팀</t>
  </si>
  <si>
    <t>MN-209-006-04</t>
  </si>
  <si>
    <t>조경재</t>
  </si>
  <si>
    <t>Global.Equity.Sales팀</t>
  </si>
  <si>
    <t>SC-038-021-30</t>
  </si>
  <si>
    <t>이재춘</t>
  </si>
  <si>
    <t>SC-038-021-29</t>
  </si>
  <si>
    <t>김경곤</t>
  </si>
  <si>
    <t>TR-102-002-03</t>
  </si>
  <si>
    <t>고영기</t>
  </si>
  <si>
    <t>TR-102-002-02</t>
  </si>
  <si>
    <t>손재영</t>
  </si>
  <si>
    <t>TR-102-002-01</t>
  </si>
  <si>
    <t>문재규</t>
  </si>
  <si>
    <t>SC-045-037-02</t>
  </si>
  <si>
    <t>윤혜주</t>
  </si>
  <si>
    <t>종합금융1본부</t>
  </si>
  <si>
    <t>SC-005-012-01</t>
  </si>
  <si>
    <t>김준범(공용)</t>
  </si>
  <si>
    <t>SC-040-028-10</t>
  </si>
  <si>
    <t>안영민</t>
  </si>
  <si>
    <t>SC-040-028-05</t>
  </si>
  <si>
    <t>이성균</t>
  </si>
  <si>
    <t>SC-040-028-04</t>
  </si>
  <si>
    <t>채상희</t>
  </si>
  <si>
    <t>CP-325-011-02</t>
  </si>
  <si>
    <t>박승희</t>
  </si>
  <si>
    <t>OTC운용팀</t>
  </si>
  <si>
    <t>SC-024-030-31</t>
  </si>
  <si>
    <t>전진위</t>
  </si>
  <si>
    <t>CP-325-036-10</t>
  </si>
  <si>
    <t>홍종구</t>
  </si>
  <si>
    <t>사모펀드운용부</t>
  </si>
  <si>
    <t>SC-001-065-01</t>
  </si>
  <si>
    <t>김창현</t>
  </si>
  <si>
    <t>국제ETS부</t>
  </si>
  <si>
    <t>SC-047-011-02</t>
  </si>
  <si>
    <t>황희정</t>
  </si>
  <si>
    <t>보험증권운용팀</t>
  </si>
  <si>
    <t>TR-000-003-37</t>
  </si>
  <si>
    <t>TR-000-003-33</t>
  </si>
  <si>
    <t>정다운</t>
  </si>
  <si>
    <t>CP-374-000-11</t>
  </si>
  <si>
    <t>최민국</t>
  </si>
  <si>
    <t>MN-204-004-18</t>
  </si>
  <si>
    <t>배광웅</t>
  </si>
  <si>
    <t>고객자산운용본부</t>
  </si>
  <si>
    <t>Wrap운용부</t>
  </si>
  <si>
    <t>SC-017-023-04</t>
  </si>
  <si>
    <t>박경구</t>
  </si>
  <si>
    <t>제이비자산운용</t>
  </si>
  <si>
    <t>MN-201-603-01</t>
  </si>
  <si>
    <t>박승찬</t>
  </si>
  <si>
    <t>MN-226-008-25</t>
  </si>
  <si>
    <t>최용준</t>
  </si>
  <si>
    <t>국내채권LDI운용팀</t>
  </si>
  <si>
    <t>MN-226-008-24</t>
  </si>
  <si>
    <t>윤석진</t>
  </si>
  <si>
    <t>SC-008-022-30</t>
  </si>
  <si>
    <t>김윤선</t>
  </si>
  <si>
    <t>SC-049-004-30</t>
  </si>
  <si>
    <t>구인영</t>
  </si>
  <si>
    <t>SC-049-004-29</t>
  </si>
  <si>
    <t>이성민</t>
  </si>
  <si>
    <t>SC-049-004-28</t>
  </si>
  <si>
    <t>SC-049-004-26</t>
  </si>
  <si>
    <t>김준형</t>
  </si>
  <si>
    <t>SC-049-004-25</t>
  </si>
  <si>
    <t>조성용</t>
  </si>
  <si>
    <t>ETF컨설팅팀</t>
  </si>
  <si>
    <t>MN-015-022-12</t>
  </si>
  <si>
    <t>박수민</t>
  </si>
  <si>
    <t>주식회사 아름드리</t>
  </si>
  <si>
    <t>CP-700-000-01</t>
  </si>
  <si>
    <t>신현철</t>
  </si>
  <si>
    <t>IN-101-002-26</t>
  </si>
  <si>
    <t>김경환</t>
  </si>
  <si>
    <t>자산운용부</t>
  </si>
  <si>
    <t>SC-001-022-14</t>
  </si>
  <si>
    <t>최다연</t>
  </si>
  <si>
    <t>롯데손해보험</t>
  </si>
  <si>
    <t>IN-104-001-10</t>
  </si>
  <si>
    <t>홍은지</t>
  </si>
  <si>
    <t>카라투자자문 주식회사</t>
  </si>
  <si>
    <t>SC-126-000-54</t>
  </si>
  <si>
    <t>SC-017-037-10</t>
  </si>
  <si>
    <t>신민규</t>
  </si>
  <si>
    <t>금융공학센터</t>
  </si>
  <si>
    <t>금리파생팀</t>
  </si>
  <si>
    <t>BN-005-100-06</t>
  </si>
  <si>
    <t>SC-010-062-05</t>
  </si>
  <si>
    <t>박주연</t>
  </si>
  <si>
    <t>BN-501-000-04</t>
  </si>
  <si>
    <t>송현자</t>
  </si>
  <si>
    <t>랩사업부</t>
  </si>
  <si>
    <t>SC-004-163-03</t>
  </si>
  <si>
    <t>이민정</t>
  </si>
  <si>
    <t>SC-004-163-02</t>
  </si>
  <si>
    <t>채동훈</t>
  </si>
  <si>
    <t>SC-055-000-21</t>
  </si>
  <si>
    <t>인승진</t>
  </si>
  <si>
    <t>SC-022-019-34</t>
  </si>
  <si>
    <t>SC-005-700-09</t>
  </si>
  <si>
    <t>송아영</t>
  </si>
  <si>
    <t>SC-005-700-08</t>
  </si>
  <si>
    <t>김준영</t>
  </si>
  <si>
    <t>SC-047-070-24</t>
  </si>
  <si>
    <t>안성현</t>
  </si>
  <si>
    <t>메릴린치인터내셔날인코포레이티드</t>
  </si>
  <si>
    <t>전산실 TEST</t>
  </si>
  <si>
    <t>TR-116-000-01</t>
  </si>
  <si>
    <t>방신안</t>
  </si>
  <si>
    <t>SC-031-021-45</t>
  </si>
  <si>
    <t>김보슬</t>
  </si>
  <si>
    <t>자본시장기획부</t>
  </si>
  <si>
    <t>BN-105-005-01</t>
  </si>
  <si>
    <t>남형봉</t>
  </si>
  <si>
    <t>파생법인영업2팀</t>
  </si>
  <si>
    <t>SC-008-028-03</t>
  </si>
  <si>
    <t>한새별</t>
  </si>
  <si>
    <t>MN-004-000-60</t>
  </si>
  <si>
    <t>정삼윤</t>
  </si>
  <si>
    <t>SC-036-055-02</t>
  </si>
  <si>
    <t>최교순</t>
  </si>
  <si>
    <t>BN-005-200-11</t>
  </si>
  <si>
    <t>Growth운용팀</t>
  </si>
  <si>
    <t>MN-216-020-03</t>
  </si>
  <si>
    <t>성기석</t>
  </si>
  <si>
    <t>한국채권투자자문</t>
  </si>
  <si>
    <t>MN-522-000-04</t>
  </si>
  <si>
    <t>윤기원</t>
  </si>
  <si>
    <t>SC-014-042-05</t>
  </si>
  <si>
    <t>엄지영</t>
  </si>
  <si>
    <t>사립학교교직원연금공단</t>
  </si>
  <si>
    <t>MN-406-002-09</t>
  </si>
  <si>
    <t>윤지용</t>
  </si>
  <si>
    <t>SC-009-050-24</t>
  </si>
  <si>
    <t>이지홍</t>
  </si>
  <si>
    <t>SC-025-129-02</t>
  </si>
  <si>
    <t>박소영</t>
  </si>
  <si>
    <t>SC-025-129-01</t>
  </si>
  <si>
    <t>김송민</t>
  </si>
  <si>
    <t>SC-044-052-03</t>
  </si>
  <si>
    <t>편하니</t>
  </si>
  <si>
    <t>OTC마켓팅팀</t>
  </si>
  <si>
    <t>SC-024-075-08</t>
  </si>
  <si>
    <t>임영래</t>
  </si>
  <si>
    <t>투자금융부</t>
  </si>
  <si>
    <t>IN-103-002-03</t>
  </si>
  <si>
    <t>이석영</t>
  </si>
  <si>
    <t>김현수</t>
  </si>
  <si>
    <t>주식영업1부</t>
  </si>
  <si>
    <t>SC-120-004-03</t>
  </si>
  <si>
    <t>이진아</t>
  </si>
  <si>
    <t>헤지펀드운용팀(10091523)</t>
  </si>
  <si>
    <t>SC-024-060-06</t>
  </si>
  <si>
    <t>이재현</t>
  </si>
  <si>
    <t>SC-024-030-19</t>
  </si>
  <si>
    <t>MN-004-000-59</t>
  </si>
  <si>
    <t>김현성</t>
  </si>
  <si>
    <t>FI운용부</t>
  </si>
  <si>
    <t>SC-047-081-08</t>
  </si>
  <si>
    <t>고선영</t>
  </si>
  <si>
    <t>MN-209-006-03</t>
  </si>
  <si>
    <t>김명현</t>
  </si>
  <si>
    <t>법인영업본부</t>
  </si>
  <si>
    <t>SC-004-014-06</t>
  </si>
  <si>
    <t>김성경</t>
  </si>
  <si>
    <t>SC-004-014-05</t>
  </si>
  <si>
    <t>Delta.One팀</t>
  </si>
  <si>
    <t>SC-038-021-28</t>
  </si>
  <si>
    <t>김우찬</t>
  </si>
  <si>
    <t>투자상품서비스부</t>
  </si>
  <si>
    <t>일임형 ISA팀</t>
  </si>
  <si>
    <t>BN-008-007-02</t>
  </si>
  <si>
    <t>정찬규</t>
  </si>
  <si>
    <t>BN-008-007-01</t>
  </si>
  <si>
    <t>전주홍</t>
  </si>
  <si>
    <t>SC-134-010-28</t>
  </si>
  <si>
    <t>이창기</t>
  </si>
  <si>
    <t>SC-134-010-27</t>
  </si>
  <si>
    <t>유한주</t>
  </si>
  <si>
    <t>SC-134-010-26</t>
  </si>
  <si>
    <t>김영근</t>
  </si>
  <si>
    <t>SC-134-010-25</t>
  </si>
  <si>
    <t>홍충환</t>
  </si>
  <si>
    <t>SC-134-010-24</t>
  </si>
  <si>
    <t>정기섭</t>
  </si>
  <si>
    <t>SC-134-010-23</t>
  </si>
  <si>
    <t>김원동</t>
  </si>
  <si>
    <t>SC-134-010-22</t>
  </si>
  <si>
    <t>권혁상</t>
  </si>
  <si>
    <t>상품운용본부</t>
  </si>
  <si>
    <t>SC-134-010-21</t>
  </si>
  <si>
    <t>투자증권운용부</t>
  </si>
  <si>
    <t>BN-105-002-45</t>
  </si>
  <si>
    <t>박준우</t>
  </si>
  <si>
    <t>리서치센터 자산전략팀</t>
  </si>
  <si>
    <t>TR-201-606-09</t>
  </si>
  <si>
    <t>김경훈</t>
  </si>
  <si>
    <t>SC-008-022-29</t>
  </si>
  <si>
    <t>유단비</t>
  </si>
  <si>
    <t>SC-008-022-28</t>
  </si>
  <si>
    <t>한신애</t>
  </si>
  <si>
    <t>SC-010-031-03</t>
  </si>
  <si>
    <t>김의효</t>
  </si>
  <si>
    <t>SC-001-010-10</t>
  </si>
  <si>
    <t>홍현주</t>
  </si>
  <si>
    <t>주식영업2팀</t>
  </si>
  <si>
    <t>Equity사업부</t>
  </si>
  <si>
    <t>SC-021-060-02</t>
  </si>
  <si>
    <t>정정민</t>
  </si>
  <si>
    <t>FI밸류운용팀</t>
  </si>
  <si>
    <t>MN-226-014-03</t>
  </si>
  <si>
    <t>자산운용본부</t>
  </si>
  <si>
    <t>SC-004-160-32</t>
  </si>
  <si>
    <t>SC-004-160-31</t>
  </si>
  <si>
    <t>박재영</t>
  </si>
  <si>
    <t>SC-004-160-30</t>
  </si>
  <si>
    <t>파생상품2팀</t>
  </si>
  <si>
    <t>SC-036-082-04</t>
  </si>
  <si>
    <t>고성한</t>
  </si>
  <si>
    <t>SC-014-021-41</t>
  </si>
  <si>
    <t>정지원</t>
  </si>
  <si>
    <t>SC-047-070-23</t>
  </si>
  <si>
    <t>주증한</t>
  </si>
  <si>
    <t>PI팀</t>
  </si>
  <si>
    <t>SC-030-039-51</t>
  </si>
  <si>
    <t>김명식</t>
  </si>
  <si>
    <t>SC-001-010-08</t>
  </si>
  <si>
    <t>이이남</t>
  </si>
  <si>
    <t>SC-017-037-06</t>
  </si>
  <si>
    <t>남경민</t>
  </si>
  <si>
    <t>멀티에셋운용팀</t>
  </si>
  <si>
    <t>SC-016-033-03</t>
  </si>
  <si>
    <t>이신영</t>
  </si>
  <si>
    <t>MS부</t>
  </si>
  <si>
    <t>SC-012-045-09</t>
  </si>
  <si>
    <t>강준규</t>
  </si>
  <si>
    <t>한국자금중개</t>
  </si>
  <si>
    <t>채권시장부 영업2팀</t>
  </si>
  <si>
    <t>CP-226-000-11</t>
  </si>
  <si>
    <t>김혜란</t>
  </si>
  <si>
    <t>SC-047-091-01</t>
  </si>
  <si>
    <t>강태욱</t>
  </si>
  <si>
    <t>MN-941-000-13</t>
  </si>
  <si>
    <t>이창현</t>
  </si>
  <si>
    <t>SC-017-023-03</t>
  </si>
  <si>
    <t>윤승환</t>
  </si>
  <si>
    <t>MN-004-000-58</t>
  </si>
  <si>
    <t>이명우</t>
  </si>
  <si>
    <t>SC-031-021-44</t>
  </si>
  <si>
    <t>정나겸</t>
  </si>
  <si>
    <t>Multi strategy운용팀</t>
  </si>
  <si>
    <t>SC-010-069-02</t>
  </si>
  <si>
    <t>박재원</t>
  </si>
  <si>
    <t>SC-134-010-20</t>
  </si>
  <si>
    <t>최은경</t>
  </si>
  <si>
    <t>SC-134-010-19</t>
  </si>
  <si>
    <t>박경원</t>
  </si>
  <si>
    <t>Fixed Income</t>
  </si>
  <si>
    <t>딜링본부/채권</t>
  </si>
  <si>
    <t>MN-953-000-36</t>
  </si>
  <si>
    <t>딜링팀</t>
  </si>
  <si>
    <t>MN-004-000-57</t>
  </si>
  <si>
    <t>김보람</t>
  </si>
  <si>
    <t>MN-004-000-56</t>
  </si>
  <si>
    <t>윤동환</t>
  </si>
  <si>
    <t>MN-004-000-55</t>
  </si>
  <si>
    <t>홍융기</t>
  </si>
  <si>
    <t>SC-134-010-18</t>
  </si>
  <si>
    <t>권혁진</t>
  </si>
  <si>
    <t>CP-226-000-10</t>
  </si>
  <si>
    <t>최솜이</t>
  </si>
  <si>
    <t>CP-226-000-09</t>
  </si>
  <si>
    <t>김준구</t>
  </si>
  <si>
    <t>CP-226-000-08</t>
  </si>
  <si>
    <t>김수현</t>
  </si>
  <si>
    <t>토러스투자증권</t>
  </si>
  <si>
    <t>SC-126-000-53</t>
  </si>
  <si>
    <t>김충식</t>
  </si>
  <si>
    <t>패시브운용본부</t>
  </si>
  <si>
    <t>패시브솔루션본부</t>
  </si>
  <si>
    <t>MN-953-000-35</t>
  </si>
  <si>
    <t>김현빈</t>
  </si>
  <si>
    <t>SC-025-055-04</t>
  </si>
  <si>
    <t>SC-031-021-43</t>
  </si>
  <si>
    <t>조예슬</t>
  </si>
  <si>
    <t>엘케이자산운용</t>
  </si>
  <si>
    <t>MN-258-000-11</t>
  </si>
  <si>
    <t>김수정</t>
  </si>
  <si>
    <t>SC-021-034-07</t>
  </si>
  <si>
    <t>김진호</t>
  </si>
  <si>
    <t>SC-008-023-25</t>
  </si>
  <si>
    <t>조만식</t>
  </si>
  <si>
    <t>SC-008-023-24</t>
  </si>
  <si>
    <t>국제영업부</t>
  </si>
  <si>
    <t>SC-003-011-25</t>
  </si>
  <si>
    <t>김현진</t>
  </si>
  <si>
    <t>BN-305-000-03</t>
  </si>
  <si>
    <t>염재현</t>
  </si>
  <si>
    <t>SC-013-004-29</t>
  </si>
  <si>
    <t>엄소향</t>
  </si>
  <si>
    <t>농협은행</t>
  </si>
  <si>
    <t>금전신탁팀</t>
  </si>
  <si>
    <t>BN-501-007-11</t>
  </si>
  <si>
    <t>CP-201-511-16</t>
  </si>
  <si>
    <t>여민경</t>
  </si>
  <si>
    <t>금융기획부</t>
  </si>
  <si>
    <t>금융기획팀</t>
  </si>
  <si>
    <t>BN-401-006-06</t>
  </si>
  <si>
    <t>임진우</t>
  </si>
  <si>
    <t>CP-201-511-15</t>
  </si>
  <si>
    <t>강재원</t>
  </si>
  <si>
    <t>SC-044-052-02</t>
  </si>
  <si>
    <t>오찬수</t>
  </si>
  <si>
    <t>SC-044-050-41</t>
  </si>
  <si>
    <t>안진호</t>
  </si>
  <si>
    <t>IT개발부</t>
  </si>
  <si>
    <t>SC-004-005-02</t>
  </si>
  <si>
    <t>최수영</t>
  </si>
  <si>
    <t>상호금융리스크관리부</t>
  </si>
  <si>
    <t>BN-501-300-12</t>
  </si>
  <si>
    <t>박원현</t>
  </si>
  <si>
    <t>CP-201-511-14</t>
  </si>
  <si>
    <t>이재연</t>
  </si>
  <si>
    <t>SC-022-019-61</t>
  </si>
  <si>
    <t>강구</t>
  </si>
  <si>
    <t>특별계정팀</t>
  </si>
  <si>
    <t>특별계정운용부</t>
  </si>
  <si>
    <t>BN-221-010-02</t>
  </si>
  <si>
    <t>김태훈</t>
  </si>
  <si>
    <t>SS팀</t>
  </si>
  <si>
    <t>MN-015-022-10</t>
  </si>
  <si>
    <t>전형래</t>
  </si>
  <si>
    <t>마케팅전략기획본부</t>
  </si>
  <si>
    <t>운용기획본부</t>
  </si>
  <si>
    <t>MN-929-062-01</t>
  </si>
  <si>
    <t>김혜린</t>
  </si>
  <si>
    <t>SC-008-022-27</t>
  </si>
  <si>
    <t>박상혁</t>
  </si>
  <si>
    <t>SC-008-022-26</t>
  </si>
  <si>
    <t>박지혜</t>
  </si>
  <si>
    <t>SC-010-052-02</t>
  </si>
  <si>
    <t>이경수</t>
  </si>
  <si>
    <t>BN-501-012-16</t>
  </si>
  <si>
    <t>백정숙</t>
  </si>
  <si>
    <t>퇴직연금사업부</t>
  </si>
  <si>
    <t>IN-005-010-01</t>
  </si>
  <si>
    <t>류용문</t>
  </si>
  <si>
    <t>SC-008-023-23</t>
  </si>
  <si>
    <t>윤은총</t>
  </si>
  <si>
    <t>MN-204-005-44</t>
  </si>
  <si>
    <t>양동민</t>
  </si>
  <si>
    <t>SC-017-023-02</t>
  </si>
  <si>
    <t>김태원</t>
  </si>
  <si>
    <t>Equity Finance팀</t>
  </si>
  <si>
    <t>SC-005-011-25</t>
  </si>
  <si>
    <t>김경식</t>
  </si>
  <si>
    <t>FICC파생영업부</t>
  </si>
  <si>
    <t>SC-017-028-10</t>
  </si>
  <si>
    <t>김경표</t>
  </si>
  <si>
    <t>Credit Suisse</t>
  </si>
  <si>
    <t>홍콩</t>
  </si>
  <si>
    <t>CP-000-552-07</t>
  </si>
  <si>
    <t>Hong Yea</t>
  </si>
  <si>
    <t>SC-038-021-24</t>
  </si>
  <si>
    <t>김민아</t>
  </si>
  <si>
    <t>SC-001-056-12</t>
  </si>
  <si>
    <t>장호영</t>
  </si>
  <si>
    <t>법인주식영업부</t>
  </si>
  <si>
    <t>SC-006-050-01</t>
  </si>
  <si>
    <t>김태현</t>
  </si>
  <si>
    <t>SC-047-070-20</t>
  </si>
  <si>
    <t>박재현</t>
  </si>
  <si>
    <t>BN-002-007-07</t>
  </si>
  <si>
    <t>오경록</t>
  </si>
  <si>
    <t>MN-216-005-15</t>
  </si>
  <si>
    <t>이효석</t>
  </si>
  <si>
    <t>MN-004-000-54</t>
  </si>
  <si>
    <t>오희환</t>
  </si>
  <si>
    <t>MN-015-022-09</t>
  </si>
  <si>
    <t>류재영</t>
  </si>
  <si>
    <t>MN-015-022-08</t>
  </si>
  <si>
    <t>이정준</t>
  </si>
  <si>
    <t>구조화종금본부</t>
  </si>
  <si>
    <t>SC-010-036-12</t>
  </si>
  <si>
    <t>고효석</t>
  </si>
  <si>
    <t>CP-374-000-10</t>
  </si>
  <si>
    <t>어원선</t>
  </si>
  <si>
    <t>SC-017-999-03</t>
  </si>
  <si>
    <t>이인구</t>
  </si>
  <si>
    <t>투자금융본부</t>
  </si>
  <si>
    <t>SC-040-030-02</t>
  </si>
  <si>
    <t>곽태영</t>
  </si>
  <si>
    <t>금융상품2팀</t>
  </si>
  <si>
    <t>금융상품2부</t>
  </si>
  <si>
    <t>SC-001-064-03</t>
  </si>
  <si>
    <t>김양석</t>
  </si>
  <si>
    <t>주식팀</t>
  </si>
  <si>
    <t>MN-404-005-17</t>
  </si>
  <si>
    <t>이돈규</t>
  </si>
  <si>
    <t>CP-325-000-11</t>
  </si>
  <si>
    <t>MN-216-005-14</t>
  </si>
  <si>
    <t>국내운용지원팀</t>
  </si>
  <si>
    <t>MN-015-002-07</t>
  </si>
  <si>
    <t>장묘실</t>
  </si>
  <si>
    <t>SC-039-000-30</t>
  </si>
  <si>
    <t>김정호</t>
  </si>
  <si>
    <t>SC-120-022-21</t>
  </si>
  <si>
    <t>송유성</t>
  </si>
  <si>
    <t>MN-204-005-43</t>
  </si>
  <si>
    <t>제갈향선</t>
  </si>
  <si>
    <t>SC-009-017-06</t>
  </si>
  <si>
    <t>홍동구</t>
  </si>
  <si>
    <t>SC-039-000-29</t>
  </si>
  <si>
    <t>서인용</t>
  </si>
  <si>
    <t>SC-027-215-91</t>
  </si>
  <si>
    <t>유선경</t>
  </si>
  <si>
    <t>SC-027-215-90</t>
  </si>
  <si>
    <t>김상균</t>
  </si>
  <si>
    <t>SC-027-215-89</t>
  </si>
  <si>
    <t>박정수</t>
  </si>
  <si>
    <t>PROP.TRADING팀</t>
  </si>
  <si>
    <t>SC-005-100-19</t>
  </si>
  <si>
    <t>최영의</t>
  </si>
  <si>
    <t>피데스자산운용주식회사</t>
  </si>
  <si>
    <t>MN-929-000-08</t>
  </si>
  <si>
    <t>장희준</t>
  </si>
  <si>
    <t>SC-130-001-51</t>
  </si>
  <si>
    <t>Kim, Daniel Hak-Jae</t>
  </si>
  <si>
    <t>Retail금융팀</t>
  </si>
  <si>
    <t>SC-024-003-01</t>
  </si>
  <si>
    <t>홍석일</t>
  </si>
  <si>
    <t>SC-017-041-04</t>
  </si>
  <si>
    <t>하수광</t>
  </si>
  <si>
    <t>SC-017-041-03</t>
  </si>
  <si>
    <t>박기영</t>
  </si>
  <si>
    <t>주식운용2본부</t>
  </si>
  <si>
    <t>헤지펀드운용파트</t>
  </si>
  <si>
    <t>CP-228-000-18</t>
  </si>
  <si>
    <t>송형섭</t>
  </si>
  <si>
    <t>SC-005-100-18</t>
  </si>
  <si>
    <t>서영준</t>
  </si>
  <si>
    <t>SC-036-060-10</t>
  </si>
  <si>
    <t>윤현재</t>
  </si>
  <si>
    <t>SC-036-060-08</t>
  </si>
  <si>
    <t>이정인</t>
  </si>
  <si>
    <t>MN-216-005-13</t>
  </si>
  <si>
    <t>전윤아</t>
  </si>
  <si>
    <t>글로벌전략운용본부</t>
  </si>
  <si>
    <t>글로벌운용본부</t>
  </si>
  <si>
    <t>MN-004-000-52</t>
  </si>
  <si>
    <t>구하나</t>
  </si>
  <si>
    <t>Equity Trading팀</t>
  </si>
  <si>
    <t>SC-030-055-03</t>
  </si>
  <si>
    <t>임미라</t>
  </si>
  <si>
    <t>SC-049-004-22</t>
  </si>
  <si>
    <t>김미영</t>
  </si>
  <si>
    <t>트러스톤자산운용</t>
  </si>
  <si>
    <t>CP-101-000-34</t>
  </si>
  <si>
    <t>차지호</t>
  </si>
  <si>
    <t>SC-134-010-17</t>
  </si>
  <si>
    <t>유현</t>
  </si>
  <si>
    <t>SC-044-050-40</t>
  </si>
  <si>
    <t>방준호</t>
  </si>
  <si>
    <t>SC-014-022-11</t>
  </si>
  <si>
    <t>나정범</t>
  </si>
  <si>
    <t>흥국생명</t>
  </si>
  <si>
    <t>IN-004-002-15</t>
  </si>
  <si>
    <t>MN-216-005-12</t>
  </si>
  <si>
    <t>노경선</t>
  </si>
  <si>
    <t>SC-044-050-39</t>
  </si>
  <si>
    <t>김혜정</t>
  </si>
  <si>
    <t>Execution Sales</t>
  </si>
  <si>
    <t>Equity Sales</t>
  </si>
  <si>
    <t>SC-107-010-54</t>
  </si>
  <si>
    <t>최원희</t>
  </si>
  <si>
    <t>Domestic Sales</t>
  </si>
  <si>
    <t>SC-107-010-53</t>
  </si>
  <si>
    <t>최해철</t>
  </si>
  <si>
    <t>MAI팀</t>
  </si>
  <si>
    <t>MN-216-005-11</t>
  </si>
  <si>
    <t>공연지(공용)</t>
  </si>
  <si>
    <t>SC-024-030-18</t>
  </si>
  <si>
    <t>김기완</t>
  </si>
  <si>
    <t>SC-008-022-25</t>
  </si>
  <si>
    <t>안정환</t>
  </si>
  <si>
    <t>동양자산운용</t>
  </si>
  <si>
    <t>MN-203-046-02</t>
  </si>
  <si>
    <t>SC-134-010-16</t>
  </si>
  <si>
    <t>서혁재</t>
  </si>
  <si>
    <t>MN-015-005-06</t>
  </si>
  <si>
    <t>오한섭</t>
  </si>
  <si>
    <t>SC-126-000-46</t>
  </si>
  <si>
    <t>박상현</t>
  </si>
  <si>
    <t>MN-004-000-51</t>
  </si>
  <si>
    <t>문인규</t>
  </si>
  <si>
    <t>SC-044-050-38</t>
  </si>
  <si>
    <t>심광진</t>
  </si>
  <si>
    <t>CP-101-000-33</t>
  </si>
  <si>
    <t>김호윤</t>
  </si>
  <si>
    <t>INDEX/QUANT2팀</t>
  </si>
  <si>
    <t>MN-216-005-10</t>
  </si>
  <si>
    <t>조준현</t>
  </si>
  <si>
    <t>SC-304-000-29</t>
  </si>
  <si>
    <t>Nick Lee</t>
  </si>
  <si>
    <t>SC-024-021-52</t>
  </si>
  <si>
    <t>전기범</t>
  </si>
  <si>
    <t>SC-120-010-10</t>
  </si>
  <si>
    <t>이영민</t>
  </si>
  <si>
    <t>MN-004-000-50</t>
  </si>
  <si>
    <t>이승민</t>
  </si>
  <si>
    <t>솔루션본부</t>
  </si>
  <si>
    <t>Passive총괄팀</t>
  </si>
  <si>
    <t>MN-015-012-20</t>
  </si>
  <si>
    <t>문경석</t>
  </si>
  <si>
    <t>SC-039-000-26</t>
  </si>
  <si>
    <t>김양길</t>
  </si>
  <si>
    <t>SC-039-000-25</t>
  </si>
  <si>
    <t>SC-039-000-24</t>
  </si>
  <si>
    <t>SC-039-000-23</t>
  </si>
  <si>
    <t>홍권표</t>
  </si>
  <si>
    <t>MN-218-000-30</t>
  </si>
  <si>
    <t>노승원</t>
  </si>
  <si>
    <t>이혜영</t>
  </si>
  <si>
    <t>SC-124-003-32</t>
  </si>
  <si>
    <t>나성수</t>
  </si>
  <si>
    <t>KGI Hong Kong Limited</t>
  </si>
  <si>
    <t>TR-000-105-88</t>
  </si>
  <si>
    <t>Spencer Lin</t>
  </si>
  <si>
    <t>박민호</t>
  </si>
  <si>
    <t>MN-258-000-02</t>
  </si>
  <si>
    <t>김나연</t>
  </si>
  <si>
    <t>증권운용1팀</t>
  </si>
  <si>
    <t>CP-750-000-03</t>
  </si>
  <si>
    <t>고성필</t>
  </si>
  <si>
    <t>CP-750-000-02</t>
  </si>
  <si>
    <t>최혁진</t>
  </si>
  <si>
    <t>금융부문CIO</t>
  </si>
  <si>
    <t>CP-750-000-01</t>
  </si>
  <si>
    <t>김재동</t>
  </si>
  <si>
    <t>에이스투자금융</t>
  </si>
  <si>
    <t>PS-490-000-04</t>
  </si>
  <si>
    <t>엄지현</t>
  </si>
  <si>
    <t>수밸류</t>
  </si>
  <si>
    <t>PS-390-000-01</t>
  </si>
  <si>
    <t>김상수</t>
  </si>
  <si>
    <t>MN-522-000-02</t>
  </si>
  <si>
    <t>김형호</t>
  </si>
  <si>
    <t>MN-522-000-03</t>
  </si>
  <si>
    <t>노규철</t>
  </si>
  <si>
    <t>MN-522-000-01</t>
  </si>
  <si>
    <t>안혜현</t>
  </si>
  <si>
    <t>스팍스자산운용</t>
  </si>
  <si>
    <t>MN-246-000-02</t>
  </si>
  <si>
    <t>김한준</t>
  </si>
  <si>
    <t>TR-000-103-66</t>
  </si>
  <si>
    <t>남기웅</t>
  </si>
  <si>
    <t>TR-000-103-04</t>
  </si>
  <si>
    <t>김선영</t>
  </si>
  <si>
    <t>예금대체투자과</t>
  </si>
  <si>
    <t>TR-000-112-06</t>
  </si>
  <si>
    <t>김귀호</t>
  </si>
  <si>
    <t>이종현</t>
  </si>
  <si>
    <t>TR-000-112-05</t>
  </si>
  <si>
    <t>이유미</t>
  </si>
  <si>
    <t>TR-000-112-08</t>
  </si>
  <si>
    <t>TR-000-112-07</t>
  </si>
  <si>
    <t>정의라</t>
  </si>
  <si>
    <t>예금자금과</t>
  </si>
  <si>
    <t>TR-000-112-03</t>
  </si>
  <si>
    <t>TR-000-105-50</t>
  </si>
  <si>
    <t>권혁용</t>
  </si>
  <si>
    <t>TR-000-100-21</t>
  </si>
  <si>
    <t>진봉준</t>
  </si>
  <si>
    <t>TR-000-112-01</t>
  </si>
  <si>
    <t>TR-000-104-35</t>
  </si>
  <si>
    <t>김상훈</t>
  </si>
  <si>
    <t>TR-000-104-32</t>
  </si>
  <si>
    <t>이정희</t>
  </si>
  <si>
    <t>TR-000-100-92</t>
  </si>
  <si>
    <t>강인국</t>
  </si>
  <si>
    <t>예금증권운용과</t>
  </si>
  <si>
    <t>TR-000-112-02</t>
  </si>
  <si>
    <t>김성윤</t>
  </si>
  <si>
    <t>TR-000-103-72</t>
  </si>
  <si>
    <t>김정민</t>
  </si>
  <si>
    <t>TR-000-101-18</t>
  </si>
  <si>
    <t>황태연</t>
  </si>
  <si>
    <t>TR-000-104-34</t>
  </si>
  <si>
    <t>TR-000-104-01</t>
  </si>
  <si>
    <t>김은아</t>
  </si>
  <si>
    <t>TR-000-103-75</t>
  </si>
  <si>
    <t>전광판(김성윤주사관리)</t>
  </si>
  <si>
    <t>TR-000-102-21</t>
  </si>
  <si>
    <t>이돈춘</t>
  </si>
  <si>
    <t>TR-000-102-23</t>
  </si>
  <si>
    <t>김진민</t>
  </si>
  <si>
    <t>TR-000-102-22</t>
  </si>
  <si>
    <t>이한우</t>
  </si>
  <si>
    <t>TR-000-100-15</t>
  </si>
  <si>
    <t>TR-000-100-24</t>
  </si>
  <si>
    <t>조지혜</t>
  </si>
  <si>
    <t>TR-000-101-38</t>
  </si>
  <si>
    <t>하미숙</t>
  </si>
  <si>
    <t>TR-000-100-12</t>
  </si>
  <si>
    <t>정만용</t>
  </si>
  <si>
    <t>TR-000-005-13</t>
  </si>
  <si>
    <t>황재상</t>
  </si>
  <si>
    <t>TR-000-100-23</t>
  </si>
  <si>
    <t>황재성</t>
  </si>
  <si>
    <t>TR-000-002-92</t>
  </si>
  <si>
    <t>이해창</t>
  </si>
  <si>
    <t>TR-000-102-27</t>
  </si>
  <si>
    <t>정철중</t>
  </si>
  <si>
    <t>보험리스크팀</t>
  </si>
  <si>
    <t>보험위험관리팀</t>
  </si>
  <si>
    <t>TR-000-104-80</t>
  </si>
  <si>
    <t>김상욱</t>
  </si>
  <si>
    <t>예금자금운용과</t>
  </si>
  <si>
    <t>TR-000-105-94</t>
  </si>
  <si>
    <t>송정욱</t>
  </si>
  <si>
    <t>단장실</t>
  </si>
  <si>
    <t>TR-000-104-94</t>
  </si>
  <si>
    <t>정진용</t>
  </si>
  <si>
    <t>금융총괄과(504호)</t>
  </si>
  <si>
    <t>TR-000-112-04</t>
  </si>
  <si>
    <t>박해숙</t>
  </si>
  <si>
    <t>TR-000-002-04</t>
  </si>
  <si>
    <t>윤승남</t>
  </si>
  <si>
    <t>김성주</t>
  </si>
  <si>
    <t>CP-000-552-06</t>
  </si>
  <si>
    <t>Daniel Seok</t>
  </si>
  <si>
    <t>CP-000-551-01</t>
  </si>
  <si>
    <t>Kevin Shen</t>
  </si>
  <si>
    <t>이동진</t>
  </si>
  <si>
    <t>이경재</t>
  </si>
  <si>
    <t>이동욱</t>
  </si>
  <si>
    <t>김진우</t>
  </si>
  <si>
    <t>디와이인베스트먼트</t>
  </si>
  <si>
    <t>CP-541-000-01</t>
  </si>
  <si>
    <t>IT운영팀</t>
  </si>
  <si>
    <t>CP-325-027-01</t>
  </si>
  <si>
    <t>이정영</t>
  </si>
  <si>
    <t>기관영업본부</t>
  </si>
  <si>
    <t>CP-325-010-11</t>
  </si>
  <si>
    <t>이창근</t>
  </si>
  <si>
    <t>CP-325-010-32</t>
  </si>
  <si>
    <t>김미화</t>
  </si>
  <si>
    <t>CP-325-010-31</t>
  </si>
  <si>
    <t>김봉철</t>
  </si>
  <si>
    <t>CP-325-010-24</t>
  </si>
  <si>
    <t>한솔</t>
  </si>
  <si>
    <t>CP-325-010-23</t>
  </si>
  <si>
    <t>CP-325-010-22</t>
  </si>
  <si>
    <t>김한솔</t>
  </si>
  <si>
    <t>CP-325-010-21</t>
  </si>
  <si>
    <t>CP-325-010-17</t>
  </si>
  <si>
    <t>이근</t>
  </si>
  <si>
    <t>CP-325-010-15</t>
  </si>
  <si>
    <t>김재환</t>
  </si>
  <si>
    <t>CP-325-036-02</t>
  </si>
  <si>
    <t>장혁수</t>
  </si>
  <si>
    <t>CP-325-036-01</t>
  </si>
  <si>
    <t>최유진</t>
  </si>
  <si>
    <t>기업분석1팀</t>
  </si>
  <si>
    <t>CP-325-010-08</t>
  </si>
  <si>
    <t>조선경</t>
  </si>
  <si>
    <t>법인영업센터</t>
  </si>
  <si>
    <t>CP-325-010-01</t>
  </si>
  <si>
    <t>류재상(비상주문)</t>
  </si>
  <si>
    <t>CP-321-000-07</t>
  </si>
  <si>
    <t>최진혁</t>
  </si>
  <si>
    <t>CP-321-000-06</t>
  </si>
  <si>
    <t>박대업</t>
  </si>
  <si>
    <t>CP-321-000-05</t>
  </si>
  <si>
    <t>유승태</t>
  </si>
  <si>
    <t>CP-321-000-04</t>
  </si>
  <si>
    <t>정원석</t>
  </si>
  <si>
    <t>주식/금융공합운용본부</t>
  </si>
  <si>
    <t>CP-322-000-03</t>
  </si>
  <si>
    <t>김성수</t>
  </si>
  <si>
    <t>CP-322-000-01</t>
  </si>
  <si>
    <t>김홍곤</t>
  </si>
  <si>
    <t>파인아시아자산운용</t>
  </si>
  <si>
    <t>CP-546-000-02</t>
  </si>
  <si>
    <t>한재영</t>
  </si>
  <si>
    <t>CP-546-000-01</t>
  </si>
  <si>
    <t>조영우</t>
  </si>
  <si>
    <t>칸서스자산운용</t>
  </si>
  <si>
    <t>CP-531-000-04</t>
  </si>
  <si>
    <t>안진규</t>
  </si>
  <si>
    <t>아이비케이자산운용</t>
  </si>
  <si>
    <t>채권본부</t>
  </si>
  <si>
    <t>CP-534-000-20</t>
  </si>
  <si>
    <t>주식본부</t>
  </si>
  <si>
    <t>CP-534-000-18</t>
  </si>
  <si>
    <t>트레이딩실</t>
  </si>
  <si>
    <t>CP-534-000-17</t>
  </si>
  <si>
    <t>변희란</t>
  </si>
  <si>
    <t>CP-534-000-16</t>
  </si>
  <si>
    <t>배윤준</t>
  </si>
  <si>
    <t>CP-534-000-19</t>
  </si>
  <si>
    <t>송혜규</t>
  </si>
  <si>
    <t>AI운용본부</t>
  </si>
  <si>
    <t>글로벌퀀트본부</t>
  </si>
  <si>
    <t>CP-534-000-15</t>
  </si>
  <si>
    <t>신준형</t>
  </si>
  <si>
    <t>CP-534-000-14</t>
  </si>
  <si>
    <t>최태이</t>
  </si>
  <si>
    <t>CP-534-000-13</t>
  </si>
  <si>
    <t>박기범</t>
  </si>
  <si>
    <t>리스크관리본부</t>
  </si>
  <si>
    <t>CP-534-000-12</t>
  </si>
  <si>
    <t>박현희</t>
  </si>
  <si>
    <t>CP-534-000-08</t>
  </si>
  <si>
    <t>신동걸</t>
  </si>
  <si>
    <t>CP-534-000-07</t>
  </si>
  <si>
    <t>김현태</t>
  </si>
  <si>
    <t>CP-534-000-06</t>
  </si>
  <si>
    <t>이희정</t>
  </si>
  <si>
    <t>CP-534-000-05</t>
  </si>
  <si>
    <t>라병철</t>
  </si>
  <si>
    <t>CP-534-000-03</t>
  </si>
  <si>
    <t>유지영</t>
  </si>
  <si>
    <t>재무관리부</t>
  </si>
  <si>
    <t>블랙록인베스트먼트</t>
  </si>
  <si>
    <t>CP-590-000-01</t>
  </si>
  <si>
    <t>김대형</t>
  </si>
  <si>
    <t>알파에셋자산운용</t>
  </si>
  <si>
    <t>CP-508-000-05</t>
  </si>
  <si>
    <t>이창배</t>
  </si>
  <si>
    <t>CP-508-000-04</t>
  </si>
  <si>
    <t>장여선</t>
  </si>
  <si>
    <t>CP-508-000-03</t>
  </si>
  <si>
    <t>CP-508-000-02</t>
  </si>
  <si>
    <t>김정국</t>
  </si>
  <si>
    <t>디더블유에스자산운용</t>
  </si>
  <si>
    <t>CP-480-000-08</t>
  </si>
  <si>
    <t>윤문희</t>
  </si>
  <si>
    <t>CP-480-000-06</t>
  </si>
  <si>
    <t>김동영</t>
  </si>
  <si>
    <t>CP-480-000-04</t>
  </si>
  <si>
    <t>이정원</t>
  </si>
  <si>
    <t>신한아이타스</t>
  </si>
  <si>
    <t>펀드회계팀</t>
  </si>
  <si>
    <t>CP-449-000-02</t>
  </si>
  <si>
    <t>박주성</t>
  </si>
  <si>
    <t>CP-449-000-01</t>
  </si>
  <si>
    <t>홍수민</t>
  </si>
  <si>
    <t>이승엽</t>
  </si>
  <si>
    <t>김재홍</t>
  </si>
  <si>
    <t>이동훈</t>
  </si>
  <si>
    <t>케이아이디비자금중개</t>
  </si>
  <si>
    <t>호가모니터링용</t>
  </si>
  <si>
    <t>CP-435-000-11</t>
  </si>
  <si>
    <t>김대곤</t>
  </si>
  <si>
    <t>TR-000-004-10</t>
  </si>
  <si>
    <t>장용윤</t>
  </si>
  <si>
    <t>CP-435-000-16</t>
  </si>
  <si>
    <t>김지훈</t>
  </si>
  <si>
    <t>CP-435-000-15</t>
  </si>
  <si>
    <t>최민정</t>
  </si>
  <si>
    <t>CP-435-000-14</t>
  </si>
  <si>
    <t>홍근용</t>
  </si>
  <si>
    <t>CP-435-000-13</t>
  </si>
  <si>
    <t>KIDB윤경락</t>
  </si>
  <si>
    <t>CP-435-000-12</t>
  </si>
  <si>
    <t>TR-000-001-82</t>
  </si>
  <si>
    <t>정수용</t>
  </si>
  <si>
    <t>CP-435-000-10</t>
  </si>
  <si>
    <t>박세진</t>
  </si>
  <si>
    <t>결제팀</t>
  </si>
  <si>
    <t>CP-435-000-01</t>
  </si>
  <si>
    <t>김하은</t>
  </si>
  <si>
    <t>플러스자산운용</t>
  </si>
  <si>
    <t>CP-427-000-01</t>
  </si>
  <si>
    <t>김상민</t>
  </si>
  <si>
    <t>최윤정</t>
  </si>
  <si>
    <t>CP-325-000-10</t>
  </si>
  <si>
    <t>김용범</t>
  </si>
  <si>
    <t>IR팀</t>
  </si>
  <si>
    <t>김경원</t>
  </si>
  <si>
    <t>바로투자자문</t>
  </si>
  <si>
    <t>CP-290-000-03</t>
  </si>
  <si>
    <t>백병목</t>
  </si>
  <si>
    <t>흥국자산운용</t>
  </si>
  <si>
    <t>CP-282-000-03</t>
  </si>
  <si>
    <t>이은선</t>
  </si>
  <si>
    <t>임원실</t>
  </si>
  <si>
    <t>CP-228-000-17</t>
  </si>
  <si>
    <t>이상요</t>
  </si>
  <si>
    <t>CP-228-000-15</t>
  </si>
  <si>
    <t>양석원</t>
  </si>
  <si>
    <t>CP-228-000-16</t>
  </si>
  <si>
    <t>김지상</t>
  </si>
  <si>
    <t>CP-228-000-01</t>
  </si>
  <si>
    <t>박정환</t>
  </si>
  <si>
    <t>CP-228-000-10</t>
  </si>
  <si>
    <t>김종완</t>
  </si>
  <si>
    <t>CP-228-000-09</t>
  </si>
  <si>
    <t>오남훈</t>
  </si>
  <si>
    <t>CP-228-000-07</t>
  </si>
  <si>
    <t>홍성철</t>
  </si>
  <si>
    <t>CP-228-000-06</t>
  </si>
  <si>
    <t>신진호</t>
  </si>
  <si>
    <t>CP-228-000-04</t>
  </si>
  <si>
    <t>노기호</t>
  </si>
  <si>
    <t>채권시장부 영업1팀</t>
  </si>
  <si>
    <t>CP-226-000-03</t>
  </si>
  <si>
    <t>양소영</t>
  </si>
  <si>
    <t>CP-226-000-02</t>
  </si>
  <si>
    <t>임지은</t>
  </si>
  <si>
    <t>퀸트운용본부</t>
  </si>
  <si>
    <t>CP-165-001-02</t>
  </si>
  <si>
    <t>이재권</t>
  </si>
  <si>
    <t>CP-165-001-01</t>
  </si>
  <si>
    <t>김병걸</t>
  </si>
  <si>
    <t>TR-000-000-39</t>
  </si>
  <si>
    <t>박주호</t>
  </si>
  <si>
    <t>CP-165-000-07</t>
  </si>
  <si>
    <t>최재영</t>
  </si>
  <si>
    <t>CP-165-000-03</t>
  </si>
  <si>
    <t>매매팀</t>
  </si>
  <si>
    <t>CP-101-000-32</t>
  </si>
  <si>
    <t>김진영</t>
  </si>
  <si>
    <t>채권운용본부2팀</t>
  </si>
  <si>
    <t>CP-101-000-31</t>
  </si>
  <si>
    <t>서은영</t>
  </si>
  <si>
    <t>CP-101-000-29</t>
  </si>
  <si>
    <t>최영철</t>
  </si>
  <si>
    <t>CP-101-000-28</t>
  </si>
  <si>
    <t>김내혁</t>
  </si>
  <si>
    <t>CP-101-000-27</t>
  </si>
  <si>
    <t>CP-101-000-25</t>
  </si>
  <si>
    <t>이양병</t>
  </si>
  <si>
    <t>CP-101-000-24</t>
  </si>
  <si>
    <t>CP-101-000-23</t>
  </si>
  <si>
    <t>한규민</t>
  </si>
  <si>
    <t>CP-101-000-21</t>
  </si>
  <si>
    <t>현혜정</t>
  </si>
  <si>
    <t>CP-101-000-18</t>
  </si>
  <si>
    <t>조상현</t>
  </si>
  <si>
    <t>주식운용AI본부</t>
  </si>
  <si>
    <t>CP-101-000-17</t>
  </si>
  <si>
    <t>CP-101-000-16</t>
  </si>
  <si>
    <t>김숙경</t>
  </si>
  <si>
    <t>CP-101-000-15</t>
  </si>
  <si>
    <t>황성택</t>
  </si>
  <si>
    <t>CP-101-000-13</t>
  </si>
  <si>
    <t>김진성</t>
  </si>
  <si>
    <t>CP-101-000-09</t>
  </si>
  <si>
    <t>강현종</t>
  </si>
  <si>
    <t>CP-101-000-14</t>
  </si>
  <si>
    <t>오화영</t>
  </si>
  <si>
    <t>CP-101-000-11</t>
  </si>
  <si>
    <t>CP-101-000-06</t>
  </si>
  <si>
    <t>CP-101-000-05</t>
  </si>
  <si>
    <t>에이아이에이생명보험(주)</t>
  </si>
  <si>
    <t>CP-710-000-03</t>
  </si>
  <si>
    <t>서덕식</t>
  </si>
  <si>
    <t>CP-710-000-02</t>
  </si>
  <si>
    <t>김미승</t>
  </si>
  <si>
    <t>CP-710-000-01</t>
  </si>
  <si>
    <t>조승우</t>
  </si>
  <si>
    <t>코레이트자산운용</t>
  </si>
  <si>
    <t>대안투자본부</t>
  </si>
  <si>
    <t>준법감시인</t>
  </si>
  <si>
    <t>CP-079-000-09</t>
  </si>
  <si>
    <t>송태종</t>
  </si>
  <si>
    <t>CP-079-000-15</t>
  </si>
  <si>
    <t>곽현주</t>
  </si>
  <si>
    <t>CP-079-000-02</t>
  </si>
  <si>
    <t>최예열</t>
  </si>
  <si>
    <t>마켓전략실</t>
  </si>
  <si>
    <t>MN-585-000-01</t>
  </si>
  <si>
    <t>공동락</t>
  </si>
  <si>
    <t>백업센터</t>
  </si>
  <si>
    <t>MN-926-021-12</t>
  </si>
  <si>
    <t>MN-926-022-01</t>
  </si>
  <si>
    <t>최상현</t>
  </si>
  <si>
    <t>MN-926-022-02</t>
  </si>
  <si>
    <t>채수미</t>
  </si>
  <si>
    <t>MN-926-021-07</t>
  </si>
  <si>
    <t>류숙연</t>
  </si>
  <si>
    <t>MN-926-021-10</t>
  </si>
  <si>
    <t>조선정</t>
  </si>
  <si>
    <t>MN-926-021-08</t>
  </si>
  <si>
    <t>유지이</t>
  </si>
  <si>
    <t>MN-926-021-05</t>
  </si>
  <si>
    <t>김남선</t>
  </si>
  <si>
    <t>MN-926-021-02</t>
  </si>
  <si>
    <t>박장호</t>
  </si>
  <si>
    <t>마케팅부</t>
  </si>
  <si>
    <t>전산실</t>
  </si>
  <si>
    <t>공용</t>
  </si>
  <si>
    <t>김지현</t>
  </si>
  <si>
    <t>에이티넘파트너스</t>
  </si>
  <si>
    <t>TR-000-102-34</t>
  </si>
  <si>
    <t>신승훈</t>
  </si>
  <si>
    <t>한국신용평가</t>
  </si>
  <si>
    <t>IS팀</t>
  </si>
  <si>
    <t>평가조정실</t>
  </si>
  <si>
    <t>MN-917-000-01</t>
  </si>
  <si>
    <t>오한나</t>
  </si>
  <si>
    <t>푸르덴셜생명보험</t>
  </si>
  <si>
    <t>IN-120-001-01</t>
  </si>
  <si>
    <t>구세영</t>
  </si>
  <si>
    <t>IN-902-002-02</t>
  </si>
  <si>
    <t>윤정섭</t>
  </si>
  <si>
    <t>IN-902-001-20</t>
  </si>
  <si>
    <t>김재훈</t>
  </si>
  <si>
    <t>IN-902-001-19</t>
  </si>
  <si>
    <t>박민준</t>
  </si>
  <si>
    <t>이상희</t>
  </si>
  <si>
    <t>전무실</t>
  </si>
  <si>
    <t>IN-902-001-15</t>
  </si>
  <si>
    <t>이득영</t>
  </si>
  <si>
    <t>IN-902-001-13</t>
  </si>
  <si>
    <t>이영수</t>
  </si>
  <si>
    <t>IN-902-001-12</t>
  </si>
  <si>
    <t>김기령</t>
  </si>
  <si>
    <t>IN-902-001-11</t>
  </si>
  <si>
    <t>유도현</t>
  </si>
  <si>
    <t>IN-902-001-10</t>
  </si>
  <si>
    <t>최준홍</t>
  </si>
  <si>
    <t>IN-902-001-09</t>
  </si>
  <si>
    <t>양진희</t>
  </si>
  <si>
    <t>IN-902-001-08</t>
  </si>
  <si>
    <t>이정민</t>
  </si>
  <si>
    <t>IN-902-001-07</t>
  </si>
  <si>
    <t>김대성</t>
  </si>
  <si>
    <t>IN-902-001-06</t>
  </si>
  <si>
    <t>최두영</t>
  </si>
  <si>
    <t>IN-902-001-03</t>
  </si>
  <si>
    <t>최석윤</t>
  </si>
  <si>
    <t>재무기획팀</t>
  </si>
  <si>
    <t>부사장실</t>
  </si>
  <si>
    <t>IN-111-003-09</t>
  </si>
  <si>
    <t>정경수</t>
  </si>
  <si>
    <t>재무심사팀</t>
  </si>
  <si>
    <t>IN-111-003-08</t>
  </si>
  <si>
    <t>김지완</t>
  </si>
  <si>
    <t>투자지원팀</t>
  </si>
  <si>
    <t>IN-111-003-03</t>
  </si>
  <si>
    <t>전은정</t>
  </si>
  <si>
    <t>IN-111-006-05</t>
  </si>
  <si>
    <t>박준수</t>
  </si>
  <si>
    <t>IN-111-006-04</t>
  </si>
  <si>
    <t>허 장</t>
  </si>
  <si>
    <t>엠지손해보험</t>
  </si>
  <si>
    <t>IN-109-001-04</t>
  </si>
  <si>
    <t>이재덕</t>
  </si>
  <si>
    <t>IN-109-001-02</t>
  </si>
  <si>
    <t>이은진</t>
  </si>
  <si>
    <t>SC-134-010-15</t>
  </si>
  <si>
    <t>유우정</t>
  </si>
  <si>
    <t>SC-134-010-14</t>
  </si>
  <si>
    <t>김건</t>
  </si>
  <si>
    <t>SC-134-010-11</t>
  </si>
  <si>
    <t>박지완</t>
  </si>
  <si>
    <t>채권상품팀</t>
  </si>
  <si>
    <t>SC-134-017-02</t>
  </si>
  <si>
    <t>은소라</t>
  </si>
  <si>
    <t>SC-134-017-01</t>
  </si>
  <si>
    <t>박성훈</t>
  </si>
  <si>
    <t>SC-134-005-11</t>
  </si>
  <si>
    <t>윤지민</t>
  </si>
  <si>
    <t>SC-134-011-10</t>
  </si>
  <si>
    <t>장솔대</t>
  </si>
  <si>
    <t>SC-134-005-08</t>
  </si>
  <si>
    <t>김지원</t>
  </si>
  <si>
    <t>채권투자팀(채권사업본부장)</t>
  </si>
  <si>
    <t>SC-134-006-02</t>
  </si>
  <si>
    <t>박준성</t>
  </si>
  <si>
    <t>SC-134-001-03</t>
  </si>
  <si>
    <t>오유경</t>
  </si>
  <si>
    <t>시장자산운용부</t>
  </si>
  <si>
    <t>IN-108-001-04</t>
  </si>
  <si>
    <t>한승철</t>
  </si>
  <si>
    <t>일반계정운용팀</t>
  </si>
  <si>
    <t>TR-000-103-39</t>
  </si>
  <si>
    <t>조윤호</t>
  </si>
  <si>
    <t>자산운용기획부</t>
  </si>
  <si>
    <t>IN-108-001-07</t>
  </si>
  <si>
    <t>김남수</t>
  </si>
  <si>
    <t>퇴직연금운용팀</t>
  </si>
  <si>
    <t>TR-000-004-09</t>
  </si>
  <si>
    <t>윤태일</t>
  </si>
  <si>
    <t>IN-108-001-03</t>
  </si>
  <si>
    <t>심용섭</t>
  </si>
  <si>
    <t>흥국화재해상보험</t>
  </si>
  <si>
    <t>IN-107-002-12</t>
  </si>
  <si>
    <t>김형건</t>
  </si>
  <si>
    <t>IN-107-002-11</t>
  </si>
  <si>
    <t>황상호</t>
  </si>
  <si>
    <t>투자심사관리팀</t>
  </si>
  <si>
    <t>IN-107-002-03</t>
  </si>
  <si>
    <t>송성호</t>
  </si>
  <si>
    <t>IN-104-001-09</t>
  </si>
  <si>
    <t>이장환</t>
  </si>
  <si>
    <t>IN-104-001-06</t>
  </si>
  <si>
    <t>이소라</t>
  </si>
  <si>
    <t>IN-104-001-05</t>
  </si>
  <si>
    <t>재무기획부 재무지원팀</t>
  </si>
  <si>
    <t>IN-103-001-07</t>
  </si>
  <si>
    <t>이지연</t>
  </si>
  <si>
    <t>재무기획부 재무기획팀</t>
  </si>
  <si>
    <t>IN-103-001-03</t>
  </si>
  <si>
    <t>이정규</t>
  </si>
  <si>
    <t>투자심사부</t>
  </si>
  <si>
    <t>재무기획부 수익증권팀</t>
  </si>
  <si>
    <t>IN-103-001-06</t>
  </si>
  <si>
    <t>IN-103-003-01</t>
  </si>
  <si>
    <t>김석중</t>
  </si>
  <si>
    <t>투자금융부 특별계정운용팀</t>
  </si>
  <si>
    <t>IN-103-002-02</t>
  </si>
  <si>
    <t>재무기획부</t>
  </si>
  <si>
    <t>IN-103-001-08</t>
  </si>
  <si>
    <t>황인관</t>
  </si>
  <si>
    <t>투자금융부 퇴직연금운용팀</t>
  </si>
  <si>
    <t>IN-103-001-05</t>
  </si>
  <si>
    <t>최진주</t>
  </si>
  <si>
    <t>투자금융부 일반계정운용팀</t>
  </si>
  <si>
    <t>IN-103-001-02</t>
  </si>
  <si>
    <t>정진호</t>
  </si>
  <si>
    <t>메리츠자산운용</t>
  </si>
  <si>
    <t>LT운용팀</t>
  </si>
  <si>
    <t>MN-101-000-15</t>
  </si>
  <si>
    <t>MN-101-000-12</t>
  </si>
  <si>
    <t>김명실</t>
  </si>
  <si>
    <t>AI운용팀</t>
  </si>
  <si>
    <t>MN-101-000-13</t>
  </si>
  <si>
    <t>송진하</t>
  </si>
  <si>
    <t>메리츠화재해상보험</t>
  </si>
  <si>
    <t>IN-102-001-24</t>
  </si>
  <si>
    <t>강병하</t>
  </si>
  <si>
    <t>자산운용기획팀</t>
  </si>
  <si>
    <t>IN-102-001-23</t>
  </si>
  <si>
    <t>김종민</t>
  </si>
  <si>
    <t>IN-102-003-02</t>
  </si>
  <si>
    <t>경영지원실장</t>
  </si>
  <si>
    <t>IN-101-002-23</t>
  </si>
  <si>
    <t>PF전략파트</t>
  </si>
  <si>
    <t>IN-101-002-17</t>
  </si>
  <si>
    <t>원종혁</t>
  </si>
  <si>
    <t>IN-101-002-10</t>
  </si>
  <si>
    <t>안우근</t>
  </si>
  <si>
    <t>특별계정운용파트</t>
  </si>
  <si>
    <t>IN-101-002-06</t>
  </si>
  <si>
    <t>최정원</t>
  </si>
  <si>
    <t>IN-101-002-16</t>
  </si>
  <si>
    <t>한신</t>
  </si>
  <si>
    <t>투자사업부</t>
  </si>
  <si>
    <t>IN-101-002-13</t>
  </si>
  <si>
    <t>박준규</t>
  </si>
  <si>
    <t>IN-101-002-08</t>
  </si>
  <si>
    <t>자산운용본부장</t>
  </si>
  <si>
    <t>IN-101-002-04</t>
  </si>
  <si>
    <t>박인성</t>
  </si>
  <si>
    <t>IN-101-002-20</t>
  </si>
  <si>
    <t>구원석</t>
  </si>
  <si>
    <t>IN-101-002-18</t>
  </si>
  <si>
    <t>김보국</t>
  </si>
  <si>
    <t>재무기획팀장</t>
  </si>
  <si>
    <t>IN-101-002-07</t>
  </si>
  <si>
    <t>백송호</t>
  </si>
  <si>
    <t>IN-101-002-05</t>
  </si>
  <si>
    <t>김춘화</t>
  </si>
  <si>
    <t>IR파트</t>
  </si>
  <si>
    <t>IN-101-005-01</t>
  </si>
  <si>
    <t>이광희</t>
  </si>
  <si>
    <t>아이엔지생명보험(ING생명)</t>
  </si>
  <si>
    <t>투자관리부</t>
  </si>
  <si>
    <t>IN-029-000-01</t>
  </si>
  <si>
    <t>이중용</t>
  </si>
  <si>
    <t>노블리에지원팀신탁파트</t>
  </si>
  <si>
    <t>노블리에지원팀</t>
  </si>
  <si>
    <t>IN-028-009-03</t>
  </si>
  <si>
    <t>유주영</t>
  </si>
  <si>
    <t>국내투자팀</t>
  </si>
  <si>
    <t>IN-028-009-02</t>
  </si>
  <si>
    <t>황정택</t>
  </si>
  <si>
    <t>대체투자사업팀</t>
  </si>
  <si>
    <t>국내대체투자사업팀</t>
  </si>
  <si>
    <t>IN-028-009-01</t>
  </si>
  <si>
    <t>박해운</t>
  </si>
  <si>
    <t>변액상품팀 보증리스크파트</t>
  </si>
  <si>
    <t>IFRS팀</t>
  </si>
  <si>
    <t>IN-028-011-01</t>
  </si>
  <si>
    <t>서영광</t>
  </si>
  <si>
    <t>자산포트폴리오관리팀</t>
  </si>
  <si>
    <t>IN-028-002-18</t>
  </si>
  <si>
    <t>배준호</t>
  </si>
  <si>
    <t>변액자산운영팀</t>
  </si>
  <si>
    <t>TR-000-002-11</t>
  </si>
  <si>
    <t>윤승철</t>
  </si>
  <si>
    <t>IN-028-007-09</t>
  </si>
  <si>
    <t>IN-028-032-07</t>
  </si>
  <si>
    <t>이지윤</t>
  </si>
  <si>
    <t>IN-028-007-13</t>
  </si>
  <si>
    <t>채지식</t>
  </si>
  <si>
    <t>해외투자팀</t>
  </si>
  <si>
    <t>IN-028-007-06</t>
  </si>
  <si>
    <t>고철승</t>
  </si>
  <si>
    <t>IN-028-002-17</t>
  </si>
  <si>
    <t>박호상</t>
  </si>
  <si>
    <t>IN-028-002-13</t>
  </si>
  <si>
    <t>류인철</t>
  </si>
  <si>
    <t>투자자산심사팀</t>
  </si>
  <si>
    <t>IN-028-010-01</t>
  </si>
  <si>
    <t>손진훈</t>
  </si>
  <si>
    <t>IN-028-001-06</t>
  </si>
  <si>
    <t>TR-000-101-50</t>
  </si>
  <si>
    <t>주다희</t>
  </si>
  <si>
    <t>투자자산관리팀</t>
  </si>
  <si>
    <t>TR-000-000-03</t>
  </si>
  <si>
    <t>우성훈</t>
  </si>
  <si>
    <t>IN-028-032-04</t>
  </si>
  <si>
    <t>이청우</t>
  </si>
  <si>
    <t>IN-028-006-02</t>
  </si>
  <si>
    <t>변종희</t>
  </si>
  <si>
    <t>IN-028-002-05</t>
  </si>
  <si>
    <t>김상구</t>
  </si>
  <si>
    <t>자본관리TF팀</t>
  </si>
  <si>
    <t>IN-028-001-10</t>
  </si>
  <si>
    <t>한지현</t>
  </si>
  <si>
    <t>IN-028-001-05</t>
  </si>
  <si>
    <t>김가람</t>
  </si>
  <si>
    <t>IN-028-001-04</t>
  </si>
  <si>
    <t>류용우</t>
  </si>
  <si>
    <t>IN-028-032-06</t>
  </si>
  <si>
    <t>IN-028-002-12</t>
  </si>
  <si>
    <t>김봉준</t>
  </si>
  <si>
    <t>TR-000-104-26</t>
  </si>
  <si>
    <t>김지우</t>
  </si>
  <si>
    <t>IN-028-001-13</t>
  </si>
  <si>
    <t>IN-028-001-12</t>
  </si>
  <si>
    <t>김원태</t>
  </si>
  <si>
    <t>IN-028-007-08</t>
  </si>
  <si>
    <t>이동모</t>
  </si>
  <si>
    <t>IN-028-001-03</t>
  </si>
  <si>
    <t>조성모</t>
  </si>
  <si>
    <t>해외대체투자사업파트</t>
  </si>
  <si>
    <t>IN-028-007-04</t>
  </si>
  <si>
    <t>이서영</t>
  </si>
  <si>
    <t>IN-028-032-05</t>
  </si>
  <si>
    <t>이상호</t>
  </si>
  <si>
    <t>IN-028-032-02</t>
  </si>
  <si>
    <t>장완욱</t>
  </si>
  <si>
    <t>IN-028-007-11</t>
  </si>
  <si>
    <t>강지혜</t>
  </si>
  <si>
    <t>IN-028-007-02</t>
  </si>
  <si>
    <t>권태섭</t>
  </si>
  <si>
    <t>투자사업본부장</t>
  </si>
  <si>
    <t>IN-028-001-11</t>
  </si>
  <si>
    <t>이종태</t>
  </si>
  <si>
    <t>IN-028-007-05</t>
  </si>
  <si>
    <t>감민상</t>
  </si>
  <si>
    <t>IN-028-032-01</t>
  </si>
  <si>
    <t>양윤정</t>
  </si>
  <si>
    <t>TR-000-100-83</t>
  </si>
  <si>
    <t>양경렬</t>
  </si>
  <si>
    <t>IN-028-001-09</t>
  </si>
  <si>
    <t>TR-000-003-12</t>
  </si>
  <si>
    <t>한동일</t>
  </si>
  <si>
    <t>IN-028-007-12</t>
  </si>
  <si>
    <t>김현서</t>
  </si>
  <si>
    <t>자산운용담당</t>
  </si>
  <si>
    <t>IN-028-007-01</t>
  </si>
  <si>
    <t>박봉권</t>
  </si>
  <si>
    <t>IN-028-001-08</t>
  </si>
  <si>
    <t>김성진</t>
  </si>
  <si>
    <t>TR-000-002-68</t>
  </si>
  <si>
    <t>IN-028-002-11</t>
  </si>
  <si>
    <t>탁나리</t>
  </si>
  <si>
    <t>IN-028-002-03</t>
  </si>
  <si>
    <t>IN-028-007-03</t>
  </si>
  <si>
    <t>강문석</t>
  </si>
  <si>
    <t>특별계정파트</t>
  </si>
  <si>
    <t>IN-017-001-04</t>
  </si>
  <si>
    <t>김윤정</t>
  </si>
  <si>
    <t>IN-017-001-02</t>
  </si>
  <si>
    <t>노병현</t>
  </si>
  <si>
    <t>IN-017-001-01</t>
  </si>
  <si>
    <t>이종훈</t>
  </si>
  <si>
    <t>미래에셋생명</t>
  </si>
  <si>
    <t>리스크관리본부 재무RM팀</t>
  </si>
  <si>
    <t>IN-013-001-11</t>
  </si>
  <si>
    <t>최하나</t>
  </si>
  <si>
    <t>연금자산운용팀</t>
  </si>
  <si>
    <t>IN-013-001-12</t>
  </si>
  <si>
    <t>동양생명</t>
  </si>
  <si>
    <t>리스크관리파트</t>
  </si>
  <si>
    <t>IN-012-010-01</t>
  </si>
  <si>
    <t>김부곤</t>
  </si>
  <si>
    <t>메트라이프생명</t>
  </si>
  <si>
    <t>IN-009-001-05</t>
  </si>
  <si>
    <t>김민철</t>
  </si>
  <si>
    <t>IN-009-001-04</t>
  </si>
  <si>
    <t>윤중식</t>
  </si>
  <si>
    <t>IN-009-001-02</t>
  </si>
  <si>
    <t>이은주</t>
  </si>
  <si>
    <t>라이나생명보험</t>
  </si>
  <si>
    <t>IN-040-000-02</t>
  </si>
  <si>
    <t>김성운</t>
  </si>
  <si>
    <t>신한생명보험</t>
  </si>
  <si>
    <t>운용전략부</t>
  </si>
  <si>
    <t>IN-006-001-02</t>
  </si>
  <si>
    <t>이용혁</t>
  </si>
  <si>
    <t>TR-000-102-60</t>
  </si>
  <si>
    <t>전민기</t>
  </si>
  <si>
    <t>투자전략팀(10089893)</t>
  </si>
  <si>
    <t>IN-005-008-02</t>
  </si>
  <si>
    <t>투자전략팀(10088355)</t>
  </si>
  <si>
    <t>IN-005-004-03</t>
  </si>
  <si>
    <t>사공주</t>
  </si>
  <si>
    <t>특별계정사업부</t>
  </si>
  <si>
    <t>퇴직계정운용파트</t>
  </si>
  <si>
    <t>IN-005-005-04</t>
  </si>
  <si>
    <t>진희상</t>
  </si>
  <si>
    <t>법인사업부</t>
  </si>
  <si>
    <t>IN-005-003-08</t>
  </si>
  <si>
    <t>양규석</t>
  </si>
  <si>
    <t>IN-005-002-01</t>
  </si>
  <si>
    <t>유한빈</t>
  </si>
  <si>
    <t>IN-005-006-04</t>
  </si>
  <si>
    <t>김창훈</t>
  </si>
  <si>
    <t>IN-005-006-03</t>
  </si>
  <si>
    <t>IN-005-006-02</t>
  </si>
  <si>
    <t>김동환</t>
  </si>
  <si>
    <t>IN-005-005-02</t>
  </si>
  <si>
    <t>한정헌</t>
  </si>
  <si>
    <t>IN-005-009-01</t>
  </si>
  <si>
    <t>TR-000-100-47</t>
  </si>
  <si>
    <t>이병주</t>
  </si>
  <si>
    <t>IN-004-002-13</t>
  </si>
  <si>
    <t>조동현</t>
  </si>
  <si>
    <t>IN-004-002-07</t>
  </si>
  <si>
    <t>이용우</t>
  </si>
  <si>
    <t>투자지원부</t>
  </si>
  <si>
    <t>재무기획심사팀</t>
  </si>
  <si>
    <t>IN-004-002-11</t>
  </si>
  <si>
    <t>조선화</t>
  </si>
  <si>
    <t>심현보</t>
  </si>
  <si>
    <t>CP-282-000-13</t>
  </si>
  <si>
    <t>이예리</t>
  </si>
  <si>
    <t>IN-004-002-05</t>
  </si>
  <si>
    <t>이철주</t>
  </si>
  <si>
    <t>에이비엘생명</t>
  </si>
  <si>
    <t>변액계정운용팀</t>
  </si>
  <si>
    <t>IN-003-003-01</t>
  </si>
  <si>
    <t>최미영</t>
  </si>
  <si>
    <t>재무회계부</t>
  </si>
  <si>
    <t>IN-003-004-03</t>
  </si>
  <si>
    <t>김강덕</t>
  </si>
  <si>
    <t>자산운용전략부</t>
  </si>
  <si>
    <t>IN-003-004-02</t>
  </si>
  <si>
    <t>정초혜</t>
  </si>
  <si>
    <t>IN-003-004-01</t>
  </si>
  <si>
    <t>홍유진</t>
  </si>
  <si>
    <t>특별계정퇴직파트</t>
  </si>
  <si>
    <t>퇴직계정운용부</t>
  </si>
  <si>
    <t>TR-000-105-09</t>
  </si>
  <si>
    <t>IN-001-008-02</t>
  </si>
  <si>
    <t>신명은</t>
  </si>
  <si>
    <t>IN-001-010-01</t>
  </si>
  <si>
    <t>김강유</t>
  </si>
  <si>
    <t>해외투자부</t>
  </si>
  <si>
    <t>OS운용부</t>
  </si>
  <si>
    <t>IN-001-007-01</t>
  </si>
  <si>
    <t>박태준</t>
  </si>
  <si>
    <t>채권투자부</t>
  </si>
  <si>
    <t>IN-001-005-05</t>
  </si>
  <si>
    <t>오은주</t>
  </si>
  <si>
    <t>특별계정변액파트2</t>
  </si>
  <si>
    <t>특별계정지원부</t>
  </si>
  <si>
    <t>IN-001-003-05</t>
  </si>
  <si>
    <t>최정민</t>
  </si>
  <si>
    <t>특별계정변액파트1</t>
  </si>
  <si>
    <t>변액주식운용부</t>
  </si>
  <si>
    <t>IN-001-003-04</t>
  </si>
  <si>
    <t>최원재</t>
  </si>
  <si>
    <t>IN-001-010-04</t>
  </si>
  <si>
    <t>김성기</t>
  </si>
  <si>
    <t>박병규</t>
  </si>
  <si>
    <t>이사장실</t>
  </si>
  <si>
    <t>MN-406-008-01</t>
  </si>
  <si>
    <t>이중흔</t>
  </si>
  <si>
    <t>상무이사실</t>
  </si>
  <si>
    <t>MN-406-007-01</t>
  </si>
  <si>
    <t>주천술</t>
  </si>
  <si>
    <t>경영관리본부장실</t>
  </si>
  <si>
    <t>MN-406-009-01</t>
  </si>
  <si>
    <t>(공석,일시정지)</t>
  </si>
  <si>
    <t>국내대체팀</t>
  </si>
  <si>
    <t>MN-406-010-01</t>
  </si>
  <si>
    <t>김광연</t>
  </si>
  <si>
    <t>MN-406-002-01</t>
  </si>
  <si>
    <t>박대양</t>
  </si>
  <si>
    <t>MN-406-002-08</t>
  </si>
  <si>
    <t>고숭철</t>
  </si>
  <si>
    <t>MN-406-001-03</t>
  </si>
  <si>
    <t>박선무</t>
  </si>
  <si>
    <t>MN-406-002-06</t>
  </si>
  <si>
    <t>윤승현</t>
  </si>
  <si>
    <t>개발투자팀</t>
  </si>
  <si>
    <t>MN-404-007-01</t>
  </si>
  <si>
    <t>박응한</t>
  </si>
  <si>
    <t>MN-404-005-16</t>
  </si>
  <si>
    <t>정봉기</t>
  </si>
  <si>
    <t>MN-404-005-15</t>
  </si>
  <si>
    <t>김우식</t>
  </si>
  <si>
    <t>MN-404-005-09</t>
  </si>
  <si>
    <t>심동영</t>
  </si>
  <si>
    <t>MN-404-005-01</t>
  </si>
  <si>
    <t>이관주</t>
  </si>
  <si>
    <t>MN-404-003-02</t>
  </si>
  <si>
    <t>김도형</t>
  </si>
  <si>
    <t>MN-404-005-12</t>
  </si>
  <si>
    <t>이진승</t>
  </si>
  <si>
    <t>MN-404-005-11</t>
  </si>
  <si>
    <t>강용익</t>
  </si>
  <si>
    <t>MN-404-005-10</t>
  </si>
  <si>
    <t>김연정</t>
  </si>
  <si>
    <t>MN-404-005-07</t>
  </si>
  <si>
    <t>심윤호</t>
  </si>
  <si>
    <t>MN-404-005-02</t>
  </si>
  <si>
    <t>성은희</t>
  </si>
  <si>
    <t>기업투자팀</t>
  </si>
  <si>
    <t>MN-404-004-04</t>
  </si>
  <si>
    <t>문대성</t>
  </si>
  <si>
    <t>MN-404-004-03</t>
  </si>
  <si>
    <t>박주영</t>
  </si>
  <si>
    <t>MN-404-004-01</t>
  </si>
  <si>
    <t>국민연금공단</t>
  </si>
  <si>
    <t>기금감사부</t>
  </si>
  <si>
    <t>TR-000-000-99</t>
  </si>
  <si>
    <t>채태병</t>
  </si>
  <si>
    <t>감사3팀</t>
  </si>
  <si>
    <t>MN-403-005-01</t>
  </si>
  <si>
    <t>국민연금연구원</t>
  </si>
  <si>
    <t>공용(연구원비용지금)</t>
  </si>
  <si>
    <t>MN-403-004-02</t>
  </si>
  <si>
    <t>태엄철</t>
  </si>
  <si>
    <t>MN-403-001-12</t>
  </si>
  <si>
    <t>주식운용실</t>
  </si>
  <si>
    <t>리서치팀</t>
  </si>
  <si>
    <t>MN-403-006-13</t>
  </si>
  <si>
    <t>이성호</t>
  </si>
  <si>
    <t>패시브투자팀</t>
  </si>
  <si>
    <t>MN-403-001-05</t>
  </si>
  <si>
    <t>손진영</t>
  </si>
  <si>
    <t>해외대체실</t>
  </si>
  <si>
    <t>해외사모팀</t>
  </si>
  <si>
    <t>MN-403-001-17</t>
  </si>
  <si>
    <t>김준근</t>
  </si>
  <si>
    <t>운용전략실</t>
  </si>
  <si>
    <t>책임투자팀</t>
  </si>
  <si>
    <t>MN-403-007-01</t>
  </si>
  <si>
    <t>안세환</t>
  </si>
  <si>
    <t>채권운용실</t>
  </si>
  <si>
    <t>국채투자팀</t>
  </si>
  <si>
    <t>MN-403-006-24</t>
  </si>
  <si>
    <t>양선희</t>
  </si>
  <si>
    <t>MN-403-001-11</t>
  </si>
  <si>
    <t>신호열</t>
  </si>
  <si>
    <t>해외증권실</t>
  </si>
  <si>
    <t>해외주식위탁팀</t>
  </si>
  <si>
    <t>MN-403-006-02</t>
  </si>
  <si>
    <t>채권운용실장</t>
  </si>
  <si>
    <t>MN-403-006-01</t>
  </si>
  <si>
    <t>윤경환</t>
  </si>
  <si>
    <t>TR-000-103-73</t>
  </si>
  <si>
    <t>김성단</t>
  </si>
  <si>
    <t>MN-403-006-30</t>
  </si>
  <si>
    <t>강지훈</t>
  </si>
  <si>
    <t>MN-403-006-29</t>
  </si>
  <si>
    <t>이승진</t>
  </si>
  <si>
    <t>MN-403-006-25</t>
  </si>
  <si>
    <t>신영호</t>
  </si>
  <si>
    <t>MN-403-006-09</t>
  </si>
  <si>
    <t>김병수</t>
  </si>
  <si>
    <t>MN-403-006-35</t>
  </si>
  <si>
    <t>이승근</t>
  </si>
  <si>
    <t>위탁투자팀</t>
  </si>
  <si>
    <t>MN-403-006-14</t>
  </si>
  <si>
    <t>김수연</t>
  </si>
  <si>
    <t>MN-403-006-20</t>
  </si>
  <si>
    <t>김지영</t>
  </si>
  <si>
    <t>MN-403-002-02</t>
  </si>
  <si>
    <t>손승완</t>
  </si>
  <si>
    <t>리스크관리센터</t>
  </si>
  <si>
    <t>증권리스크관리팀</t>
  </si>
  <si>
    <t>MN-403-006-04</t>
  </si>
  <si>
    <t>고영찬</t>
  </si>
  <si>
    <t>MN-403-006-11</t>
  </si>
  <si>
    <t>김민주</t>
  </si>
  <si>
    <t>MN-403-006-12</t>
  </si>
  <si>
    <t>진용재</t>
  </si>
  <si>
    <t>MN-403-006-27</t>
  </si>
  <si>
    <t>주효근</t>
  </si>
  <si>
    <t>MN-403-004-01</t>
  </si>
  <si>
    <t>신승엽</t>
  </si>
  <si>
    <t>MN-403-001-20</t>
  </si>
  <si>
    <t>최지윤</t>
  </si>
  <si>
    <t>MN-403-001-19</t>
  </si>
  <si>
    <t>MN-403-001-14</t>
  </si>
  <si>
    <t>권열현</t>
  </si>
  <si>
    <t>MN-403-001-07</t>
  </si>
  <si>
    <t>유덕상</t>
  </si>
  <si>
    <t>MN-403-006-31</t>
  </si>
  <si>
    <t>김종우</t>
  </si>
  <si>
    <t>MN-403-005-02</t>
  </si>
  <si>
    <t>MN-403-006-39</t>
  </si>
  <si>
    <t>오인범</t>
  </si>
  <si>
    <t>운용지원실</t>
  </si>
  <si>
    <t>기금전산팀</t>
  </si>
  <si>
    <t>MN-403-006-03</t>
  </si>
  <si>
    <t>박일구</t>
  </si>
  <si>
    <t>운용기획부</t>
  </si>
  <si>
    <t>MN-403-001-10</t>
  </si>
  <si>
    <t>김주훈</t>
  </si>
  <si>
    <t>자산관리부</t>
  </si>
  <si>
    <t>MN-403-006-18</t>
  </si>
  <si>
    <t>문정원</t>
  </si>
  <si>
    <t>MN-403-002-01</t>
  </si>
  <si>
    <t>임용택</t>
  </si>
  <si>
    <t>MN-403-001-08</t>
  </si>
  <si>
    <t>오봉렬</t>
  </si>
  <si>
    <t>MN-403-006-23</t>
  </si>
  <si>
    <t>정재영</t>
  </si>
  <si>
    <t>대체투자실</t>
  </si>
  <si>
    <t>MN-403-006-40</t>
  </si>
  <si>
    <t>MN-403-006-38</t>
  </si>
  <si>
    <t>최성재</t>
  </si>
  <si>
    <t>MN-403-006-36</t>
  </si>
  <si>
    <t>강신일</t>
  </si>
  <si>
    <t>MN-403-001-18</t>
  </si>
  <si>
    <t>이지현</t>
  </si>
  <si>
    <t>투자기획팀</t>
  </si>
  <si>
    <t>MN-403-006-37</t>
  </si>
  <si>
    <t>박찬웅</t>
  </si>
  <si>
    <t>MN-403-006-33</t>
  </si>
  <si>
    <t>유성식</t>
  </si>
  <si>
    <t>MN-403-006-10</t>
  </si>
  <si>
    <t>김남의</t>
  </si>
  <si>
    <t>MN-403-006-06</t>
  </si>
  <si>
    <t>김진명</t>
  </si>
  <si>
    <t>MN-403-006-32</t>
  </si>
  <si>
    <t>조성민</t>
  </si>
  <si>
    <t>MN-403-006-16</t>
  </si>
  <si>
    <t>손협</t>
  </si>
  <si>
    <t>MN-403-001-16</t>
  </si>
  <si>
    <t>안지용</t>
  </si>
  <si>
    <t>리스크관리센터장</t>
  </si>
  <si>
    <t>MN-403-001-09</t>
  </si>
  <si>
    <t>박성태</t>
  </si>
  <si>
    <t>MN-403-001-13</t>
  </si>
  <si>
    <t>이창우</t>
  </si>
  <si>
    <t>대체자산관리단</t>
  </si>
  <si>
    <t>대체자산관리단장</t>
  </si>
  <si>
    <t>TR-000-102-91</t>
  </si>
  <si>
    <t>윤영목</t>
  </si>
  <si>
    <t>주식운용실장</t>
  </si>
  <si>
    <t>MN-403-006-07</t>
  </si>
  <si>
    <t>조인식</t>
  </si>
  <si>
    <t>MN-403-006-34</t>
  </si>
  <si>
    <t>김영신</t>
  </si>
  <si>
    <t>MN-403-006-05</t>
  </si>
  <si>
    <t>민정기</t>
  </si>
  <si>
    <t>대체리스크관리팀</t>
  </si>
  <si>
    <t>MN-403-001-21</t>
  </si>
  <si>
    <t>윤순환</t>
  </si>
  <si>
    <t>MN-403-006-26</t>
  </si>
  <si>
    <t>우홍섭</t>
  </si>
  <si>
    <t>성과분석팀</t>
  </si>
  <si>
    <t>MN-403-001-01</t>
  </si>
  <si>
    <t>이윤희</t>
  </si>
  <si>
    <t>실물투자팀</t>
  </si>
  <si>
    <t>MN-403-006-28</t>
  </si>
  <si>
    <t>MN-403-006-22</t>
  </si>
  <si>
    <t>오영수</t>
  </si>
  <si>
    <t>MN-403-001-03</t>
  </si>
  <si>
    <t>이재욱</t>
  </si>
  <si>
    <t>MN-402-002-22</t>
  </si>
  <si>
    <t>김형기</t>
  </si>
  <si>
    <t>김형수</t>
  </si>
  <si>
    <t>MN-402-002-20</t>
  </si>
  <si>
    <t>이인규</t>
  </si>
  <si>
    <t>MN-402-002-11</t>
  </si>
  <si>
    <t>황준하</t>
  </si>
  <si>
    <t>MN-402-002-02</t>
  </si>
  <si>
    <t>이예현</t>
  </si>
  <si>
    <t>MN-402-001-08</t>
  </si>
  <si>
    <t>조경아</t>
  </si>
  <si>
    <t>MN-402-001-07</t>
  </si>
  <si>
    <t>박형배</t>
  </si>
  <si>
    <t>자금운용본부</t>
  </si>
  <si>
    <t>MN-402-008-03</t>
  </si>
  <si>
    <t>서승환</t>
  </si>
  <si>
    <t>MN-402-008-02</t>
  </si>
  <si>
    <t>장현빈</t>
  </si>
  <si>
    <t>MN-402-002-01</t>
  </si>
  <si>
    <t>정영빈</t>
  </si>
  <si>
    <t>MN-402-002-05</t>
  </si>
  <si>
    <t>박문수</t>
  </si>
  <si>
    <t>MN-402-002-04</t>
  </si>
  <si>
    <t>구종칠</t>
  </si>
  <si>
    <t>MN-402-002-18</t>
  </si>
  <si>
    <t>신동현</t>
  </si>
  <si>
    <t>MN-402-002-19</t>
  </si>
  <si>
    <t>이주환</t>
  </si>
  <si>
    <t>MN-402-007-01</t>
  </si>
  <si>
    <t>이창훈</t>
  </si>
  <si>
    <t>MN-402-002-12</t>
  </si>
  <si>
    <t>한창석</t>
  </si>
  <si>
    <t>대체투자팀(해외대체)</t>
  </si>
  <si>
    <t>MN-402-002-14</t>
  </si>
  <si>
    <t>임건우</t>
  </si>
  <si>
    <t>대체투자팀(국내대체)</t>
  </si>
  <si>
    <t>MN-402-002-17</t>
  </si>
  <si>
    <t>안광민</t>
  </si>
  <si>
    <t>MN-402-001-01</t>
  </si>
  <si>
    <t>서원철</t>
  </si>
  <si>
    <t>경영전략기획실</t>
  </si>
  <si>
    <t>MN-401-002-17</t>
  </si>
  <si>
    <t>방종구</t>
  </si>
  <si>
    <t>기업금융부</t>
  </si>
  <si>
    <t>기업금융팀(부장실)</t>
  </si>
  <si>
    <t>MN-401-002-08</t>
  </si>
  <si>
    <t>고재택</t>
  </si>
  <si>
    <t>MN-401-002-16</t>
  </si>
  <si>
    <t>김준성</t>
  </si>
  <si>
    <t>해외금융팀</t>
  </si>
  <si>
    <t>MN-401-001-04</t>
  </si>
  <si>
    <t>강신봉</t>
  </si>
  <si>
    <t>부장실</t>
  </si>
  <si>
    <t>MN-401-002-13</t>
  </si>
  <si>
    <t>김호현</t>
  </si>
  <si>
    <t>MN-401-001-11</t>
  </si>
  <si>
    <t>황인성</t>
  </si>
  <si>
    <t>MN-401-002-14</t>
  </si>
  <si>
    <t>정혜란</t>
  </si>
  <si>
    <t>MN-401-001-07</t>
  </si>
  <si>
    <t>MN-401-001-05</t>
  </si>
  <si>
    <t>박병철</t>
  </si>
  <si>
    <t>TR-000-105-03</t>
  </si>
  <si>
    <t>임경민</t>
  </si>
  <si>
    <t>MN-401-001-01</t>
  </si>
  <si>
    <t>조환철</t>
  </si>
  <si>
    <t>MN-401-002-07</t>
  </si>
  <si>
    <t>유종훈</t>
  </si>
  <si>
    <t>MN-401-002-10</t>
  </si>
  <si>
    <t>황우리</t>
  </si>
  <si>
    <t>MN-401-002-05</t>
  </si>
  <si>
    <t>구대회</t>
  </si>
  <si>
    <t>MN-401-002-04</t>
  </si>
  <si>
    <t>조홍준</t>
  </si>
  <si>
    <t>MN-401-001-06</t>
  </si>
  <si>
    <t>최재용</t>
  </si>
  <si>
    <t>MN-401-002-19</t>
  </si>
  <si>
    <t>조성준</t>
  </si>
  <si>
    <t>MN-401-002-18</t>
  </si>
  <si>
    <t>이혜진</t>
  </si>
  <si>
    <t>MN-401-002-06</t>
  </si>
  <si>
    <t>유대호</t>
  </si>
  <si>
    <t>MN-401-002-01</t>
  </si>
  <si>
    <t>김형옥</t>
  </si>
  <si>
    <t>MN-401-002-15</t>
  </si>
  <si>
    <t>박동현</t>
  </si>
  <si>
    <t>MN-401-002-12</t>
  </si>
  <si>
    <t>문창호</t>
  </si>
  <si>
    <t>MN-401-002-03</t>
  </si>
  <si>
    <t>송태우</t>
  </si>
  <si>
    <t>MN-401-002-02</t>
  </si>
  <si>
    <t>정재훈</t>
  </si>
  <si>
    <t>MN-401-001-03</t>
  </si>
  <si>
    <t>권민철</t>
  </si>
  <si>
    <t>MN-401-001-02</t>
  </si>
  <si>
    <t>이영호</t>
  </si>
  <si>
    <t>CP-374-005-01</t>
  </si>
  <si>
    <t>김미용</t>
  </si>
  <si>
    <t>CP-374-000-09</t>
  </si>
  <si>
    <t>박상준</t>
  </si>
  <si>
    <t>CP-374-000-08</t>
  </si>
  <si>
    <t>강유림</t>
  </si>
  <si>
    <t>TR-000-001-36</t>
  </si>
  <si>
    <t>김두리</t>
  </si>
  <si>
    <t>삼성선물</t>
  </si>
  <si>
    <t>영업팀</t>
  </si>
  <si>
    <t>채권선물팀</t>
  </si>
  <si>
    <t>CP-231-000-07</t>
  </si>
  <si>
    <t>김기현</t>
  </si>
  <si>
    <t>CP-231-000-04</t>
  </si>
  <si>
    <t>이운규</t>
  </si>
  <si>
    <t>리서치센타</t>
  </si>
  <si>
    <t>CP-231-000-01</t>
  </si>
  <si>
    <t>허태오</t>
  </si>
  <si>
    <t>TR-000-001-39</t>
  </si>
  <si>
    <t>이승욱</t>
  </si>
  <si>
    <t>법인영업2팀</t>
  </si>
  <si>
    <t>CP-173-000-01</t>
  </si>
  <si>
    <t>국관석</t>
  </si>
  <si>
    <t>상품운용2팀</t>
  </si>
  <si>
    <t>CP-063-005-01</t>
  </si>
  <si>
    <t>신용보증기금</t>
  </si>
  <si>
    <t>자본시장부</t>
  </si>
  <si>
    <t>MN-930-000-01</t>
  </si>
  <si>
    <t>이행숙</t>
  </si>
  <si>
    <t>(주)리코자산운용</t>
  </si>
  <si>
    <t>MN-240-000-02</t>
  </si>
  <si>
    <t>탁용문</t>
  </si>
  <si>
    <t>라자드코리아자산운용</t>
  </si>
  <si>
    <t>운용부</t>
  </si>
  <si>
    <t>TR-000-105-47</t>
  </si>
  <si>
    <t>김정우</t>
  </si>
  <si>
    <t>TR-000-103-48</t>
  </si>
  <si>
    <t>명재엽</t>
  </si>
  <si>
    <t>TR-000-103-47</t>
  </si>
  <si>
    <t>오예슬</t>
  </si>
  <si>
    <t>MN-420-001-04</t>
  </si>
  <si>
    <t>신정섭</t>
  </si>
  <si>
    <t>MN-941-000-11</t>
  </si>
  <si>
    <t>박진영</t>
  </si>
  <si>
    <t>MN-941-000-10</t>
  </si>
  <si>
    <t>이동환</t>
  </si>
  <si>
    <t>MN-941-000-08</t>
  </si>
  <si>
    <t>박희찬</t>
  </si>
  <si>
    <t>LT자산운용팀</t>
  </si>
  <si>
    <t>MN-941-000-06</t>
  </si>
  <si>
    <t>김재광</t>
  </si>
  <si>
    <t>MN-941-000-02</t>
  </si>
  <si>
    <t>조현선</t>
  </si>
  <si>
    <t>Fidelity Management &amp; Research Company</t>
  </si>
  <si>
    <t>년청구</t>
  </si>
  <si>
    <t>TR-000-105-86</t>
  </si>
  <si>
    <t>Kan Wong</t>
  </si>
  <si>
    <t>DRC OP Room</t>
  </si>
  <si>
    <t>DR센터</t>
  </si>
  <si>
    <t>TR-000-003-20</t>
  </si>
  <si>
    <t>김성훈</t>
  </si>
  <si>
    <t>MN-953-000-32</t>
  </si>
  <si>
    <t>우윤철</t>
  </si>
  <si>
    <t>주식리서치본부</t>
  </si>
  <si>
    <t>MN-953-000-30</t>
  </si>
  <si>
    <t>MN-953-000-27</t>
  </si>
  <si>
    <t>이도규</t>
  </si>
  <si>
    <t>LDI본부</t>
  </si>
  <si>
    <t>MN-953-000-24</t>
  </si>
  <si>
    <t>이동원</t>
  </si>
  <si>
    <t>MN-953-000-26</t>
  </si>
  <si>
    <t>MN-953-000-23</t>
  </si>
  <si>
    <t>서지혜</t>
  </si>
  <si>
    <t>MN-953-000-29</t>
  </si>
  <si>
    <t>김유진</t>
  </si>
  <si>
    <t>Fixed Income본부</t>
  </si>
  <si>
    <t>MN-953-000-07</t>
  </si>
  <si>
    <t>MN-953-000-02</t>
  </si>
  <si>
    <t>손미지</t>
  </si>
  <si>
    <t>주식2팀</t>
  </si>
  <si>
    <t>MN-953-000-01</t>
  </si>
  <si>
    <t>정희석</t>
  </si>
  <si>
    <t>AI&amp;OS INV</t>
  </si>
  <si>
    <t>MN-953-000-19</t>
  </si>
  <si>
    <t>MN-953-000-04</t>
  </si>
  <si>
    <t>MN-953-000-06</t>
  </si>
  <si>
    <t>강세진</t>
  </si>
  <si>
    <t>Marketing</t>
  </si>
  <si>
    <t>리테일마케팅본부</t>
  </si>
  <si>
    <t>MN-953-000-05</t>
  </si>
  <si>
    <t>심재요</t>
  </si>
  <si>
    <t>MN-953-000-10</t>
  </si>
  <si>
    <t>김상환</t>
  </si>
  <si>
    <t>Equity</t>
  </si>
  <si>
    <t>딜링본부/주식</t>
  </si>
  <si>
    <t>MN-953-000-31</t>
  </si>
  <si>
    <t>한정원</t>
  </si>
  <si>
    <t>MN-953-000-25</t>
  </si>
  <si>
    <t>정현욱</t>
  </si>
  <si>
    <t>CIO</t>
  </si>
  <si>
    <t>자산운용총괄</t>
  </si>
  <si>
    <t>MN-953-000-16</t>
  </si>
  <si>
    <t>MN-953-000-28</t>
  </si>
  <si>
    <t>박진호</t>
  </si>
  <si>
    <t>MN-953-000-14</t>
  </si>
  <si>
    <t>최재식</t>
  </si>
  <si>
    <t>MN-953-000-22</t>
  </si>
  <si>
    <t>김태운</t>
  </si>
  <si>
    <t>MN-953-000-21</t>
  </si>
  <si>
    <t>윤경애</t>
  </si>
  <si>
    <t>MN-953-000-09</t>
  </si>
  <si>
    <t>AI팀</t>
  </si>
  <si>
    <t>MN-945-010-07</t>
  </si>
  <si>
    <t>박정근</t>
  </si>
  <si>
    <t>MN-945-010-06</t>
  </si>
  <si>
    <t>김흥직</t>
  </si>
  <si>
    <t>MN-945-010-04</t>
  </si>
  <si>
    <t>홍순모</t>
  </si>
  <si>
    <t>MN-945-010-01</t>
  </si>
  <si>
    <t>한희진</t>
  </si>
  <si>
    <t>전산실(장애점검용)</t>
  </si>
  <si>
    <t>IT팀(장애점검용)</t>
  </si>
  <si>
    <t>TR-000-101-83</t>
  </si>
  <si>
    <t>김중원</t>
  </si>
  <si>
    <t>채권매매팀</t>
  </si>
  <si>
    <t>헤지펀드운용2본부</t>
  </si>
  <si>
    <t>MN-923-061-01</t>
  </si>
  <si>
    <t>남주현</t>
  </si>
  <si>
    <t>스타일리서치본부</t>
  </si>
  <si>
    <t>MN-229-060-01</t>
  </si>
  <si>
    <t>나진아</t>
  </si>
  <si>
    <t>컴플라이언스</t>
  </si>
  <si>
    <t>헤지펀드운용1본부 헤지펀드운용팀</t>
  </si>
  <si>
    <t>MN-923-050-01</t>
  </si>
  <si>
    <t>이호년</t>
  </si>
  <si>
    <t>MN-923-000-52</t>
  </si>
  <si>
    <t>김재현</t>
  </si>
  <si>
    <t>index/ETF</t>
  </si>
  <si>
    <t>ETF팀</t>
  </si>
  <si>
    <t>MN-229-000-56</t>
  </si>
  <si>
    <t>김지연</t>
  </si>
  <si>
    <t>MN-229-000-55</t>
  </si>
  <si>
    <t>오동준</t>
  </si>
  <si>
    <t>MN-229-001-02</t>
  </si>
  <si>
    <t>이창헌</t>
  </si>
  <si>
    <t>MN-923-000-54</t>
  </si>
  <si>
    <t>강보미</t>
  </si>
  <si>
    <t>MN-229-000-27</t>
  </si>
  <si>
    <t>김철민</t>
  </si>
  <si>
    <t>MN-229-000-24</t>
  </si>
  <si>
    <t>안현수</t>
  </si>
  <si>
    <t>MN-229-000-23</t>
  </si>
  <si>
    <t>오민석</t>
  </si>
  <si>
    <t>MN-222-000-15</t>
  </si>
  <si>
    <t>서기훈</t>
  </si>
  <si>
    <t>글로벌자산배분</t>
  </si>
  <si>
    <t>자산배분컨설팅본부</t>
  </si>
  <si>
    <t>MN-222-000-22</t>
  </si>
  <si>
    <t>박건형</t>
  </si>
  <si>
    <t>포트폴리오운용본부 금융공학부문</t>
  </si>
  <si>
    <t>MN-923-010-05</t>
  </si>
  <si>
    <t>이상명</t>
  </si>
  <si>
    <t>헤지펀드2본부</t>
  </si>
  <si>
    <t>MN-923-001-02</t>
  </si>
  <si>
    <t>김주형</t>
  </si>
  <si>
    <t>MN-923-000-36</t>
  </si>
  <si>
    <t>서재춘</t>
  </si>
  <si>
    <t>MN-923-020-04</t>
  </si>
  <si>
    <t>MN-923-000-28</t>
  </si>
  <si>
    <t>조민암</t>
  </si>
  <si>
    <t>LS운용본부</t>
  </si>
  <si>
    <t>LS운용팀</t>
  </si>
  <si>
    <t>MN-923-000-05</t>
  </si>
  <si>
    <t>남기현</t>
  </si>
  <si>
    <t>투자전략위원회</t>
  </si>
  <si>
    <t>MN-923-000-24</t>
  </si>
  <si>
    <t>임희진</t>
  </si>
  <si>
    <t>MN-948-000-01</t>
  </si>
  <si>
    <t>정승호</t>
  </si>
  <si>
    <t>금융공학본부</t>
  </si>
  <si>
    <t>MN-923-020-02</t>
  </si>
  <si>
    <t>이준용</t>
  </si>
  <si>
    <t>MN-923-000-58</t>
  </si>
  <si>
    <t>정의현</t>
  </si>
  <si>
    <t>MN-923-000-13</t>
  </si>
  <si>
    <t>오기훈</t>
  </si>
  <si>
    <t>MN-229-000-29</t>
  </si>
  <si>
    <t>정대진</t>
  </si>
  <si>
    <t>헷지펀드운용2팀</t>
  </si>
  <si>
    <t>MN-229-000-26</t>
  </si>
  <si>
    <t>홍성범</t>
  </si>
  <si>
    <t>포트폴리오운용본부</t>
  </si>
  <si>
    <t>퀸트펀드운용팀</t>
  </si>
  <si>
    <t>MN-229-000-03</t>
  </si>
  <si>
    <t>윤병호</t>
  </si>
  <si>
    <t>MN-923-090-02</t>
  </si>
  <si>
    <t>이규상</t>
  </si>
  <si>
    <t>리서치본부</t>
  </si>
  <si>
    <t>섹터리서치</t>
  </si>
  <si>
    <t>MN-923-000-51</t>
  </si>
  <si>
    <t>(공용)홍솔</t>
  </si>
  <si>
    <t>멀티에셋리서치본부</t>
  </si>
  <si>
    <t>MN-923-011-01</t>
  </si>
  <si>
    <t>정재한</t>
  </si>
  <si>
    <t>MN-923-080-01</t>
  </si>
  <si>
    <t>손동식</t>
  </si>
  <si>
    <t>MN-923-030-01</t>
  </si>
  <si>
    <t>김우성</t>
  </si>
  <si>
    <t>플랫폼운용실</t>
  </si>
  <si>
    <t>MN-923-010-10</t>
  </si>
  <si>
    <t>김형우</t>
  </si>
  <si>
    <t>MN-923-000-60</t>
  </si>
  <si>
    <t>이 슬</t>
  </si>
  <si>
    <t>MN-923-000-29</t>
  </si>
  <si>
    <t>MN-923-000-59</t>
  </si>
  <si>
    <t>정한섭</t>
  </si>
  <si>
    <t>스타일리서치</t>
  </si>
  <si>
    <t>MN-923-000-47</t>
  </si>
  <si>
    <t>정원택</t>
  </si>
  <si>
    <t>MN-923-000-43</t>
  </si>
  <si>
    <t>정상현</t>
  </si>
  <si>
    <t>MN-923-000-49</t>
  </si>
  <si>
    <t>송시형</t>
  </si>
  <si>
    <t>Index/ETF</t>
  </si>
  <si>
    <t>MN-923-000-53</t>
  </si>
  <si>
    <t>윤주영</t>
  </si>
  <si>
    <t>MN-923-000-48</t>
  </si>
  <si>
    <t>문일권</t>
  </si>
  <si>
    <t>MN-923-000-44</t>
  </si>
  <si>
    <t>구용덕</t>
  </si>
  <si>
    <t>멀티에셋리서치본부 전략리서치팀</t>
  </si>
  <si>
    <t>MN-923-000-40</t>
  </si>
  <si>
    <t>유의형</t>
  </si>
  <si>
    <t>MN-923-000-39</t>
  </si>
  <si>
    <t>조일웅</t>
  </si>
  <si>
    <t>금융공학본부 글로벌인덱스팀</t>
  </si>
  <si>
    <t>MN-229-000-25</t>
  </si>
  <si>
    <t>김명준</t>
  </si>
  <si>
    <t>해외펀드운용팀</t>
  </si>
  <si>
    <t>MN-222-000-03</t>
  </si>
  <si>
    <t>송진용</t>
  </si>
  <si>
    <t>MN-947-000-33</t>
  </si>
  <si>
    <t>박미라</t>
  </si>
  <si>
    <t>Compliance</t>
  </si>
  <si>
    <t>MN-947-000-52</t>
  </si>
  <si>
    <t>정혜진</t>
  </si>
  <si>
    <t>MN-947-000-44</t>
  </si>
  <si>
    <t>서진기</t>
  </si>
  <si>
    <t>전산실(프로그램버전)(전산실운용비에 포함)</t>
  </si>
  <si>
    <t>MN-947-000-23</t>
  </si>
  <si>
    <t>노현호</t>
  </si>
  <si>
    <t>MN-947-000-34</t>
  </si>
  <si>
    <t>이정아</t>
  </si>
  <si>
    <t>MN-947-000-11</t>
  </si>
  <si>
    <t>김예슬이</t>
  </si>
  <si>
    <t>MN-947-000-38</t>
  </si>
  <si>
    <t>이재유</t>
  </si>
  <si>
    <t>Real Estate/Infrastructure</t>
  </si>
  <si>
    <t>MN-947-000-25</t>
  </si>
  <si>
    <t>김은우</t>
  </si>
  <si>
    <t>MN-947-000-56</t>
  </si>
  <si>
    <t>이연주</t>
  </si>
  <si>
    <t>김형일</t>
  </si>
  <si>
    <t>MN-947-000-48</t>
  </si>
  <si>
    <t>MN-947-000-47</t>
  </si>
  <si>
    <t>정혜승</t>
  </si>
  <si>
    <t>MN-947-000-43</t>
  </si>
  <si>
    <t>sky</t>
  </si>
  <si>
    <t>MN-947-000-42</t>
  </si>
  <si>
    <t>MN-947-000-39</t>
  </si>
  <si>
    <t>하종혁</t>
  </si>
  <si>
    <t>MN-947-000-28</t>
  </si>
  <si>
    <t>김민자</t>
  </si>
  <si>
    <t>MN-947-000-18</t>
  </si>
  <si>
    <t>MN-947-000-53</t>
  </si>
  <si>
    <t>김진희</t>
  </si>
  <si>
    <t>MN-947-000-51</t>
  </si>
  <si>
    <t>박재홍</t>
  </si>
  <si>
    <t>MN-947-000-16</t>
  </si>
  <si>
    <t>서지영</t>
  </si>
  <si>
    <t>리서치운용본부</t>
  </si>
  <si>
    <t>CP-901-000-01</t>
  </si>
  <si>
    <t>김미연</t>
  </si>
  <si>
    <t>헤지펀드팀</t>
  </si>
  <si>
    <t>MN-227-001-04</t>
  </si>
  <si>
    <t>MN-227-001-01</t>
  </si>
  <si>
    <t>윤종원</t>
  </si>
  <si>
    <t>퀸트운용본부 자산배분팀</t>
  </si>
  <si>
    <t>MN-227-000-07</t>
  </si>
  <si>
    <t>로보어드바이저그룹</t>
  </si>
  <si>
    <t>MN-227-000-06</t>
  </si>
  <si>
    <t>정만성</t>
  </si>
  <si>
    <t>퀸트운용본부 퀀트운용팀</t>
  </si>
  <si>
    <t>MN-227-000-04</t>
  </si>
  <si>
    <t>정상민</t>
  </si>
  <si>
    <t>MN-227-002-01</t>
  </si>
  <si>
    <t>김다애</t>
  </si>
  <si>
    <t>MN-227-000-01</t>
  </si>
  <si>
    <t>이주섭</t>
  </si>
  <si>
    <t>Quant운용팀</t>
  </si>
  <si>
    <t>MN-226-010-02</t>
  </si>
  <si>
    <t>박은지</t>
  </si>
  <si>
    <t>Equity본부</t>
  </si>
  <si>
    <t>MN-226-010-01</t>
  </si>
  <si>
    <t>박용명</t>
  </si>
  <si>
    <t>TR-000-009-06</t>
  </si>
  <si>
    <t>옥명국</t>
  </si>
  <si>
    <t>MN-226-012-01</t>
  </si>
  <si>
    <t>김성혜</t>
  </si>
  <si>
    <t>글로벌자산배분팀</t>
  </si>
  <si>
    <t>MN-226-007-01</t>
  </si>
  <si>
    <t>이규원</t>
  </si>
  <si>
    <t>Value운용팀</t>
  </si>
  <si>
    <t>MN-226-008-29</t>
  </si>
  <si>
    <t>MN-226-005-02</t>
  </si>
  <si>
    <t>박혜영</t>
  </si>
  <si>
    <t>프랭클린템플턴투신운용</t>
  </si>
  <si>
    <t>트레이더</t>
  </si>
  <si>
    <t>MN-223-000-06</t>
  </si>
  <si>
    <t>서우주</t>
  </si>
  <si>
    <t>MN-223-001-02</t>
  </si>
  <si>
    <t>강정구</t>
  </si>
  <si>
    <t>MN-223-001-01</t>
  </si>
  <si>
    <t>오호준</t>
  </si>
  <si>
    <t>MN-223-000-03</t>
  </si>
  <si>
    <t>오성식</t>
  </si>
  <si>
    <t>트레이딩팀</t>
  </si>
  <si>
    <t>MN-221-000-08</t>
  </si>
  <si>
    <t>윤지영</t>
  </si>
  <si>
    <t>MN-221-000-04</t>
  </si>
  <si>
    <t>홍은표</t>
  </si>
  <si>
    <t>MN-221-000-02</t>
  </si>
  <si>
    <t>정희경</t>
  </si>
  <si>
    <t>MN-220-000-24</t>
  </si>
  <si>
    <t>맹주현</t>
  </si>
  <si>
    <t>MN-220-000-23</t>
  </si>
  <si>
    <t>이지선</t>
  </si>
  <si>
    <t>MN-220-000-17</t>
  </si>
  <si>
    <t>MN-220-000-16</t>
  </si>
  <si>
    <t>이재선</t>
  </si>
  <si>
    <t>MN-220-000-10</t>
  </si>
  <si>
    <t>김지민</t>
  </si>
  <si>
    <t>리스크본부</t>
  </si>
  <si>
    <t>MN-218-004-01</t>
  </si>
  <si>
    <t>기경숙</t>
  </si>
  <si>
    <t>IN-029-000-02</t>
  </si>
  <si>
    <t>TR-000-103-61</t>
  </si>
  <si>
    <t>이응준</t>
  </si>
  <si>
    <t>MN-218-000-18</t>
  </si>
  <si>
    <t>고재욱</t>
  </si>
  <si>
    <t>MN-218-000-26</t>
  </si>
  <si>
    <t>김진선</t>
  </si>
  <si>
    <t>MN-002-003-03</t>
  </si>
  <si>
    <t>김혜리</t>
  </si>
  <si>
    <t>TR-000-002-24</t>
  </si>
  <si>
    <t>MN-218-000-10</t>
  </si>
  <si>
    <t>MN-218-000-13</t>
  </si>
  <si>
    <t>김연경</t>
  </si>
  <si>
    <t>TR-000-003-30</t>
  </si>
  <si>
    <t>김영준</t>
  </si>
  <si>
    <t>TR-000-101-04</t>
  </si>
  <si>
    <t>구정연</t>
  </si>
  <si>
    <t>MN-218-000-24</t>
  </si>
  <si>
    <t>정성엽</t>
  </si>
  <si>
    <t>TR-000-003-34</t>
  </si>
  <si>
    <t>박병호</t>
  </si>
  <si>
    <t>MN-218-000-27</t>
  </si>
  <si>
    <t>박일규</t>
  </si>
  <si>
    <t>MN-218-000-17</t>
  </si>
  <si>
    <t>전경대</t>
  </si>
  <si>
    <t>MN-216-005-02</t>
  </si>
  <si>
    <t>MN-216-005-01</t>
  </si>
  <si>
    <t>INDEX/QUANT1팀</t>
  </si>
  <si>
    <t>INDEX/Quant운용본부</t>
  </si>
  <si>
    <t>MN-216-005-09</t>
  </si>
  <si>
    <t>박찬</t>
  </si>
  <si>
    <t>MN-216-005-08</t>
  </si>
  <si>
    <t>엄재훈</t>
  </si>
  <si>
    <t>MN-216-005-04</t>
  </si>
  <si>
    <t>최상수</t>
  </si>
  <si>
    <t>MN-216-005-03</t>
  </si>
  <si>
    <t>임지영</t>
  </si>
  <si>
    <t>MN-216-005-05</t>
  </si>
  <si>
    <t>김탁</t>
  </si>
  <si>
    <t>MN-216-004-01</t>
  </si>
  <si>
    <t>윤하영</t>
  </si>
  <si>
    <t>Global Investment</t>
  </si>
  <si>
    <t>LDI팀</t>
  </si>
  <si>
    <t>MN-216-003-23</t>
  </si>
  <si>
    <t>이용신</t>
  </si>
  <si>
    <t>주식리서치팀</t>
  </si>
  <si>
    <t>MN-216-003-20</t>
  </si>
  <si>
    <t>홍기석</t>
  </si>
  <si>
    <t>MN-216-003-19</t>
  </si>
  <si>
    <t>MN-216-003-17</t>
  </si>
  <si>
    <t>조인욱</t>
  </si>
  <si>
    <t>MN-216-020-02</t>
  </si>
  <si>
    <t>박화진</t>
  </si>
  <si>
    <t>MN-216-006-01</t>
  </si>
  <si>
    <t>전영호</t>
  </si>
  <si>
    <t>LDI팀(Liability Driven Investment)</t>
  </si>
  <si>
    <t>MN-216-008-01</t>
  </si>
  <si>
    <t>전아연</t>
  </si>
  <si>
    <t>글로벌투자운용본부</t>
  </si>
  <si>
    <t>MN-007-002-05</t>
  </si>
  <si>
    <t>양찬규</t>
  </si>
  <si>
    <t>MN-007-002-04</t>
  </si>
  <si>
    <t>김석환</t>
  </si>
  <si>
    <t>부사장(투자운용)직속</t>
  </si>
  <si>
    <t>엑티브주식운용부</t>
  </si>
  <si>
    <t>MN-214-000-32</t>
  </si>
  <si>
    <t>정성한</t>
  </si>
  <si>
    <t>주식투자운용본부</t>
  </si>
  <si>
    <t>MN-214-000-31</t>
  </si>
  <si>
    <t>전영준</t>
  </si>
  <si>
    <t>채권투자운용본부</t>
  </si>
  <si>
    <t>채권트레이딩팀</t>
  </si>
  <si>
    <t>MN-214-000-30</t>
  </si>
  <si>
    <t>차아름</t>
  </si>
  <si>
    <t>MN-214-000-27</t>
  </si>
  <si>
    <t>김은영</t>
  </si>
  <si>
    <t>MN-214-000-25</t>
  </si>
  <si>
    <t>서보민</t>
  </si>
  <si>
    <t>MN-214-000-23</t>
  </si>
  <si>
    <t>석준하</t>
  </si>
  <si>
    <t>MN-214-000-39</t>
  </si>
  <si>
    <t>임은미</t>
  </si>
  <si>
    <t>MN-214-000-15</t>
  </si>
  <si>
    <t>MN-007-002-02</t>
  </si>
  <si>
    <t>MN-214-000-16</t>
  </si>
  <si>
    <t>유영권</t>
  </si>
  <si>
    <t>주식트레이딩팀</t>
  </si>
  <si>
    <t>MN-214-000-11</t>
  </si>
  <si>
    <t>MN-214-000-10</t>
  </si>
  <si>
    <t>강수진</t>
  </si>
  <si>
    <t>알파운용팀</t>
  </si>
  <si>
    <t>MN-801-000-17</t>
  </si>
  <si>
    <t>전효식</t>
  </si>
  <si>
    <t>MN-801-000-14</t>
  </si>
  <si>
    <t>김선우</t>
  </si>
  <si>
    <t>MN-801-000-03</t>
  </si>
  <si>
    <t>김호철</t>
  </si>
  <si>
    <t>Credit팀</t>
  </si>
  <si>
    <t>MN-212-011-01</t>
  </si>
  <si>
    <t>백희범</t>
  </si>
  <si>
    <t>경영전략본부</t>
  </si>
  <si>
    <t>Operations팀</t>
  </si>
  <si>
    <t>MN-212-000-10</t>
  </si>
  <si>
    <t>김현정(공용)</t>
  </si>
  <si>
    <t>MN-212-003-03</t>
  </si>
  <si>
    <t>김종협</t>
  </si>
  <si>
    <t>MN-212-003-01</t>
  </si>
  <si>
    <t>안동기</t>
  </si>
  <si>
    <t>MN-212-005-08</t>
  </si>
  <si>
    <t>우영규</t>
  </si>
  <si>
    <t>최혜윤</t>
  </si>
  <si>
    <t>MN-212-005-07</t>
  </si>
  <si>
    <t>최승우</t>
  </si>
  <si>
    <t>MN-212-005-04</t>
  </si>
  <si>
    <t>박제우</t>
  </si>
  <si>
    <t>MN-212-000-06</t>
  </si>
  <si>
    <t>윤혜정</t>
  </si>
  <si>
    <t>단기상품운용팀</t>
  </si>
  <si>
    <t>MN-212-000-11</t>
  </si>
  <si>
    <t>조상희</t>
  </si>
  <si>
    <t>MN-212-000-08</t>
  </si>
  <si>
    <t>박경식</t>
  </si>
  <si>
    <t>주식운용본부장</t>
  </si>
  <si>
    <t>MN-212-000-16</t>
  </si>
  <si>
    <t>장봉영</t>
  </si>
  <si>
    <t>MN-212-000-20</t>
  </si>
  <si>
    <t>노신윤</t>
  </si>
  <si>
    <t>MN-212-000-19</t>
  </si>
  <si>
    <t>박세중</t>
  </si>
  <si>
    <t>MN-212-000-18</t>
  </si>
  <si>
    <t>김상미</t>
  </si>
  <si>
    <t>MN-212-000-17</t>
  </si>
  <si>
    <t>MN-212-000-14</t>
  </si>
  <si>
    <t>정동욱</t>
  </si>
  <si>
    <t>MN-212-000-04</t>
  </si>
  <si>
    <t>마케팅본부</t>
  </si>
  <si>
    <t>상무님실</t>
  </si>
  <si>
    <t>MN-212-013-01</t>
  </si>
  <si>
    <t>헤지운용본부</t>
  </si>
  <si>
    <t>MN-209-003-02</t>
  </si>
  <si>
    <t>MN-209-005-02</t>
  </si>
  <si>
    <t>박찬곤</t>
  </si>
  <si>
    <t>MN-209-005-01</t>
  </si>
  <si>
    <t>강승구</t>
  </si>
  <si>
    <t>MN-209-001-01</t>
  </si>
  <si>
    <t>강효승</t>
  </si>
  <si>
    <t>MN-209-001-05</t>
  </si>
  <si>
    <t>이주용</t>
  </si>
  <si>
    <t>현대자산운용</t>
  </si>
  <si>
    <t>MN-020-000-06</t>
  </si>
  <si>
    <t>이동휘</t>
  </si>
  <si>
    <t>MN-020-000-05</t>
  </si>
  <si>
    <t>윤용한</t>
  </si>
  <si>
    <t>MN-020-000-03</t>
  </si>
  <si>
    <t>김수향</t>
  </si>
  <si>
    <t>MN-204-004-13</t>
  </si>
  <si>
    <t>이경신</t>
  </si>
  <si>
    <t>MN-204-004-10</t>
  </si>
  <si>
    <t>조주현</t>
  </si>
  <si>
    <t>MN-204-004-14</t>
  </si>
  <si>
    <t>MN-204-004-05</t>
  </si>
  <si>
    <t>김연수</t>
  </si>
  <si>
    <t>MN-203-003-01</t>
  </si>
  <si>
    <t>성용</t>
  </si>
  <si>
    <t>해외펀드팀</t>
  </si>
  <si>
    <t>MN-203-002-07</t>
  </si>
  <si>
    <t>권영수</t>
  </si>
  <si>
    <t>패시브운용팀</t>
  </si>
  <si>
    <t>MN-203-002-10</t>
  </si>
  <si>
    <t>안태호</t>
  </si>
  <si>
    <t>MN-203-002-06</t>
  </si>
  <si>
    <t>류현욱</t>
  </si>
  <si>
    <t>TR-000-003-04</t>
  </si>
  <si>
    <t>박소연</t>
  </si>
  <si>
    <t>MN-203-005-01</t>
  </si>
  <si>
    <t>김준현</t>
  </si>
  <si>
    <t>MN-203-045-01</t>
  </si>
  <si>
    <t>곽지훈</t>
  </si>
  <si>
    <t>LDI주식팀</t>
  </si>
  <si>
    <t>MN-015-012-07</t>
  </si>
  <si>
    <t>조원재</t>
  </si>
  <si>
    <t>MN-015-012-04</t>
  </si>
  <si>
    <t>이상일</t>
  </si>
  <si>
    <t>MN-015-012-01</t>
  </si>
  <si>
    <t>어준</t>
  </si>
  <si>
    <t>MN-015-008-01</t>
  </si>
  <si>
    <t>조범근</t>
  </si>
  <si>
    <t>MN-015-012-09</t>
  </si>
  <si>
    <t>박효기</t>
  </si>
  <si>
    <t>MN-015-012-06</t>
  </si>
  <si>
    <t>박민재</t>
  </si>
  <si>
    <t>MN-015-012-03</t>
  </si>
  <si>
    <t>서주희</t>
  </si>
  <si>
    <t>외환전략팀</t>
  </si>
  <si>
    <t>MN-015-012-02</t>
  </si>
  <si>
    <t>박순보</t>
  </si>
  <si>
    <t>삼성헤지자산운용(주)</t>
  </si>
  <si>
    <t>Equity Hedge</t>
  </si>
  <si>
    <t>헤지펀드운용본부</t>
  </si>
  <si>
    <t>MN-015-003-02</t>
  </si>
  <si>
    <t>엄찬식</t>
  </si>
  <si>
    <t>글로벌채권운용팀</t>
  </si>
  <si>
    <t>해외채권운용팀</t>
  </si>
  <si>
    <t>MN-015-000-61</t>
  </si>
  <si>
    <t>강신규</t>
  </si>
  <si>
    <t>투자풀운용팀</t>
  </si>
  <si>
    <t>IN-001-005-06</t>
  </si>
  <si>
    <t>하형석</t>
  </si>
  <si>
    <t>채권크레딧팀</t>
  </si>
  <si>
    <t>MN-015-003-01</t>
  </si>
  <si>
    <t>엄현정</t>
  </si>
  <si>
    <t>TR-000-002-09</t>
  </si>
  <si>
    <t>삼성액티브자산운용(주)</t>
  </si>
  <si>
    <t>운용총괄</t>
  </si>
  <si>
    <t>MN-015-004-01</t>
  </si>
  <si>
    <t>이승준</t>
  </si>
  <si>
    <t>경영지원</t>
  </si>
  <si>
    <t>MN-015-002-06</t>
  </si>
  <si>
    <t>윤성인</t>
  </si>
  <si>
    <t>MN-015-002-05</t>
  </si>
  <si>
    <t>MN-015-002-02</t>
  </si>
  <si>
    <t>신탁회계팀</t>
  </si>
  <si>
    <t>MN-015-000-07</t>
  </si>
  <si>
    <t>산재기금운용팀</t>
  </si>
  <si>
    <t>전략운용팀</t>
  </si>
  <si>
    <t>MN-001-002-04</t>
  </si>
  <si>
    <t>양병태</t>
  </si>
  <si>
    <t>운용1팀</t>
  </si>
  <si>
    <t>MN-015-000-57</t>
  </si>
  <si>
    <t>은치관</t>
  </si>
  <si>
    <t>운용2팀</t>
  </si>
  <si>
    <t>Core주식운용팀</t>
  </si>
  <si>
    <t>MN-001-002-06</t>
  </si>
  <si>
    <t>MN-015-000-48</t>
  </si>
  <si>
    <t>천민근</t>
  </si>
  <si>
    <t>MN-015-000-19</t>
  </si>
  <si>
    <t>유영재</t>
  </si>
  <si>
    <t>FI운용1팀</t>
  </si>
  <si>
    <t>MN-015-000-34</t>
  </si>
  <si>
    <t>윤상아</t>
  </si>
  <si>
    <t>MN-015-005-05</t>
  </si>
  <si>
    <t>MN-015-005-01</t>
  </si>
  <si>
    <t>김승욱</t>
  </si>
  <si>
    <t>MN-015-000-67</t>
  </si>
  <si>
    <t>MN-004-000-48</t>
  </si>
  <si>
    <t>MN-004-000-46</t>
  </si>
  <si>
    <t>이준영</t>
  </si>
  <si>
    <t>MN-004-000-44</t>
  </si>
  <si>
    <t>김강일</t>
  </si>
  <si>
    <t>MN-004-000-43</t>
  </si>
  <si>
    <t>MN-004-000-31</t>
  </si>
  <si>
    <t>MN-004-000-25</t>
  </si>
  <si>
    <t>MN-004-000-17</t>
  </si>
  <si>
    <t>최창규</t>
  </si>
  <si>
    <t>MN-004-000-49</t>
  </si>
  <si>
    <t>강민지</t>
  </si>
  <si>
    <t>MN-004-000-42</t>
  </si>
  <si>
    <t>정규승</t>
  </si>
  <si>
    <t>MN-004-000-41</t>
  </si>
  <si>
    <t>왕희범</t>
  </si>
  <si>
    <t>MN-004-000-40</t>
  </si>
  <si>
    <t>이상훈</t>
  </si>
  <si>
    <t>MN-004-000-39</t>
  </si>
  <si>
    <t>모세영</t>
  </si>
  <si>
    <t>MN-004-000-38</t>
  </si>
  <si>
    <t>금정섭</t>
  </si>
  <si>
    <t>MN-004-000-30</t>
  </si>
  <si>
    <t>차동호</t>
  </si>
  <si>
    <t>MN-004-000-27</t>
  </si>
  <si>
    <t>송지나</t>
  </si>
  <si>
    <t>MN-004-000-21</t>
  </si>
  <si>
    <t>허승재</t>
  </si>
  <si>
    <t>MN-004-000-47</t>
  </si>
  <si>
    <t>여동현</t>
  </si>
  <si>
    <t>MN-004-000-45</t>
  </si>
  <si>
    <t>김태영</t>
  </si>
  <si>
    <t>MN-004-000-35</t>
  </si>
  <si>
    <t>양은아</t>
  </si>
  <si>
    <t>MN-004-000-34</t>
  </si>
  <si>
    <t>이보은</t>
  </si>
  <si>
    <t>MN-004-000-29</t>
  </si>
  <si>
    <t>고성수</t>
  </si>
  <si>
    <t>MN-004-000-28</t>
  </si>
  <si>
    <t>MN-004-000-26</t>
  </si>
  <si>
    <t>이종혁</t>
  </si>
  <si>
    <t>MN-004-000-24</t>
  </si>
  <si>
    <t>김경민</t>
  </si>
  <si>
    <t>MN-004-000-22</t>
  </si>
  <si>
    <t>조지현</t>
  </si>
  <si>
    <t>운용지원본부</t>
  </si>
  <si>
    <t>MN-004-000-10</t>
  </si>
  <si>
    <t>강찬희</t>
  </si>
  <si>
    <t>인프라스트럭쳐팀</t>
  </si>
  <si>
    <t>MN-955-000-01</t>
  </si>
  <si>
    <t>조형민</t>
  </si>
  <si>
    <t>투자팀(해외)</t>
  </si>
  <si>
    <t>MN-955-000-02</t>
  </si>
  <si>
    <t>김락</t>
  </si>
  <si>
    <t>MN-207-070-01</t>
  </si>
  <si>
    <t>정보지원팀장</t>
  </si>
  <si>
    <t>정보지원팀</t>
  </si>
  <si>
    <t>MN-207-060-01</t>
  </si>
  <si>
    <t>황중필</t>
  </si>
  <si>
    <t>투자풀운용본부</t>
  </si>
  <si>
    <t>MN-207-008-23</t>
  </si>
  <si>
    <t>강성수</t>
  </si>
  <si>
    <t>주식운용 1팀</t>
  </si>
  <si>
    <t>TR-000-010-01</t>
  </si>
  <si>
    <t>MN-207-082-03</t>
  </si>
  <si>
    <t>MN-207-082-02</t>
  </si>
  <si>
    <t>황우택</t>
  </si>
  <si>
    <t>MN-207-008-09</t>
  </si>
  <si>
    <t>민간투자풀운용본부</t>
  </si>
  <si>
    <t>MN-207-080-10</t>
  </si>
  <si>
    <t>홍 현</t>
  </si>
  <si>
    <t>MN-207-080-04</t>
  </si>
  <si>
    <t>MN-207-080-02</t>
  </si>
  <si>
    <t>김서영</t>
  </si>
  <si>
    <t>MN-207-080-01</t>
  </si>
  <si>
    <t>IS본부</t>
  </si>
  <si>
    <t>MN-207-090-01</t>
  </si>
  <si>
    <t>류범준</t>
  </si>
  <si>
    <t>MN-210-000-06</t>
  </si>
  <si>
    <t>이용범</t>
  </si>
  <si>
    <t>MN-207-010-01</t>
  </si>
  <si>
    <t>신현승</t>
  </si>
  <si>
    <t>MN-207-002-04</t>
  </si>
  <si>
    <t>최민규</t>
  </si>
  <si>
    <t>MN-207-001-32</t>
  </si>
  <si>
    <t>정현철</t>
  </si>
  <si>
    <t>TR-000-010-03</t>
  </si>
  <si>
    <t>조지환</t>
  </si>
  <si>
    <t>MN-207-040-01</t>
  </si>
  <si>
    <t>유환</t>
  </si>
  <si>
    <t>MN-207-040-05</t>
  </si>
  <si>
    <t>박민정</t>
  </si>
  <si>
    <t>MN-207-040-03</t>
  </si>
  <si>
    <t>MN-207-002-06</t>
  </si>
  <si>
    <t>한준일</t>
  </si>
  <si>
    <t>MN-207-085-01</t>
  </si>
  <si>
    <t>최정아</t>
  </si>
  <si>
    <t>투자솔루션본부 투자공학팀</t>
  </si>
  <si>
    <t>MN-206-010-11</t>
  </si>
  <si>
    <t>진형보</t>
  </si>
  <si>
    <t>MN-206-010-10</t>
  </si>
  <si>
    <t>김태수</t>
  </si>
  <si>
    <t>MN-206-010-07</t>
  </si>
  <si>
    <t>오형석</t>
  </si>
  <si>
    <t>MN-206-010-03</t>
  </si>
  <si>
    <t>오현정</t>
  </si>
  <si>
    <t>MN-206-003-12</t>
  </si>
  <si>
    <t>김상율</t>
  </si>
  <si>
    <t>MN-206-003-11</t>
  </si>
  <si>
    <t>박지훈</t>
  </si>
  <si>
    <t>MN-206-003-03</t>
  </si>
  <si>
    <t>홍성수</t>
  </si>
  <si>
    <t>관리본부(오퍼레이션팀)</t>
  </si>
  <si>
    <t>MN-206-002-03</t>
  </si>
  <si>
    <t>공용단말(송형지)</t>
  </si>
  <si>
    <t>대체자산운용부</t>
  </si>
  <si>
    <t>BN-221-010-01</t>
  </si>
  <si>
    <t>BN-221-000-06</t>
  </si>
  <si>
    <t>함명호</t>
  </si>
  <si>
    <t>BN-221-000-08</t>
  </si>
  <si>
    <t>한귀진</t>
  </si>
  <si>
    <t>BN-221-000-03</t>
  </si>
  <si>
    <t>김홍섭</t>
  </si>
  <si>
    <t>BN-221-000-07</t>
  </si>
  <si>
    <t>박종연</t>
  </si>
  <si>
    <t>BN-221-000-01</t>
  </si>
  <si>
    <t>안태일</t>
  </si>
  <si>
    <t>백승훈</t>
  </si>
  <si>
    <t>MN-918-999-03</t>
  </si>
  <si>
    <t>이정</t>
  </si>
  <si>
    <t>MN-918-999-02</t>
  </si>
  <si>
    <t>박민경</t>
  </si>
  <si>
    <t>자금중개부</t>
  </si>
  <si>
    <t>외환중개실</t>
  </si>
  <si>
    <t>MN-918-999-01</t>
  </si>
  <si>
    <t>김학준</t>
  </si>
  <si>
    <t>자금중개실</t>
  </si>
  <si>
    <t>MN-918-000-01</t>
  </si>
  <si>
    <t>최현진</t>
  </si>
  <si>
    <t>자금중개2팀</t>
  </si>
  <si>
    <t>MN-918-000-02</t>
  </si>
  <si>
    <t>강용희</t>
  </si>
  <si>
    <t>고객위원용</t>
  </si>
  <si>
    <t>RL-005-005-01</t>
  </si>
  <si>
    <t>이광용</t>
  </si>
  <si>
    <t>RL-005-009-01</t>
  </si>
  <si>
    <t>IB팀</t>
  </si>
  <si>
    <t>자산운용부문직속</t>
  </si>
  <si>
    <t>RL-005-007-01</t>
  </si>
  <si>
    <t>정승화</t>
  </si>
  <si>
    <t>RL-005-004-10</t>
  </si>
  <si>
    <t>이필종</t>
  </si>
  <si>
    <t>RL-005-004-09</t>
  </si>
  <si>
    <t>최종형</t>
  </si>
  <si>
    <t>RL-005-004-08</t>
  </si>
  <si>
    <t>이장훈</t>
  </si>
  <si>
    <t>RL-005-004-07</t>
  </si>
  <si>
    <t>김귀황</t>
  </si>
  <si>
    <t>자산운용부 투자전략팀</t>
  </si>
  <si>
    <t>RL-005-008-01</t>
  </si>
  <si>
    <t>황성수</t>
  </si>
  <si>
    <t>RL-005-004-03</t>
  </si>
  <si>
    <t>황영석</t>
  </si>
  <si>
    <t>RL-005-004-06</t>
  </si>
  <si>
    <t>서형준</t>
  </si>
  <si>
    <t>RL-005-004-04</t>
  </si>
  <si>
    <t>RL-005-004-05</t>
  </si>
  <si>
    <t>이태광</t>
  </si>
  <si>
    <t>RL-005-004-02</t>
  </si>
  <si>
    <t>김동재</t>
  </si>
  <si>
    <t>대차중개팀</t>
  </si>
  <si>
    <t>증권대차중개팀</t>
  </si>
  <si>
    <t>RL-005-004-01</t>
  </si>
  <si>
    <t>박혜진</t>
  </si>
  <si>
    <t>IT기획팀</t>
  </si>
  <si>
    <t>시장지원팀</t>
  </si>
  <si>
    <t>RL-005-006-01</t>
  </si>
  <si>
    <t>설경아</t>
  </si>
  <si>
    <t>이승원</t>
  </si>
  <si>
    <t>기자실</t>
  </si>
  <si>
    <t>이근영</t>
  </si>
  <si>
    <t>디비에스은행(DBS은행)</t>
  </si>
  <si>
    <t>BN-507-000-02</t>
  </si>
  <si>
    <t>김영찬</t>
  </si>
  <si>
    <t>신용사업부</t>
  </si>
  <si>
    <t>실적상품팀</t>
  </si>
  <si>
    <t>BN-504-002-32</t>
  </si>
  <si>
    <t>추창호</t>
  </si>
  <si>
    <t>신용기획팀</t>
  </si>
  <si>
    <t>BN-504-002-31</t>
  </si>
  <si>
    <t>BN-504-002-24</t>
  </si>
  <si>
    <t>김남식</t>
  </si>
  <si>
    <t>BN-504-002-13</t>
  </si>
  <si>
    <t>이유신</t>
  </si>
  <si>
    <t>BN-504-002-01</t>
  </si>
  <si>
    <t>오수정</t>
  </si>
  <si>
    <t>BN-504-002-12</t>
  </si>
  <si>
    <t>오동규</t>
  </si>
  <si>
    <t>BN-504-002-26</t>
  </si>
  <si>
    <t>김호겸</t>
  </si>
  <si>
    <t>BN-504-002-17</t>
  </si>
  <si>
    <t>김웅</t>
  </si>
  <si>
    <t>BN-504-002-21</t>
  </si>
  <si>
    <t>김성환</t>
  </si>
  <si>
    <t>BN-504-002-15</t>
  </si>
  <si>
    <t>김민승</t>
  </si>
  <si>
    <t>SC-124-100-03</t>
  </si>
  <si>
    <t>배진섭</t>
  </si>
  <si>
    <t>모간스탠리은행서울지점</t>
  </si>
  <si>
    <t>SC-124-100-01</t>
  </si>
  <si>
    <t>김호훈</t>
  </si>
  <si>
    <t>BN-401-005-22</t>
  </si>
  <si>
    <t>박철우</t>
  </si>
  <si>
    <t>BN-401-005-16</t>
  </si>
  <si>
    <t>박정배</t>
  </si>
  <si>
    <t>TR-000-100-51</t>
  </si>
  <si>
    <t>전종인</t>
  </si>
  <si>
    <t>BN-401-005-17</t>
  </si>
  <si>
    <t>서희창</t>
  </si>
  <si>
    <t>BN-401-005-14</t>
  </si>
  <si>
    <t>TR-000-100-52</t>
  </si>
  <si>
    <t>이주윤</t>
  </si>
  <si>
    <t>BN-401-005-15</t>
  </si>
  <si>
    <t>강상수</t>
  </si>
  <si>
    <t>BN-401-005-19</t>
  </si>
  <si>
    <t>최우석</t>
  </si>
  <si>
    <t>BN-401-005-18</t>
  </si>
  <si>
    <t>서영규</t>
  </si>
  <si>
    <t>TR-000-100-54</t>
  </si>
  <si>
    <t>피정원</t>
  </si>
  <si>
    <t>TR-000-100-53</t>
  </si>
  <si>
    <t>전상환</t>
  </si>
  <si>
    <t>자금운용본부장</t>
  </si>
  <si>
    <t>BN-401-005-13</t>
  </si>
  <si>
    <t>이선규</t>
  </si>
  <si>
    <t>BN-401-005-33</t>
  </si>
  <si>
    <t>이윤태</t>
  </si>
  <si>
    <t>BN-401-005-21</t>
  </si>
  <si>
    <t>박찬명</t>
  </si>
  <si>
    <t>BN-401-005-07</t>
  </si>
  <si>
    <t>BN-401-005-23</t>
  </si>
  <si>
    <t>전태희</t>
  </si>
  <si>
    <t>BN-401-005-05</t>
  </si>
  <si>
    <t>강성훈</t>
  </si>
  <si>
    <t>BN-401-005-04</t>
  </si>
  <si>
    <t>현동진</t>
  </si>
  <si>
    <t>BN-401-005-03</t>
  </si>
  <si>
    <t>이승동</t>
  </si>
  <si>
    <t>자금관리부</t>
  </si>
  <si>
    <t>BN-401-008-01</t>
  </si>
  <si>
    <t>김성삼</t>
  </si>
  <si>
    <t>BN-401-007-04</t>
  </si>
  <si>
    <t>유혜인</t>
  </si>
  <si>
    <t>BN-401-006-05</t>
  </si>
  <si>
    <t>오석훈</t>
  </si>
  <si>
    <t>BN-401-006-04</t>
  </si>
  <si>
    <t>주명호</t>
  </si>
  <si>
    <t>BN-401-006-03</t>
  </si>
  <si>
    <t>박준영</t>
  </si>
  <si>
    <t>BN-401-006-01</t>
  </si>
  <si>
    <t>홍기현</t>
  </si>
  <si>
    <t>제이피모간체이스</t>
  </si>
  <si>
    <t>Compliance(준법감시부)</t>
  </si>
  <si>
    <t>인터넷단말</t>
  </si>
  <si>
    <t>BN-307-003-13</t>
  </si>
  <si>
    <t>김미혜</t>
  </si>
  <si>
    <t>BN-307-003-12</t>
  </si>
  <si>
    <t>성정아</t>
  </si>
  <si>
    <t>인터넷회선</t>
  </si>
  <si>
    <t>BN-307-003-11</t>
  </si>
  <si>
    <t>BN-307-003-10</t>
  </si>
  <si>
    <t>BN-307-003-09</t>
  </si>
  <si>
    <t>BN-307-003-08</t>
  </si>
  <si>
    <t>BN-307-003-07</t>
  </si>
  <si>
    <t>GMO</t>
  </si>
  <si>
    <t>BN-307-003-06</t>
  </si>
  <si>
    <t>BN-307-003-05</t>
  </si>
  <si>
    <t>BN-307-003-04</t>
  </si>
  <si>
    <t>TS</t>
  </si>
  <si>
    <t>BN-307-003-03</t>
  </si>
  <si>
    <t>C&amp;R</t>
  </si>
  <si>
    <t>BN-307-003-01</t>
  </si>
  <si>
    <t>BN-307-002-01</t>
  </si>
  <si>
    <t>정종훈</t>
  </si>
  <si>
    <t>크레디아그리콜</t>
  </si>
  <si>
    <t>BN-417-000-04</t>
  </si>
  <si>
    <t>염혜인</t>
  </si>
  <si>
    <t>BN-417-000-03</t>
  </si>
  <si>
    <t>유한호</t>
  </si>
  <si>
    <t>BN-417-000-02</t>
  </si>
  <si>
    <t>김영록</t>
  </si>
  <si>
    <t>홍콩상하이은행 서울지점(HSBC은행)</t>
  </si>
  <si>
    <t>GMOps</t>
  </si>
  <si>
    <t>BN-411-000-01</t>
  </si>
  <si>
    <t>이주원</t>
  </si>
  <si>
    <t>Rates Trading</t>
  </si>
  <si>
    <t>BN-411-000-04</t>
  </si>
  <si>
    <t>이은장</t>
  </si>
  <si>
    <t>도이치은행</t>
  </si>
  <si>
    <t>회계부</t>
  </si>
  <si>
    <t>BN-409-001-03</t>
  </si>
  <si>
    <t>OTC/GM</t>
  </si>
  <si>
    <t>BN-409-000-02</t>
  </si>
  <si>
    <t>김문수</t>
  </si>
  <si>
    <t>신탁실</t>
  </si>
  <si>
    <t>BN-206-003-04</t>
  </si>
  <si>
    <t>송재후</t>
  </si>
  <si>
    <t>BN-206-002-14</t>
  </si>
  <si>
    <t>박진우</t>
  </si>
  <si>
    <t>BN-206-002-07</t>
  </si>
  <si>
    <t>박민홍</t>
  </si>
  <si>
    <t>BN-206-002-19</t>
  </si>
  <si>
    <t>BN-206-002-21</t>
  </si>
  <si>
    <t>김송배</t>
  </si>
  <si>
    <t>BN-206-002-20</t>
  </si>
  <si>
    <t>장정남</t>
  </si>
  <si>
    <t>BN-206-002-13</t>
  </si>
  <si>
    <t>김기은</t>
  </si>
  <si>
    <t>BN-206-002-11</t>
  </si>
  <si>
    <t>이종우</t>
  </si>
  <si>
    <t>BN-206-002-03</t>
  </si>
  <si>
    <t>성경식</t>
  </si>
  <si>
    <t>국제금융부</t>
  </si>
  <si>
    <t>BN-206-002-17</t>
  </si>
  <si>
    <t>이상철</t>
  </si>
  <si>
    <t>금융시장지원부</t>
  </si>
  <si>
    <t>BN-206-002-01</t>
  </si>
  <si>
    <t>강진철</t>
  </si>
  <si>
    <t>광주은행</t>
  </si>
  <si>
    <t>WM사업부</t>
  </si>
  <si>
    <t>BN-204-002-01</t>
  </si>
  <si>
    <t>조용준</t>
  </si>
  <si>
    <t>서울업무부</t>
  </si>
  <si>
    <t>자금시장부</t>
  </si>
  <si>
    <t>BN-204-000-13</t>
  </si>
  <si>
    <t>문수진</t>
  </si>
  <si>
    <t>부산은행</t>
  </si>
  <si>
    <t>TR-000-003-31</t>
  </si>
  <si>
    <t>김재성</t>
  </si>
  <si>
    <t>BN-203-001-06</t>
  </si>
  <si>
    <t>노희종</t>
  </si>
  <si>
    <t>BN-203-002-02</t>
  </si>
  <si>
    <t>장석봉</t>
  </si>
  <si>
    <t>제주은행</t>
  </si>
  <si>
    <t>자금운용실</t>
  </si>
  <si>
    <t>BN-201-001-01</t>
  </si>
  <si>
    <t>송경호</t>
  </si>
  <si>
    <t>비엔피파리바은행서울지점</t>
  </si>
  <si>
    <t>BN-598-103-61</t>
  </si>
  <si>
    <t>이석호</t>
  </si>
  <si>
    <t>TR-000-103-60</t>
  </si>
  <si>
    <t>장승균</t>
  </si>
  <si>
    <t>신탁사업부</t>
  </si>
  <si>
    <t>BN-502-003-04</t>
  </si>
  <si>
    <t>권재철</t>
  </si>
  <si>
    <t>수협중앙회</t>
  </si>
  <si>
    <t>TR-000-002-44</t>
  </si>
  <si>
    <t>양태승</t>
  </si>
  <si>
    <t>BN-502-002-10</t>
  </si>
  <si>
    <t>한철희</t>
  </si>
  <si>
    <t>운용기획팀</t>
  </si>
  <si>
    <t>BN-502-002-15</t>
  </si>
  <si>
    <t>송윤영</t>
  </si>
  <si>
    <t>BN-502-002-21</t>
  </si>
  <si>
    <t>김영경</t>
  </si>
  <si>
    <t>BN-502-002-33</t>
  </si>
  <si>
    <t>김영생</t>
  </si>
  <si>
    <t>BN-502-002-31</t>
  </si>
  <si>
    <t>정혜인</t>
  </si>
  <si>
    <t>BN-502-002-04</t>
  </si>
  <si>
    <t>이현종</t>
  </si>
  <si>
    <t>BN-502-001-14</t>
  </si>
  <si>
    <t>전경국</t>
  </si>
  <si>
    <t>BN-502-001-10</t>
  </si>
  <si>
    <t>위종환</t>
  </si>
  <si>
    <t>BN-502-001-06</t>
  </si>
  <si>
    <t>박경화</t>
  </si>
  <si>
    <t>BN-502-003-01</t>
  </si>
  <si>
    <t>방카펀드사업팀</t>
  </si>
  <si>
    <t>BN-502-006-01</t>
  </si>
  <si>
    <t>전재현</t>
  </si>
  <si>
    <t>농협생명보험</t>
  </si>
  <si>
    <t>BN-501-023-01</t>
  </si>
  <si>
    <t>이동하</t>
  </si>
  <si>
    <t>IN-506-000-04</t>
  </si>
  <si>
    <t>나기명</t>
  </si>
  <si>
    <t>자금운용본부장실</t>
  </si>
  <si>
    <t>BN-501-009-02</t>
  </si>
  <si>
    <t>김동일</t>
  </si>
  <si>
    <t>국내증권부</t>
  </si>
  <si>
    <t>IN-506-000-05</t>
  </si>
  <si>
    <t>해외증권부</t>
  </si>
  <si>
    <t>IN-506-000-03</t>
  </si>
  <si>
    <t>김선화</t>
  </si>
  <si>
    <t>BN-501-009-22</t>
  </si>
  <si>
    <t>황근환</t>
  </si>
  <si>
    <t>BN-501-009-15</t>
  </si>
  <si>
    <t>최혜진</t>
  </si>
  <si>
    <t>BN-501-009-14</t>
  </si>
  <si>
    <t>BN-501-009-06</t>
  </si>
  <si>
    <t>이성환</t>
  </si>
  <si>
    <t>BN-501-009-04</t>
  </si>
  <si>
    <t>IN-506-000-01</t>
  </si>
  <si>
    <t>BN-501-009-21</t>
  </si>
  <si>
    <t>김전강</t>
  </si>
  <si>
    <t>BN-501-009-01</t>
  </si>
  <si>
    <t>유한동</t>
  </si>
  <si>
    <t>BN-501-009-19</t>
  </si>
  <si>
    <t>한누리</t>
  </si>
  <si>
    <t>해외대체투자부</t>
  </si>
  <si>
    <t>BN-501-009-07</t>
  </si>
  <si>
    <t>최영산</t>
  </si>
  <si>
    <t>개인여신추진부</t>
  </si>
  <si>
    <t>BN-501-021-02</t>
  </si>
  <si>
    <t>이한선</t>
  </si>
  <si>
    <t>BN-501-009-18</t>
  </si>
  <si>
    <t>정강희</t>
  </si>
  <si>
    <t>BN-501-009-12</t>
  </si>
  <si>
    <t>강지영</t>
  </si>
  <si>
    <t>BN-501-009-08</t>
  </si>
  <si>
    <t>김홍중</t>
  </si>
  <si>
    <t>BN-501-021-01</t>
  </si>
  <si>
    <t>김기홍</t>
  </si>
  <si>
    <t>BN-501-009-20</t>
  </si>
  <si>
    <t>한가람</t>
  </si>
  <si>
    <t>BN-501-009-05</t>
  </si>
  <si>
    <t>문미정</t>
  </si>
  <si>
    <t>BN-501-009-30</t>
  </si>
  <si>
    <t>곽윤재</t>
  </si>
  <si>
    <t>BN-501-009-29</t>
  </si>
  <si>
    <t>정회성</t>
  </si>
  <si>
    <t>BN-501-009-24</t>
  </si>
  <si>
    <t>김현숙</t>
  </si>
  <si>
    <t>BN-501-007-01</t>
  </si>
  <si>
    <t>강영욱</t>
  </si>
  <si>
    <t>BN-501-009-23</t>
  </si>
  <si>
    <t>IN-506-000-02</t>
  </si>
  <si>
    <t>BN-501-009-17</t>
  </si>
  <si>
    <t>박은영</t>
  </si>
  <si>
    <t>IN-505-000-13</t>
  </si>
  <si>
    <t>김수근</t>
  </si>
  <si>
    <t>IN-505-000-03</t>
  </si>
  <si>
    <t>황우석</t>
  </si>
  <si>
    <t>IN-505-000-12</t>
  </si>
  <si>
    <t>정석윤</t>
  </si>
  <si>
    <t>IN-505-000-11</t>
  </si>
  <si>
    <t>성도현</t>
  </si>
  <si>
    <t>IN-505-000-10</t>
  </si>
  <si>
    <t>김석현</t>
  </si>
  <si>
    <t>자산운용단</t>
  </si>
  <si>
    <t>IN-505-000-08</t>
  </si>
  <si>
    <t>IN-505-000-01</t>
  </si>
  <si>
    <t>현병규</t>
  </si>
  <si>
    <t>BN-501-004-09</t>
  </si>
  <si>
    <t>이준호</t>
  </si>
  <si>
    <t>BN-501-006-18</t>
  </si>
  <si>
    <t>외환파생센터</t>
  </si>
  <si>
    <t>외환사업부/외환파생추진단</t>
  </si>
  <si>
    <t>BN-501-200-01</t>
  </si>
  <si>
    <t>이재호</t>
  </si>
  <si>
    <t>BN-501-003-29</t>
  </si>
  <si>
    <t>이승재</t>
  </si>
  <si>
    <t>BN-501-003-16</t>
  </si>
  <si>
    <t>BN-501-010-03</t>
  </si>
  <si>
    <t>배유리</t>
  </si>
  <si>
    <t>BN-501-006-16</t>
  </si>
  <si>
    <t>장한수</t>
  </si>
  <si>
    <t>BN-501-006-03</t>
  </si>
  <si>
    <t>한상욱</t>
  </si>
  <si>
    <t>BN-501-006-01</t>
  </si>
  <si>
    <t>김태흥</t>
  </si>
  <si>
    <t>BN-501-005-09</t>
  </si>
  <si>
    <t>BN-501-005-01</t>
  </si>
  <si>
    <t>김승곤</t>
  </si>
  <si>
    <t>BN-501-014-01</t>
  </si>
  <si>
    <t>BN-501-010-04</t>
  </si>
  <si>
    <t>박수진</t>
  </si>
  <si>
    <t>유동성관리팀</t>
  </si>
  <si>
    <t>BN-501-010-02</t>
  </si>
  <si>
    <t>김봉수</t>
  </si>
  <si>
    <t>BN-501-010-01</t>
  </si>
  <si>
    <t>김성우</t>
  </si>
  <si>
    <t>BN-501-005-05</t>
  </si>
  <si>
    <t>조병운</t>
  </si>
  <si>
    <t>BN-501-007-10</t>
  </si>
  <si>
    <t>BN-501-007-06</t>
  </si>
  <si>
    <t>박민희</t>
  </si>
  <si>
    <t>BN-501-003-12</t>
  </si>
  <si>
    <t>장문용</t>
  </si>
  <si>
    <t>BN-503-001-03</t>
  </si>
  <si>
    <t>표미영</t>
  </si>
  <si>
    <t>BN-501-007-09</t>
  </si>
  <si>
    <t>정원걸</t>
  </si>
  <si>
    <t>BN-501-007-03</t>
  </si>
  <si>
    <t>강동민</t>
  </si>
  <si>
    <t>BN-501-007-02</t>
  </si>
  <si>
    <t>허보미</t>
  </si>
  <si>
    <t>BN-501-005-07</t>
  </si>
  <si>
    <t>김선필</t>
  </si>
  <si>
    <t>수탁업무부</t>
  </si>
  <si>
    <t>해외기금팀</t>
  </si>
  <si>
    <t>BN-501-007-04</t>
  </si>
  <si>
    <t>김민정</t>
  </si>
  <si>
    <t>BN-501-013-02</t>
  </si>
  <si>
    <t>BN-501-013-01</t>
  </si>
  <si>
    <t>홍희령</t>
  </si>
  <si>
    <t>BN-501-006-06</t>
  </si>
  <si>
    <t>자금운용지원단</t>
  </si>
  <si>
    <t>증권운용지원팀</t>
  </si>
  <si>
    <t>BN-501-003-33</t>
  </si>
  <si>
    <t>송주연</t>
  </si>
  <si>
    <t>투자외환팀</t>
  </si>
  <si>
    <t>BN-501-006-14</t>
  </si>
  <si>
    <t>윤영광</t>
  </si>
  <si>
    <t>BN-501-004-03</t>
  </si>
  <si>
    <t>유금석</t>
  </si>
  <si>
    <t>BN-501-003-32</t>
  </si>
  <si>
    <t>장미경</t>
  </si>
  <si>
    <t>BN-501-003-34</t>
  </si>
  <si>
    <t>이재충</t>
  </si>
  <si>
    <t>BN-501-006-13</t>
  </si>
  <si>
    <t>오녕신</t>
  </si>
  <si>
    <t>BN-501-001-02</t>
  </si>
  <si>
    <t>강경태</t>
  </si>
  <si>
    <t>기획실</t>
  </si>
  <si>
    <t>BN-501-016-01</t>
  </si>
  <si>
    <t>김은광</t>
  </si>
  <si>
    <t>BN-501-300-10</t>
  </si>
  <si>
    <t>한명호</t>
  </si>
  <si>
    <t>BN-501-300-09</t>
  </si>
  <si>
    <t>조창현</t>
  </si>
  <si>
    <t>BN-501-300-08</t>
  </si>
  <si>
    <t>김동윤</t>
  </si>
  <si>
    <t>BN-501-300-07</t>
  </si>
  <si>
    <t>BN-501-300-04</t>
  </si>
  <si>
    <t>BN-501-300-02</t>
  </si>
  <si>
    <t>서종식팀장</t>
  </si>
  <si>
    <t>BN-501-300-06</t>
  </si>
  <si>
    <t>장진영</t>
  </si>
  <si>
    <t>BN-501-300-03</t>
  </si>
  <si>
    <t>조병훈</t>
  </si>
  <si>
    <t>BN-501-300-01</t>
  </si>
  <si>
    <t>구정각</t>
  </si>
  <si>
    <t>프로젝트금융국</t>
  </si>
  <si>
    <t>해외부동산팀</t>
  </si>
  <si>
    <t>BN-501-018-04</t>
  </si>
  <si>
    <t>김범수</t>
  </si>
  <si>
    <t>부동산금융팀</t>
  </si>
  <si>
    <t>BN-501-018-02</t>
  </si>
  <si>
    <t>이창국</t>
  </si>
  <si>
    <t>상호금융투자금융부</t>
  </si>
  <si>
    <t>BN-501-018-03</t>
  </si>
  <si>
    <t>심홍태</t>
  </si>
  <si>
    <t>해외사모투자팀</t>
  </si>
  <si>
    <t>BN-501-017-01</t>
  </si>
  <si>
    <t>조영철</t>
  </si>
  <si>
    <t>BN-501-012-05</t>
  </si>
  <si>
    <t>김성필</t>
  </si>
  <si>
    <t>BN-501-015-01</t>
  </si>
  <si>
    <t>박학주</t>
  </si>
  <si>
    <t>BN-501-012-09</t>
  </si>
  <si>
    <t>김현우</t>
  </si>
  <si>
    <t>BN-501-003-11</t>
  </si>
  <si>
    <t>김순기</t>
  </si>
  <si>
    <t>상호금융주식운용팀</t>
  </si>
  <si>
    <t>BN-501-903-28</t>
  </si>
  <si>
    <t>양윤실</t>
  </si>
  <si>
    <t>BN-501-911-01</t>
  </si>
  <si>
    <t>박시원</t>
  </si>
  <si>
    <t>BN-501-003-24</t>
  </si>
  <si>
    <t>문미영</t>
  </si>
  <si>
    <t>BN-501-003-04</t>
  </si>
  <si>
    <t>윤세욱</t>
  </si>
  <si>
    <t>BN-501-003-03</t>
  </si>
  <si>
    <t>조수형</t>
  </si>
  <si>
    <t>BN-501-000-03</t>
  </si>
  <si>
    <t>BN-501-000-01</t>
  </si>
  <si>
    <t>주원식</t>
  </si>
  <si>
    <t>상호금융자금부장실</t>
  </si>
  <si>
    <t>BN-501-003-09</t>
  </si>
  <si>
    <t>kwang woong park</t>
  </si>
  <si>
    <t>BN-501-012-15</t>
  </si>
  <si>
    <t>양서은</t>
  </si>
  <si>
    <t>BN-501-012-12</t>
  </si>
  <si>
    <t>문승욱</t>
  </si>
  <si>
    <t>BN-501-003-13</t>
  </si>
  <si>
    <t>김양선</t>
  </si>
  <si>
    <t>BN-501-003-31</t>
  </si>
  <si>
    <t>김삼형</t>
  </si>
  <si>
    <t>상호금융자금부/전략리서치단</t>
  </si>
  <si>
    <t>BN-501-003-26</t>
  </si>
  <si>
    <t>김유섭</t>
  </si>
  <si>
    <t>BN-501-001-01</t>
  </si>
  <si>
    <t>김주연</t>
  </si>
  <si>
    <t>BN-501-012-08</t>
  </si>
  <si>
    <t>황문수</t>
  </si>
  <si>
    <t>TR-000-102-36</t>
  </si>
  <si>
    <t>BN-501-003-15</t>
  </si>
  <si>
    <t>강양행</t>
  </si>
  <si>
    <t>BN-501-003-08</t>
  </si>
  <si>
    <t>조수민</t>
  </si>
  <si>
    <t>BN-503-001-12</t>
  </si>
  <si>
    <t>김용인</t>
  </si>
  <si>
    <t>프로젝트금융부(구조화금융팀)</t>
  </si>
  <si>
    <t>BN-011-004-01</t>
  </si>
  <si>
    <t>정동길</t>
  </si>
  <si>
    <t>원화자금관리팀</t>
  </si>
  <si>
    <t>BN-004-009-02</t>
  </si>
  <si>
    <t>정현승</t>
  </si>
  <si>
    <t>일반파생팀</t>
  </si>
  <si>
    <t>금리통화파생팀</t>
  </si>
  <si>
    <t>BN-004-008-03</t>
  </si>
  <si>
    <t>이준한</t>
  </si>
  <si>
    <t>BN-004-008-02</t>
  </si>
  <si>
    <t>유경운</t>
  </si>
  <si>
    <t>퇴직연금부</t>
  </si>
  <si>
    <t>TR-000-105-55</t>
  </si>
  <si>
    <t>강민석</t>
  </si>
  <si>
    <t>TR-000-105-53</t>
  </si>
  <si>
    <t>원윤정</t>
  </si>
  <si>
    <t>BN-004-002-10</t>
  </si>
  <si>
    <t>분당</t>
  </si>
  <si>
    <t>BN-004-002-15</t>
  </si>
  <si>
    <t>최정기</t>
  </si>
  <si>
    <t>신탁부 신탁상품개발팀</t>
  </si>
  <si>
    <t>BN-004-002-13</t>
  </si>
  <si>
    <t>정호진</t>
  </si>
  <si>
    <t>BN-004-002-06</t>
  </si>
  <si>
    <t>김하림</t>
  </si>
  <si>
    <t>BN-004-002-01</t>
  </si>
  <si>
    <t>강준수</t>
  </si>
  <si>
    <t>은행장님실</t>
  </si>
  <si>
    <t>BN-004-011-01</t>
  </si>
  <si>
    <t>김영빈</t>
  </si>
  <si>
    <t>파생결제/IFRS회계지원팀</t>
  </si>
  <si>
    <t>BN-106-006-03</t>
  </si>
  <si>
    <t>장혜선</t>
  </si>
  <si>
    <t>BN-106-006-02</t>
  </si>
  <si>
    <t>강상욱</t>
  </si>
  <si>
    <t>BN-106-006-01</t>
  </si>
  <si>
    <t>박성호</t>
  </si>
  <si>
    <t>외화결제/기획팀</t>
  </si>
  <si>
    <t>BN-106-005-22</t>
  </si>
  <si>
    <t>BN-106-004-02</t>
  </si>
  <si>
    <t>이다은</t>
  </si>
  <si>
    <t>단기운용팀</t>
  </si>
  <si>
    <t>BN-106-005-33</t>
  </si>
  <si>
    <t>강인모</t>
  </si>
  <si>
    <t>BN-106-005-23</t>
  </si>
  <si>
    <t>김지욱</t>
  </si>
  <si>
    <t>중장기운용팀</t>
  </si>
  <si>
    <t>BN-106-005-32</t>
  </si>
  <si>
    <t>임기현</t>
  </si>
  <si>
    <t>자금운용기획팀</t>
  </si>
  <si>
    <t>BN-106-005-31</t>
  </si>
  <si>
    <t>김 연</t>
  </si>
  <si>
    <t>BN-106-005-20</t>
  </si>
  <si>
    <t>임기묵</t>
  </si>
  <si>
    <t>BN-106-005-17</t>
  </si>
  <si>
    <t>황현영</t>
  </si>
  <si>
    <t>BN-106-004-01</t>
  </si>
  <si>
    <t>정재민</t>
  </si>
  <si>
    <t>BN-106-005-24</t>
  </si>
  <si>
    <t>신민수</t>
  </si>
  <si>
    <t>BN-106-005-07</t>
  </si>
  <si>
    <t>김명규</t>
  </si>
  <si>
    <t>BN-106-005-03</t>
  </si>
  <si>
    <t>장서영</t>
  </si>
  <si>
    <t>BN-106-005-28</t>
  </si>
  <si>
    <t>구찬모</t>
  </si>
  <si>
    <t>BN-106-005-08</t>
  </si>
  <si>
    <t>이명한</t>
  </si>
  <si>
    <t>BN-106-002-03</t>
  </si>
  <si>
    <t>글로벌자금시장 부행장실</t>
  </si>
  <si>
    <t>BN-106-005-19</t>
  </si>
  <si>
    <t>오혁수</t>
  </si>
  <si>
    <t>외화자금팀</t>
  </si>
  <si>
    <t>BN-106-005-27</t>
  </si>
  <si>
    <t>최수진</t>
  </si>
  <si>
    <t>BN-106-005-02</t>
  </si>
  <si>
    <t>BN-106-002-16</t>
  </si>
  <si>
    <t>BN-106-002-15</t>
  </si>
  <si>
    <t>BN-106-002-14</t>
  </si>
  <si>
    <t>최현숙</t>
  </si>
  <si>
    <t>BN-106-002-12</t>
  </si>
  <si>
    <t>육석훈</t>
  </si>
  <si>
    <t>BN-106-002-08</t>
  </si>
  <si>
    <t>이윤철</t>
  </si>
  <si>
    <t>BN-106-002-02</t>
  </si>
  <si>
    <t>김지윤</t>
  </si>
  <si>
    <t>BN-106-002-09</t>
  </si>
  <si>
    <t>최병진</t>
  </si>
  <si>
    <t>개인상품부</t>
  </si>
  <si>
    <t>BN-106-002-01</t>
  </si>
  <si>
    <t>최지영</t>
  </si>
  <si>
    <t>증권수탁실</t>
  </si>
  <si>
    <t>증권수탁부 공용</t>
  </si>
  <si>
    <t>BN-102-004-01</t>
  </si>
  <si>
    <t>김은주</t>
  </si>
  <si>
    <t>재무지원부</t>
  </si>
  <si>
    <t>재무관리팀</t>
  </si>
  <si>
    <t>BN-102-008-01</t>
  </si>
  <si>
    <t>조용환</t>
  </si>
  <si>
    <t>글로벌마켓본부</t>
  </si>
  <si>
    <t>파생상품부</t>
  </si>
  <si>
    <t>BN-103-007-07</t>
  </si>
  <si>
    <t>신수호</t>
  </si>
  <si>
    <t>종금영업부</t>
  </si>
  <si>
    <t>BN-103-007-09</t>
  </si>
  <si>
    <t>장창훈</t>
  </si>
  <si>
    <t>BN-103-007-08</t>
  </si>
  <si>
    <t>조재환</t>
  </si>
  <si>
    <t>BN-103-007-06</t>
  </si>
  <si>
    <t>윤필현</t>
  </si>
  <si>
    <t>BN-103-007-05</t>
  </si>
  <si>
    <t>손병윤</t>
  </si>
  <si>
    <t>BN-103-007-03</t>
  </si>
  <si>
    <t>박선기</t>
  </si>
  <si>
    <t>BN-103-007-02</t>
  </si>
  <si>
    <t>조장형</t>
  </si>
  <si>
    <t>BN-103-007-01</t>
  </si>
  <si>
    <t>정창우</t>
  </si>
  <si>
    <t>종합리스크관리부</t>
  </si>
  <si>
    <t>BN-102-003-02</t>
  </si>
  <si>
    <t>김용성</t>
  </si>
  <si>
    <t>BN-102-002-11</t>
  </si>
  <si>
    <t>정우석</t>
  </si>
  <si>
    <t>BN-102-002-10</t>
  </si>
  <si>
    <t>안명석</t>
  </si>
  <si>
    <t>BN-102-002-07</t>
  </si>
  <si>
    <t>김남언</t>
  </si>
  <si>
    <t>BN-008-001-46</t>
  </si>
  <si>
    <t>성유경</t>
  </si>
  <si>
    <t>BN-008-001-45</t>
  </si>
  <si>
    <t>고경아</t>
  </si>
  <si>
    <t>BN-008-001-42</t>
  </si>
  <si>
    <t>고선목</t>
  </si>
  <si>
    <t>BN-008-001-16</t>
  </si>
  <si>
    <t>유영동</t>
  </si>
  <si>
    <t>BN-008-001-14</t>
  </si>
  <si>
    <t>장권일</t>
  </si>
  <si>
    <t>BN-001-004-01</t>
  </si>
  <si>
    <t>BN-001-003-09</t>
  </si>
  <si>
    <t>박상빈</t>
  </si>
  <si>
    <t>BN-001-003-08</t>
  </si>
  <si>
    <t>김보미</t>
  </si>
  <si>
    <t>BN-001-003-07</t>
  </si>
  <si>
    <t>김광식</t>
  </si>
  <si>
    <t>BN-001-003-06</t>
  </si>
  <si>
    <t>김성희</t>
  </si>
  <si>
    <t>BN-001-003-05</t>
  </si>
  <si>
    <t>TR-000-105-79</t>
  </si>
  <si>
    <t>정수한</t>
  </si>
  <si>
    <t>BN-008-001-20</t>
  </si>
  <si>
    <t>권순목</t>
  </si>
  <si>
    <t>BN-008-001-09</t>
  </si>
  <si>
    <t>최영권</t>
  </si>
  <si>
    <t>외환파생상품운용부</t>
  </si>
  <si>
    <t>외환파생운용부</t>
  </si>
  <si>
    <t>BN-008-001-41</t>
  </si>
  <si>
    <t>서희진</t>
  </si>
  <si>
    <t>BN-008-001-34</t>
  </si>
  <si>
    <t>BN-008-001-33</t>
  </si>
  <si>
    <t>유병우</t>
  </si>
  <si>
    <t>BN-008-001-32</t>
  </si>
  <si>
    <t>김동민</t>
  </si>
  <si>
    <t>행복노하우사업본부</t>
  </si>
  <si>
    <t>BN-008-001-50</t>
  </si>
  <si>
    <t>이진형</t>
  </si>
  <si>
    <t>BN-008-001-44</t>
  </si>
  <si>
    <t>이수아</t>
  </si>
  <si>
    <t>BN-001-001-01</t>
  </si>
  <si>
    <t>노석민</t>
  </si>
  <si>
    <t>TR-000-002-97</t>
  </si>
  <si>
    <t>강동훈</t>
  </si>
  <si>
    <t>BN-008-001-22</t>
  </si>
  <si>
    <t>노민호</t>
  </si>
  <si>
    <t>BN-008-002-01</t>
  </si>
  <si>
    <t>정재엽</t>
  </si>
  <si>
    <t>망우동대체사업장(운영리스크관리팀)</t>
  </si>
  <si>
    <t>BN-008-002-02</t>
  </si>
  <si>
    <t>자금결제실</t>
  </si>
  <si>
    <t>BN-008-001-38</t>
  </si>
  <si>
    <t>박옥균</t>
  </si>
  <si>
    <t>BN-001-005-01</t>
  </si>
  <si>
    <t>정미라</t>
  </si>
  <si>
    <t>PB지원팀</t>
  </si>
  <si>
    <t>TR-000-003-26</t>
  </si>
  <si>
    <t>김춘수</t>
  </si>
  <si>
    <t>BN-008-006-02</t>
  </si>
  <si>
    <t>윤재현</t>
  </si>
  <si>
    <t>에이아이지손해보험</t>
  </si>
  <si>
    <t>캐피탈매니지먼트&amp;인베스트먼트</t>
  </si>
  <si>
    <t>IN-424-000-01</t>
  </si>
  <si>
    <t>한국씨티은행</t>
  </si>
  <si>
    <t>자급시장업무팀</t>
  </si>
  <si>
    <t>자금시장업무팀</t>
  </si>
  <si>
    <t>BN-006-100-12</t>
  </si>
  <si>
    <t>조희진</t>
  </si>
  <si>
    <t>기업심사부</t>
  </si>
  <si>
    <t>신탁리스크팀</t>
  </si>
  <si>
    <t>TR-000-002-25</t>
  </si>
  <si>
    <t>BN-006-001-17</t>
  </si>
  <si>
    <t>최광선</t>
  </si>
  <si>
    <t>BN-006-001-14</t>
  </si>
  <si>
    <t>BN-006-001-10</t>
  </si>
  <si>
    <t>동용은</t>
  </si>
  <si>
    <t>BN-006-001-06</t>
  </si>
  <si>
    <t>황준성</t>
  </si>
  <si>
    <t>한국스탠다드차타드증권</t>
  </si>
  <si>
    <t>DCM</t>
  </si>
  <si>
    <t>SC-413-000-17</t>
  </si>
  <si>
    <t>정재헌</t>
  </si>
  <si>
    <t>한국스탠다드차타드은행</t>
  </si>
  <si>
    <t>BN-003-008-02</t>
  </si>
  <si>
    <t>박용집</t>
  </si>
  <si>
    <t>BN-003-008-01</t>
  </si>
  <si>
    <t>김대석</t>
  </si>
  <si>
    <t>증권업무팀</t>
  </si>
  <si>
    <t>BN-412-000-01</t>
  </si>
  <si>
    <t>BN-305-000-02</t>
  </si>
  <si>
    <t>박찬정</t>
  </si>
  <si>
    <t>BN-005-009-03</t>
  </si>
  <si>
    <t>재무팀(부사장님)</t>
  </si>
  <si>
    <t>BN-005-009-02</t>
  </si>
  <si>
    <t>BN-005-009-01</t>
  </si>
  <si>
    <t>유승헌</t>
  </si>
  <si>
    <t>구조화금융부</t>
  </si>
  <si>
    <t>BN-002-008-01</t>
  </si>
  <si>
    <t>공용단말(이윤나)</t>
  </si>
  <si>
    <t>BN-002-007-06</t>
  </si>
  <si>
    <t>유원재</t>
  </si>
  <si>
    <t>BN-002-007-05</t>
  </si>
  <si>
    <t>유형주</t>
  </si>
  <si>
    <t>BN-002-007-04</t>
  </si>
  <si>
    <t>BN-002-007-01</t>
  </si>
  <si>
    <t>서정우</t>
  </si>
  <si>
    <t>BN-002-010-03</t>
  </si>
  <si>
    <t>임현정</t>
  </si>
  <si>
    <t>투자자산수탁부</t>
  </si>
  <si>
    <t>TR-000-000-47</t>
  </si>
  <si>
    <t>공용단말(박재현)</t>
  </si>
  <si>
    <t>투자일임부</t>
  </si>
  <si>
    <t>BN-002-001-13</t>
  </si>
  <si>
    <t>윤정호</t>
  </si>
  <si>
    <t>투자자산전략부(투자자문부)</t>
  </si>
  <si>
    <t>투자자문부</t>
  </si>
  <si>
    <t>BN-002-001-05</t>
  </si>
  <si>
    <t>배준휘</t>
  </si>
  <si>
    <t>투자상품부</t>
  </si>
  <si>
    <t>BN-002-001-08</t>
  </si>
  <si>
    <t>안융일</t>
  </si>
  <si>
    <t>BN-002-001-07</t>
  </si>
  <si>
    <t>공용(김한섭)</t>
  </si>
  <si>
    <t>연금사업본부</t>
  </si>
  <si>
    <t>연금사업부</t>
  </si>
  <si>
    <t>BN-002-012-01</t>
  </si>
  <si>
    <t>증권운용팀(BCP센터)</t>
  </si>
  <si>
    <t>BN-002-010-01</t>
  </si>
  <si>
    <t>정환구</t>
  </si>
  <si>
    <t>BN-005-200-10</t>
  </si>
  <si>
    <t>BN-005-200-09</t>
  </si>
  <si>
    <t>유승훈</t>
  </si>
  <si>
    <t>BN-005-200-07</t>
  </si>
  <si>
    <t>최재우</t>
  </si>
  <si>
    <t>BN-005-200-05</t>
  </si>
  <si>
    <t>우한상</t>
  </si>
  <si>
    <t>BN-005-200-04</t>
  </si>
  <si>
    <t>이경빈</t>
  </si>
  <si>
    <t>BN-005-200-03</t>
  </si>
  <si>
    <t>김상근</t>
  </si>
  <si>
    <t>BN-005-200-02</t>
  </si>
  <si>
    <t>이연준</t>
  </si>
  <si>
    <t>BN-005-200-01</t>
  </si>
  <si>
    <t>김승완</t>
  </si>
  <si>
    <t>BN-005-300-08</t>
  </si>
  <si>
    <t>노병만</t>
  </si>
  <si>
    <t>BN-005-300-06</t>
  </si>
  <si>
    <t>안영준</t>
  </si>
  <si>
    <t>BN-005-300-05</t>
  </si>
  <si>
    <t>박윤정</t>
  </si>
  <si>
    <t>BN-005-300-02</t>
  </si>
  <si>
    <t>박태윤</t>
  </si>
  <si>
    <t>BN-005-300-01</t>
  </si>
  <si>
    <t>박정호</t>
  </si>
  <si>
    <t>신탁본부</t>
  </si>
  <si>
    <t>특정금전신탁팀</t>
  </si>
  <si>
    <t>BN-005-002-20</t>
  </si>
  <si>
    <t>김주희</t>
  </si>
  <si>
    <t>BN-002-004-19</t>
  </si>
  <si>
    <t>손대호</t>
  </si>
  <si>
    <t>BN-005-005-10</t>
  </si>
  <si>
    <t>김한석</t>
  </si>
  <si>
    <t>BN-005-001-08</t>
  </si>
  <si>
    <t>김성복</t>
  </si>
  <si>
    <t>BN-005-002-01</t>
  </si>
  <si>
    <t>김영훈</t>
  </si>
  <si>
    <t>BN-005-001-09</t>
  </si>
  <si>
    <t>김현화</t>
  </si>
  <si>
    <t>BN-002-004-03</t>
  </si>
  <si>
    <t>서민호</t>
  </si>
  <si>
    <t>BN-002-004-12</t>
  </si>
  <si>
    <t>BN-005-005-08</t>
  </si>
  <si>
    <t>금융결제부</t>
  </si>
  <si>
    <t>BN-002-006-01</t>
  </si>
  <si>
    <t>김구현</t>
  </si>
  <si>
    <t>BN-005-006-06</t>
  </si>
  <si>
    <t>박상곤</t>
  </si>
  <si>
    <t>비서실(12층)</t>
  </si>
  <si>
    <t>임원실(WN사업본부 그룹장실)</t>
  </si>
  <si>
    <t>BN-005-007-06</t>
  </si>
  <si>
    <t>이창구/신지수</t>
  </si>
  <si>
    <t>비서실(3층)</t>
  </si>
  <si>
    <t>BN-005-003-01</t>
  </si>
  <si>
    <t>최병화/이정은</t>
  </si>
  <si>
    <t>BN-005-100-05</t>
  </si>
  <si>
    <t>양경욱</t>
  </si>
  <si>
    <t>금융공학센터(금리파생팀장)</t>
  </si>
  <si>
    <t>BN-005-100-03</t>
  </si>
  <si>
    <t>정운욱</t>
  </si>
  <si>
    <t>금융공학센터(금리파생부부장)</t>
  </si>
  <si>
    <t>BN-005-100-01</t>
  </si>
  <si>
    <t>강병국</t>
  </si>
  <si>
    <t>금융공학센터(Quant부부장)</t>
  </si>
  <si>
    <t>BN-005-100-04</t>
  </si>
  <si>
    <t>오희송</t>
  </si>
  <si>
    <t>한국은행</t>
  </si>
  <si>
    <t>BN-107-999-02</t>
  </si>
  <si>
    <t>이기석</t>
  </si>
  <si>
    <t>시장운영팀</t>
  </si>
  <si>
    <t>BN-107-999-01</t>
  </si>
  <si>
    <t>최완호</t>
  </si>
  <si>
    <t>안정분석팀</t>
  </si>
  <si>
    <t>BN-107-030-01</t>
  </si>
  <si>
    <t>김자혜</t>
  </si>
  <si>
    <t>정책총괄팀</t>
  </si>
  <si>
    <t>BN-107-020-01</t>
  </si>
  <si>
    <t>심원조</t>
  </si>
  <si>
    <t>자금시장팀</t>
  </si>
  <si>
    <t>BN-107-010-02</t>
  </si>
  <si>
    <t>김은숙</t>
  </si>
  <si>
    <t>주식시장팀</t>
  </si>
  <si>
    <t>BN-107-040-01</t>
  </si>
  <si>
    <t>통화금융팀</t>
  </si>
  <si>
    <t>BN-107-001-02</t>
  </si>
  <si>
    <t>채권시장팀</t>
  </si>
  <si>
    <t>TR-000-001-49</t>
  </si>
  <si>
    <t>BN-107-001-01</t>
  </si>
  <si>
    <t>안전관리부</t>
  </si>
  <si>
    <t>BN-105-011-04</t>
  </si>
  <si>
    <t>배지영</t>
  </si>
  <si>
    <t>BN-105-011-03</t>
  </si>
  <si>
    <t>BN-105-011-02</t>
  </si>
  <si>
    <t>BN-105-011-01</t>
  </si>
  <si>
    <t>BN-105-002-35</t>
  </si>
  <si>
    <t>표현찬</t>
  </si>
  <si>
    <t>BN-105-002-29</t>
  </si>
  <si>
    <t>채승용</t>
  </si>
  <si>
    <t>BN-105-013-02</t>
  </si>
  <si>
    <t>박현후</t>
  </si>
  <si>
    <t>자금운용지원부</t>
  </si>
  <si>
    <t>BN-103-002-10</t>
  </si>
  <si>
    <t>이규명</t>
  </si>
  <si>
    <t>주식상품팀</t>
  </si>
  <si>
    <t>BN-105-015-03</t>
  </si>
  <si>
    <t>이승훈</t>
  </si>
  <si>
    <t>BN-105-015-02</t>
  </si>
  <si>
    <t>이형찬</t>
  </si>
  <si>
    <t>부동산/채권팀(상속/증여Unit)</t>
  </si>
  <si>
    <t>BN-105-015-01</t>
  </si>
  <si>
    <t>나행호</t>
  </si>
  <si>
    <t>신탁상품개발팀</t>
  </si>
  <si>
    <t>TS-000-000-02</t>
  </si>
  <si>
    <t>신탁운용관리팀</t>
  </si>
  <si>
    <t>BN-105-003-18</t>
  </si>
  <si>
    <t>김진태</t>
  </si>
  <si>
    <t>BN-105-003-17</t>
  </si>
  <si>
    <t>공승찬</t>
  </si>
  <si>
    <t>신탁사업부장</t>
  </si>
  <si>
    <t>BN-103-002-13</t>
  </si>
  <si>
    <t>송노윤</t>
  </si>
  <si>
    <t>BN-103-002-07</t>
  </si>
  <si>
    <t>서상범</t>
  </si>
  <si>
    <t>BN-103-002-06</t>
  </si>
  <si>
    <t>이영목</t>
  </si>
  <si>
    <t>BN-104-002-13</t>
  </si>
  <si>
    <t>BN-104-002-08</t>
  </si>
  <si>
    <t>배종규</t>
  </si>
  <si>
    <t>BN-104-008-02</t>
  </si>
  <si>
    <t>이종길</t>
  </si>
  <si>
    <t>수탁사업부</t>
  </si>
  <si>
    <t>기획마케팅팀</t>
  </si>
  <si>
    <t>BN-105-010-03</t>
  </si>
  <si>
    <t>컴플/회계팀</t>
  </si>
  <si>
    <t>BN-105-010-02</t>
  </si>
  <si>
    <t>공용단말(서지나)</t>
  </si>
  <si>
    <t>펀드사업부</t>
  </si>
  <si>
    <t>BN-105-010-01</t>
  </si>
  <si>
    <t>조호연</t>
  </si>
  <si>
    <t>한국산업은행</t>
  </si>
  <si>
    <t>부천지점</t>
  </si>
  <si>
    <t>BN-101-021-02</t>
  </si>
  <si>
    <t>전백경</t>
  </si>
  <si>
    <t>BN-101-021-01</t>
  </si>
  <si>
    <t>김영기이사실</t>
  </si>
  <si>
    <t>수석부행장실</t>
  </si>
  <si>
    <t>BN-101-005-04</t>
  </si>
  <si>
    <t>수석부</t>
  </si>
  <si>
    <t>산은경제연구소</t>
  </si>
  <si>
    <t>조사분석부 금융시장팀</t>
  </si>
  <si>
    <t>BN-101-007-01</t>
  </si>
  <si>
    <t>윤경수</t>
  </si>
  <si>
    <t>투자금융실</t>
  </si>
  <si>
    <t>김영찬이사실</t>
  </si>
  <si>
    <t>BN-101-005-05</t>
  </si>
  <si>
    <t>김경준</t>
  </si>
  <si>
    <t>자금거래실</t>
  </si>
  <si>
    <t>실장실</t>
  </si>
  <si>
    <t>BN-101-008-09</t>
  </si>
  <si>
    <t>김민병</t>
  </si>
  <si>
    <t>스왑거래팀</t>
  </si>
  <si>
    <t>BN-101-008-08</t>
  </si>
  <si>
    <t>이은규</t>
  </si>
  <si>
    <t>원화유가증권팀</t>
  </si>
  <si>
    <t>BN-101-002-14</t>
  </si>
  <si>
    <t>정형묵</t>
  </si>
  <si>
    <t>BN-101-002-05</t>
  </si>
  <si>
    <t>신혁수</t>
  </si>
  <si>
    <t>BN-101-001-05</t>
  </si>
  <si>
    <t>박경준</t>
  </si>
  <si>
    <t>발행시장실</t>
  </si>
  <si>
    <t>발행시장2팀</t>
  </si>
  <si>
    <t>BN-101-010-01</t>
  </si>
  <si>
    <t>황세일</t>
  </si>
  <si>
    <t>발행시장실 실장실</t>
  </si>
  <si>
    <t>BN-101-009-04</t>
  </si>
  <si>
    <t>오준석</t>
  </si>
  <si>
    <t>발행시장1팀</t>
  </si>
  <si>
    <t>BN-101-009-02</t>
  </si>
  <si>
    <t>재무관리본부</t>
  </si>
  <si>
    <t>BN-101-006-01</t>
  </si>
  <si>
    <t>송선희</t>
  </si>
  <si>
    <t>재무관리본부(단기자금운용팀)</t>
  </si>
  <si>
    <t>BN-101-008-04</t>
  </si>
  <si>
    <t>김은지</t>
  </si>
  <si>
    <t>연금사업실</t>
  </si>
  <si>
    <t>연금컨설팅2팀</t>
  </si>
  <si>
    <t>BN-101-015-02</t>
  </si>
  <si>
    <t>최관호</t>
  </si>
  <si>
    <t>PEF실</t>
  </si>
  <si>
    <t>PE실</t>
  </si>
  <si>
    <t>BN-101-020-01</t>
  </si>
  <si>
    <t>성장기업지원실</t>
  </si>
  <si>
    <t>BN-101-005-06</t>
  </si>
  <si>
    <t>김진수</t>
  </si>
  <si>
    <t>자금운용팀</t>
  </si>
  <si>
    <t>BN-101-016-01</t>
  </si>
  <si>
    <t>정미경</t>
  </si>
  <si>
    <t>신탁본부(신탁기획팀)</t>
  </si>
  <si>
    <t>BN-101-008-07</t>
  </si>
  <si>
    <t>이연선</t>
  </si>
  <si>
    <t>BN-101-004-01</t>
  </si>
  <si>
    <t>배창환</t>
  </si>
  <si>
    <t>BN-101-008-05</t>
  </si>
  <si>
    <t>이동우</t>
  </si>
  <si>
    <t>M&amp;A실</t>
  </si>
  <si>
    <t>M&amp;A2팀</t>
  </si>
  <si>
    <t>BN-101-002-07</t>
  </si>
  <si>
    <t>미들팀</t>
  </si>
  <si>
    <t>BN-101-002-02</t>
  </si>
  <si>
    <t>황성현</t>
  </si>
  <si>
    <t>트레이딩센터</t>
  </si>
  <si>
    <t>트레이딩센터(금융파생1팀</t>
  </si>
  <si>
    <t>TS-000-000-14</t>
  </si>
  <si>
    <t>금융공학실(옵션팀)</t>
  </si>
  <si>
    <t>BN-101-002-13</t>
  </si>
  <si>
    <t>이승현</t>
  </si>
  <si>
    <t>소시에테제네랄은행</t>
  </si>
  <si>
    <t>SC-133-020-14</t>
  </si>
  <si>
    <t>유환진</t>
  </si>
  <si>
    <t>서울지점딜링룸</t>
  </si>
  <si>
    <t>글로벌마켓팀</t>
  </si>
  <si>
    <t>SC-133-020-03</t>
  </si>
  <si>
    <t>전태웅</t>
  </si>
  <si>
    <t>에버래스팅인베스트먼트</t>
  </si>
  <si>
    <t>SC-126-000-39</t>
  </si>
  <si>
    <t>손대영</t>
  </si>
  <si>
    <t>SC-126-000-02</t>
  </si>
  <si>
    <t>고객만족팀</t>
  </si>
  <si>
    <t>SC-005-000-06</t>
  </si>
  <si>
    <t>SC-005-004-03</t>
  </si>
  <si>
    <t>이학연</t>
  </si>
  <si>
    <t>IB기업금융팀</t>
  </si>
  <si>
    <t>SC-005-000-11</t>
  </si>
  <si>
    <t>SC-005-001-19</t>
  </si>
  <si>
    <t>고중현</t>
  </si>
  <si>
    <t>SC-005-000-18</t>
  </si>
  <si>
    <t>정석봉</t>
  </si>
  <si>
    <t>SC-005-000-08</t>
  </si>
  <si>
    <t>SC-055-000-02</t>
  </si>
  <si>
    <t>김용엽</t>
  </si>
  <si>
    <t>SC-005-009-12</t>
  </si>
  <si>
    <t>이영혜</t>
  </si>
  <si>
    <t>SC-005-009-13</t>
  </si>
  <si>
    <t>서정욱</t>
  </si>
  <si>
    <t>SC-005-009-06</t>
  </si>
  <si>
    <t>IBK투자증권</t>
  </si>
  <si>
    <t>채권영업담당</t>
  </si>
  <si>
    <t>SC-005-009-04</t>
  </si>
  <si>
    <t>김병훈</t>
  </si>
  <si>
    <t>결제업무팀</t>
  </si>
  <si>
    <t>SC-005-001-01</t>
  </si>
  <si>
    <t>OTC파생팀</t>
  </si>
  <si>
    <t>SC-055-014-06</t>
  </si>
  <si>
    <t>김현식</t>
  </si>
  <si>
    <t>대체자산운용본부</t>
  </si>
  <si>
    <t>전문사모운용본부</t>
  </si>
  <si>
    <t>SC-055-014-04</t>
  </si>
  <si>
    <t>김대종</t>
  </si>
  <si>
    <t>SC-055-014-03</t>
  </si>
  <si>
    <t>신수영</t>
  </si>
  <si>
    <t>FICC파생팀</t>
  </si>
  <si>
    <t>SC-055-014-02</t>
  </si>
  <si>
    <t>SC-055-014-07</t>
  </si>
  <si>
    <t>홍성국</t>
  </si>
  <si>
    <t>SC-055-014-05</t>
  </si>
  <si>
    <t>문정훈</t>
  </si>
  <si>
    <t>종합금융본부장실</t>
  </si>
  <si>
    <t>SC-055-010-03</t>
  </si>
  <si>
    <t>이동구</t>
  </si>
  <si>
    <t>SC-055-010-01</t>
  </si>
  <si>
    <t>오창수</t>
  </si>
  <si>
    <t>SC-005-015-02</t>
  </si>
  <si>
    <t>박은경</t>
  </si>
  <si>
    <t>SC-005-005-01</t>
  </si>
  <si>
    <t>남지우</t>
  </si>
  <si>
    <t>SC-055-022-01</t>
  </si>
  <si>
    <t>한종숙</t>
  </si>
  <si>
    <t>SC-055-000-07</t>
  </si>
  <si>
    <t>박옥희</t>
  </si>
  <si>
    <t>IT</t>
  </si>
  <si>
    <t>SC-052-010-19</t>
  </si>
  <si>
    <t>Spare</t>
  </si>
  <si>
    <t>인터넷 단말</t>
  </si>
  <si>
    <t>Internet Terminal</t>
  </si>
  <si>
    <t>SC-052-001-11</t>
  </si>
  <si>
    <t>Operation(Hyunjun LEE)</t>
  </si>
  <si>
    <t>SC-052-001-10</t>
  </si>
  <si>
    <t>Compliance(Yunna HA)</t>
  </si>
  <si>
    <t>SC-052-001-09</t>
  </si>
  <si>
    <t>HR(Youjung Kwak)</t>
  </si>
  <si>
    <t>SC-052-001-08</t>
  </si>
  <si>
    <t>Compliance(Dongheuk Shin)</t>
  </si>
  <si>
    <t>SC-052-001-07</t>
  </si>
  <si>
    <t>Risk(Nari KIM)</t>
  </si>
  <si>
    <t>SC-052-001-06</t>
  </si>
  <si>
    <t>Finance(Sanghee Bae)</t>
  </si>
  <si>
    <t>SC-052-001-04</t>
  </si>
  <si>
    <t>Operation(Kija Kim)</t>
  </si>
  <si>
    <t>SC-052-001-03</t>
  </si>
  <si>
    <t>Operation(Minji LEE)</t>
  </si>
  <si>
    <t>SC-052-001-02</t>
  </si>
  <si>
    <t>Operation(Sally YOON)</t>
  </si>
  <si>
    <t>EQD ELS Sales</t>
  </si>
  <si>
    <t>SC-052-024-02</t>
  </si>
  <si>
    <t>Ryan S KIM</t>
  </si>
  <si>
    <t>SC-052-020-01</t>
  </si>
  <si>
    <t>Emma KIM</t>
  </si>
  <si>
    <t>Fl Debt Capltal Market</t>
  </si>
  <si>
    <t>SC-052-015-01</t>
  </si>
  <si>
    <t>Fl Sales</t>
  </si>
  <si>
    <t>SC-052-011-03</t>
  </si>
  <si>
    <t>Sangkyun PARK</t>
  </si>
  <si>
    <t>SC-052-011-01</t>
  </si>
  <si>
    <t>Big Lee</t>
  </si>
  <si>
    <t>SC-052-017-01</t>
  </si>
  <si>
    <t>Dosung KIM</t>
  </si>
  <si>
    <t>Sales Trading</t>
  </si>
  <si>
    <t>SC-052-010-24</t>
  </si>
  <si>
    <t>joon PARK</t>
  </si>
  <si>
    <t>Dealing</t>
  </si>
  <si>
    <t>SC-052-010-15</t>
  </si>
  <si>
    <t>이윤선</t>
  </si>
  <si>
    <t>SC-052-010-04</t>
  </si>
  <si>
    <t>권태정</t>
  </si>
  <si>
    <t>CEO</t>
  </si>
  <si>
    <t>SC-052-010-06</t>
  </si>
  <si>
    <t>Hyungho CHOI</t>
  </si>
  <si>
    <t>안양DR센터</t>
  </si>
  <si>
    <t>SC-304-000-26</t>
  </si>
  <si>
    <t>DR</t>
  </si>
  <si>
    <t>SC-304-000-27</t>
  </si>
  <si>
    <t>Jeremy Koo</t>
  </si>
  <si>
    <t>SC-304-000-23</t>
  </si>
  <si>
    <t>고시현</t>
  </si>
  <si>
    <t>Cash Trading</t>
  </si>
  <si>
    <t>TR-000-101-21</t>
  </si>
  <si>
    <t>KIMBOYUN</t>
  </si>
  <si>
    <t>IBC&amp;A</t>
  </si>
  <si>
    <t>BN-304-003-01</t>
  </si>
  <si>
    <t>GCF</t>
  </si>
  <si>
    <t>SC-304-000-05</t>
  </si>
  <si>
    <t>Jenny Han</t>
  </si>
  <si>
    <t>Research</t>
  </si>
  <si>
    <t>SC-304-000-02</t>
  </si>
  <si>
    <t>다이와증권캐피탈마켓코리아</t>
  </si>
  <si>
    <t>IT지원실</t>
  </si>
  <si>
    <t>SC-102-600-01</t>
  </si>
  <si>
    <t>RM(Admin)</t>
  </si>
  <si>
    <t>SC-102-500-01</t>
  </si>
  <si>
    <t>Kang Hun Han</t>
  </si>
  <si>
    <t>SC-102-200-01</t>
  </si>
  <si>
    <t>IB</t>
  </si>
  <si>
    <t>SC-102-010-08</t>
  </si>
  <si>
    <t>박정민(IT)</t>
  </si>
  <si>
    <t>SC-102-300-13</t>
  </si>
  <si>
    <t>Ashley Kim</t>
  </si>
  <si>
    <t>SC-102-300-06</t>
  </si>
  <si>
    <t>Michael Joon Kim</t>
  </si>
  <si>
    <t>SC-102-300-05</t>
  </si>
  <si>
    <t>Chris Park</t>
  </si>
  <si>
    <t>SC-102-300-03</t>
  </si>
  <si>
    <t>Sunny Park</t>
  </si>
  <si>
    <t>FICC</t>
  </si>
  <si>
    <t>FICC Management</t>
  </si>
  <si>
    <t>SC-102-301-01</t>
  </si>
  <si>
    <t>Jinhee Kim</t>
  </si>
  <si>
    <t>Equity Execution</t>
  </si>
  <si>
    <t>SC-102-300-11</t>
  </si>
  <si>
    <t>Hyang Joo Lee(이향주)</t>
  </si>
  <si>
    <t>SC-102-300-10</t>
  </si>
  <si>
    <t>Jee Yeon Yoon</t>
  </si>
  <si>
    <t>SC-102-300-01</t>
  </si>
  <si>
    <t>Yeonjoon Seo</t>
  </si>
  <si>
    <t>SC-102-300-16</t>
  </si>
  <si>
    <t>Seungkyung Lee</t>
  </si>
  <si>
    <t>SC-102-300-14</t>
  </si>
  <si>
    <t>Chunwoo Park(박천우)</t>
  </si>
  <si>
    <t>SC-102-300-04</t>
  </si>
  <si>
    <t>Jun Koh</t>
  </si>
  <si>
    <t>SC-102-300-02</t>
  </si>
  <si>
    <t>Joe Lee</t>
  </si>
  <si>
    <t>SC-102-100-04</t>
  </si>
  <si>
    <t>Jaewan Jeon(전재완)</t>
  </si>
  <si>
    <t>SC-102-100-01</t>
  </si>
  <si>
    <t>Taeyoung Hong</t>
  </si>
  <si>
    <t>SC-133-000-10</t>
  </si>
  <si>
    <t>SC-133-000-09</t>
  </si>
  <si>
    <t>박정아(Jenna,Park)</t>
  </si>
  <si>
    <t>SC-133-000-08</t>
  </si>
  <si>
    <t>배용범</t>
  </si>
  <si>
    <t>SC-133-000-07</t>
  </si>
  <si>
    <t>장욱진</t>
  </si>
  <si>
    <t>SC-133-020-16</t>
  </si>
  <si>
    <t>강준환</t>
  </si>
  <si>
    <t>SC-133-020-07</t>
  </si>
  <si>
    <t>지인규</t>
  </si>
  <si>
    <t>SC-133-000-04</t>
  </si>
  <si>
    <t>최재원</t>
  </si>
  <si>
    <t>SC-133-000-11</t>
  </si>
  <si>
    <t>안세연</t>
  </si>
  <si>
    <t>SC-133-000-05</t>
  </si>
  <si>
    <t>업무부</t>
  </si>
  <si>
    <t>SC-133-010-03</t>
  </si>
  <si>
    <t>이종열</t>
  </si>
  <si>
    <t>노무라금융투자</t>
  </si>
  <si>
    <t>KODC DR Center-Casch EQ Trading 2</t>
  </si>
  <si>
    <t>분당DR센터</t>
  </si>
  <si>
    <t>SC-103-009-03</t>
  </si>
  <si>
    <t>Casch EQ Trading 2</t>
  </si>
  <si>
    <t>KODC DR Center-Casch EQ Trading 1</t>
  </si>
  <si>
    <t>SC-103-009-02</t>
  </si>
  <si>
    <t>Casch EQ Trading 1</t>
  </si>
  <si>
    <t>KODC DR Center-Operation</t>
  </si>
  <si>
    <t>SC-103-009-06</t>
  </si>
  <si>
    <t>Operation</t>
  </si>
  <si>
    <t>IT(Information Technology)_Hong, DK</t>
  </si>
  <si>
    <t>IT(Infarmation Technology)</t>
  </si>
  <si>
    <t>CP-095-000-22</t>
  </si>
  <si>
    <t>Hong,Dk</t>
  </si>
  <si>
    <t>IT(Information Technology)_Kwon, Ed</t>
  </si>
  <si>
    <t>TR-000-000-68</t>
  </si>
  <si>
    <t>라상호</t>
  </si>
  <si>
    <t>IBD</t>
  </si>
  <si>
    <t>CP-095-000-01</t>
  </si>
  <si>
    <t>Research부_Chris Chang</t>
  </si>
  <si>
    <t>SC-103-022-08</t>
  </si>
  <si>
    <t>Chris Chang</t>
  </si>
  <si>
    <t>Reserch부_Jaehyung Choi</t>
  </si>
  <si>
    <t>SC-103-022-07</t>
  </si>
  <si>
    <t>Jaehyung Choi</t>
  </si>
  <si>
    <t>Research부_Angela Hong</t>
  </si>
  <si>
    <t>SC-103-022-06</t>
  </si>
  <si>
    <t>Angela Hong</t>
  </si>
  <si>
    <t>Research부_Cara Song</t>
  </si>
  <si>
    <t>SC-103-022-05</t>
  </si>
  <si>
    <t>Cara Song</t>
  </si>
  <si>
    <t>Research부_Cindy Park</t>
  </si>
  <si>
    <t>SC-103-022-04</t>
  </si>
  <si>
    <t>Cindy Park</t>
  </si>
  <si>
    <t>Research부_CW Chung</t>
  </si>
  <si>
    <t>SC-103-022-03</t>
  </si>
  <si>
    <t>정창원</t>
  </si>
  <si>
    <t>Research부_Michael Na</t>
  </si>
  <si>
    <t>SC-103-022-02</t>
  </si>
  <si>
    <t>Kim, Yoonki</t>
  </si>
  <si>
    <t>Operations</t>
  </si>
  <si>
    <t>SC-103-000-02</t>
  </si>
  <si>
    <t>Equity Sales Trading_Choi, Jihong</t>
  </si>
  <si>
    <t>Equity Sales Trading</t>
  </si>
  <si>
    <t>SC-103-003-19</t>
  </si>
  <si>
    <t>Choi, Jihong</t>
  </si>
  <si>
    <t>Equity Research Sales_Jung, Jay</t>
  </si>
  <si>
    <t>Equity Research Sales</t>
  </si>
  <si>
    <t>SC-103-003-57</t>
  </si>
  <si>
    <t>정지용</t>
  </si>
  <si>
    <t>Equity Research Sales_Steve Sun</t>
  </si>
  <si>
    <t>SC-103-003-56</t>
  </si>
  <si>
    <t>Jin Kim</t>
  </si>
  <si>
    <t>Equity Reserch Sales_Kwon, jay</t>
  </si>
  <si>
    <t>Equity Reserch Sales</t>
  </si>
  <si>
    <t>SC-103-003-26</t>
  </si>
  <si>
    <t>Kwon, Jay</t>
  </si>
  <si>
    <t>Equity Sales Trading_Lee, Hyeongjoo</t>
  </si>
  <si>
    <t>SC-103-003-15</t>
  </si>
  <si>
    <t>Lee, Hyeongjoo</t>
  </si>
  <si>
    <t>Equity Reserch Sales_Jeon, Jay</t>
  </si>
  <si>
    <t>SC-103-003-23</t>
  </si>
  <si>
    <t>Jeon, jay</t>
  </si>
  <si>
    <t>Equity Reserch Sales_Min, Sisung</t>
  </si>
  <si>
    <t>SC-103-007-01</t>
  </si>
  <si>
    <t>민시성</t>
  </si>
  <si>
    <t>KODC DR Center-FID Trading</t>
  </si>
  <si>
    <t>SC-103-009-01</t>
  </si>
  <si>
    <t>FID_Jeon Changwook</t>
  </si>
  <si>
    <t>SC-103-012-03</t>
  </si>
  <si>
    <t>Jein, Chngwook</t>
  </si>
  <si>
    <t>Fixed Income Sales_Jae Jun Lee</t>
  </si>
  <si>
    <t>SC-103-003-66</t>
  </si>
  <si>
    <t>Chris Cnak Wook</t>
  </si>
  <si>
    <t>Fixed Income Sales_Kei Kim</t>
  </si>
  <si>
    <t>SC-103-003-55</t>
  </si>
  <si>
    <t>Kim, Kei</t>
  </si>
  <si>
    <t>Fixed Income Sales_Kim, Sangsik</t>
  </si>
  <si>
    <t>SC-103-011-01</t>
  </si>
  <si>
    <t>Kim, Sangsik</t>
  </si>
  <si>
    <t>Fixed Income Sales_Im, HongGoo</t>
  </si>
  <si>
    <t>Fixed Income Sales</t>
  </si>
  <si>
    <t>SC-103-008-02</t>
  </si>
  <si>
    <t>Lee, Jaebum</t>
  </si>
  <si>
    <t>UBS</t>
  </si>
  <si>
    <t>홍콩(UBSB)</t>
  </si>
  <si>
    <t>SC-104-050-05</t>
  </si>
  <si>
    <t>John Sung</t>
  </si>
  <si>
    <t>SC-104-050-04</t>
  </si>
  <si>
    <t>Freddie Tan</t>
  </si>
  <si>
    <t>홍콩(UBSB</t>
  </si>
  <si>
    <t>SC-104-050-03</t>
  </si>
  <si>
    <t>Tony Law</t>
  </si>
  <si>
    <t>유비에스증권리미티드</t>
  </si>
  <si>
    <t>BCP</t>
  </si>
  <si>
    <t>SC-104-911-02</t>
  </si>
  <si>
    <t>장선진</t>
  </si>
  <si>
    <t>SC-104-911-01</t>
  </si>
  <si>
    <t>EQ Trading</t>
  </si>
  <si>
    <t>SC-104-020-01</t>
  </si>
  <si>
    <t>EQ Sales</t>
  </si>
  <si>
    <t>SC-104-012-01</t>
  </si>
  <si>
    <t>공용단말(윤주현)</t>
  </si>
  <si>
    <t>CCS</t>
  </si>
  <si>
    <t>SC-111-000-02</t>
  </si>
  <si>
    <t>SC-104-030-05</t>
  </si>
  <si>
    <t>오태훈</t>
  </si>
  <si>
    <t>SC-104-030-03</t>
  </si>
  <si>
    <t>김동현</t>
  </si>
  <si>
    <t>SC-104-001-02</t>
  </si>
  <si>
    <t>ETD</t>
  </si>
  <si>
    <t>SC-104-010-15</t>
  </si>
  <si>
    <t>안정우</t>
  </si>
  <si>
    <t>FRC</t>
  </si>
  <si>
    <t>SC-104-010-14</t>
  </si>
  <si>
    <t>류현태</t>
  </si>
  <si>
    <t>EQ Execution</t>
  </si>
  <si>
    <t>SC-104-010-09</t>
  </si>
  <si>
    <t>SC-104-010-04</t>
  </si>
  <si>
    <t>배지선</t>
  </si>
  <si>
    <t>SC-104-010-05</t>
  </si>
  <si>
    <t>장세윤</t>
  </si>
  <si>
    <t>현대선물</t>
  </si>
  <si>
    <t>CP-243-002-08</t>
  </si>
  <si>
    <t>김환기</t>
  </si>
  <si>
    <t>CP-243-002-04</t>
  </si>
  <si>
    <t>홍승원</t>
  </si>
  <si>
    <t>CP-243-002-03</t>
  </si>
  <si>
    <t>CP-243-002-02</t>
  </si>
  <si>
    <t>양우석</t>
  </si>
  <si>
    <t>MN-929-000-06</t>
  </si>
  <si>
    <t>곽태화</t>
  </si>
  <si>
    <t>SC-049-004-03</t>
  </si>
  <si>
    <t>오창석</t>
  </si>
  <si>
    <t>안양백업센타</t>
  </si>
  <si>
    <t>BCP센타</t>
  </si>
  <si>
    <t>SC-130-001-14</t>
  </si>
  <si>
    <t>BCP_Securities (owner: Suh, Pillip)</t>
  </si>
  <si>
    <t>SC-130-001-35</t>
  </si>
  <si>
    <t>BCP_FICC (owner: Park, Jae-Hyuk)</t>
  </si>
  <si>
    <t>SC-130-001-34</t>
  </si>
  <si>
    <t>SC-130-001-33</t>
  </si>
  <si>
    <t>장애대비용</t>
  </si>
  <si>
    <t>SC-130-001-38</t>
  </si>
  <si>
    <t>Ro, Jason</t>
  </si>
  <si>
    <t>SC-130-001-31</t>
  </si>
  <si>
    <t>Daeho Bang</t>
  </si>
  <si>
    <t>SC-130-001-39</t>
  </si>
  <si>
    <t>GIR_Irene Choi</t>
  </si>
  <si>
    <t>SC-130-001-21</t>
  </si>
  <si>
    <t>최윤지</t>
  </si>
  <si>
    <t>SC-130-001-19</t>
  </si>
  <si>
    <t>김다솜</t>
  </si>
  <si>
    <t>EQUITY팀</t>
  </si>
  <si>
    <t>SC-130-001-50</t>
  </si>
  <si>
    <t>Shin, Hyungmin</t>
  </si>
  <si>
    <t>SC-130-001-46</t>
  </si>
  <si>
    <t>Park, Kevin</t>
  </si>
  <si>
    <t>SC-130-001-45</t>
  </si>
  <si>
    <t>Yoon, Howard</t>
  </si>
  <si>
    <t>SC-130-001-40</t>
  </si>
  <si>
    <t>Kim Chris</t>
  </si>
  <si>
    <t>SC-130-001-37</t>
  </si>
  <si>
    <t>Kim, Monica</t>
  </si>
  <si>
    <t>SC-130-001-30</t>
  </si>
  <si>
    <t>Yoon, Sang</t>
  </si>
  <si>
    <t>SC-130-001-28</t>
  </si>
  <si>
    <t>Oh, Jung Hee</t>
  </si>
  <si>
    <t>주식업무팀</t>
  </si>
  <si>
    <t>SC-130-001-26</t>
  </si>
  <si>
    <t>Kiona Lee</t>
  </si>
  <si>
    <t>SC-130-001-17</t>
  </si>
  <si>
    <t>Suh, Phillip</t>
  </si>
  <si>
    <t>SC-130-001-10</t>
  </si>
  <si>
    <t>Oh, Yi Shim</t>
  </si>
  <si>
    <t>SC-130-001-06</t>
  </si>
  <si>
    <t>Cha, Chris</t>
  </si>
  <si>
    <t>SC-130-001-03</t>
  </si>
  <si>
    <t>Moon, Joon Seok</t>
  </si>
  <si>
    <t>오퍼레이션</t>
  </si>
  <si>
    <t>SC-130-001-08</t>
  </si>
  <si>
    <t>EQ ops (Open Desk)</t>
  </si>
  <si>
    <t>TR-000-004-07</t>
  </si>
  <si>
    <t>Song, Jaesup</t>
  </si>
  <si>
    <t>안양BCP센터</t>
  </si>
  <si>
    <t>SC-016-060-03</t>
  </si>
  <si>
    <t>김병국</t>
  </si>
  <si>
    <t>SC-016-060-02</t>
  </si>
  <si>
    <t>EQT S&amp;T</t>
  </si>
  <si>
    <t>EQT Sales</t>
  </si>
  <si>
    <t>SC-116-018-03</t>
  </si>
  <si>
    <t>Lee,Bobby</t>
  </si>
  <si>
    <t>SC-116-010-15</t>
  </si>
  <si>
    <t>Shin Andre</t>
  </si>
  <si>
    <t>채권팀(FICC)</t>
  </si>
  <si>
    <t>SC-116-011-01</t>
  </si>
  <si>
    <t>Oh, Jungmin</t>
  </si>
  <si>
    <t>SC-116-010-08</t>
  </si>
  <si>
    <t>Cho, Sangwoon</t>
  </si>
  <si>
    <t>EQT ELW</t>
  </si>
  <si>
    <t>SC-116-010-17</t>
  </si>
  <si>
    <t>Lee, Sangjin</t>
  </si>
  <si>
    <t>SC-116-018-05</t>
  </si>
  <si>
    <t>Kim, DH Donghyun</t>
  </si>
  <si>
    <t>EQT</t>
  </si>
  <si>
    <t>SC-116-010-06</t>
  </si>
  <si>
    <t>Park Ryan</t>
  </si>
  <si>
    <t>EQT Trading</t>
  </si>
  <si>
    <t>SC-116-060-04</t>
  </si>
  <si>
    <t>Suk, Hyungjun</t>
  </si>
  <si>
    <t>SC-116-060-03</t>
  </si>
  <si>
    <t>Hong, Joohee</t>
  </si>
  <si>
    <t>SC-116-020-01</t>
  </si>
  <si>
    <t>Ahn,Nari</t>
  </si>
  <si>
    <t>브레인자산운용</t>
  </si>
  <si>
    <t>에쿼티운용본부</t>
  </si>
  <si>
    <t>MN-001-001-04</t>
  </si>
  <si>
    <t>송우언</t>
  </si>
  <si>
    <t>TR-000-101-39</t>
  </si>
  <si>
    <t>노수빈</t>
  </si>
  <si>
    <t>GME</t>
  </si>
  <si>
    <t>SC-129-020-10</t>
  </si>
  <si>
    <t>장지호</t>
  </si>
  <si>
    <t>백업센타</t>
  </si>
  <si>
    <t>BN-508-000-01</t>
  </si>
  <si>
    <t>SC-129-010-05</t>
  </si>
  <si>
    <t>정재욱</t>
  </si>
  <si>
    <t>CS증권</t>
  </si>
  <si>
    <t>SC-129-090-01</t>
  </si>
  <si>
    <t>박종민</t>
  </si>
  <si>
    <t>ESP</t>
  </si>
  <si>
    <t>SC-129-040-06</t>
  </si>
  <si>
    <t>신진욱</t>
  </si>
  <si>
    <t>355XE9</t>
  </si>
  <si>
    <t>SC-129-005-02</t>
  </si>
  <si>
    <t>고은영</t>
  </si>
  <si>
    <t>355KST</t>
  </si>
  <si>
    <t>SC-129-040-09</t>
  </si>
  <si>
    <t>이세원</t>
  </si>
  <si>
    <t>SC-129-040-07</t>
  </si>
  <si>
    <t>전성만</t>
  </si>
  <si>
    <t>SC-129-030-04</t>
  </si>
  <si>
    <t>습흰델</t>
  </si>
  <si>
    <t>KS9</t>
  </si>
  <si>
    <t>SC-129-041-01</t>
  </si>
  <si>
    <t>정윤정</t>
  </si>
  <si>
    <t>355KS9</t>
  </si>
  <si>
    <t>SC-129-010-09</t>
  </si>
  <si>
    <t>Jane sul(설재은)</t>
  </si>
  <si>
    <t>SC-129-020-13</t>
  </si>
  <si>
    <t>노현준</t>
  </si>
  <si>
    <t>SC-129-020-06</t>
  </si>
  <si>
    <t>임경근</t>
  </si>
  <si>
    <t>355G79</t>
  </si>
  <si>
    <t>조사부</t>
  </si>
  <si>
    <t>SC-129-010-06</t>
  </si>
  <si>
    <t>윤석</t>
  </si>
  <si>
    <t>35587X</t>
  </si>
  <si>
    <t>LCD</t>
  </si>
  <si>
    <t>SC-129-020-09</t>
  </si>
  <si>
    <t>한정은</t>
  </si>
  <si>
    <t>SC-129-040-04</t>
  </si>
  <si>
    <t>SC-129-040-03</t>
  </si>
  <si>
    <t>SC-129-040-01</t>
  </si>
  <si>
    <t>Spare Dealing</t>
  </si>
  <si>
    <t>TR-000-100-59</t>
  </si>
  <si>
    <t>송기웅</t>
  </si>
  <si>
    <t>SC-119-005-01</t>
  </si>
  <si>
    <t>장석기</t>
  </si>
  <si>
    <t>SC-119-003-08</t>
  </si>
  <si>
    <t>SC-119-003-07</t>
  </si>
  <si>
    <t>SC-119-003-06</t>
  </si>
  <si>
    <t>SC-119-003-04</t>
  </si>
  <si>
    <t>SC-119-003-03</t>
  </si>
  <si>
    <t>SC-119-002-05</t>
  </si>
  <si>
    <t>김호준</t>
  </si>
  <si>
    <t>SC-119-001-01</t>
  </si>
  <si>
    <t>강지민</t>
  </si>
  <si>
    <t>SC-119-000-10</t>
  </si>
  <si>
    <t>박근성</t>
  </si>
  <si>
    <t>SC-119-002-01</t>
  </si>
  <si>
    <t>SC-119-000-12</t>
  </si>
  <si>
    <t>정정택</t>
  </si>
  <si>
    <t>Sales Trader(Rental)</t>
  </si>
  <si>
    <t>SC-119-000-06</t>
  </si>
  <si>
    <t>박린다</t>
  </si>
  <si>
    <t>Dealer(Rental)</t>
  </si>
  <si>
    <t>SC-119-010-01</t>
  </si>
  <si>
    <t>송진이</t>
  </si>
  <si>
    <t>SC-119-004-01</t>
  </si>
  <si>
    <t>딜러</t>
  </si>
  <si>
    <t>SC-119-000-09</t>
  </si>
  <si>
    <t>임현영</t>
  </si>
  <si>
    <t>SC-119-000-18</t>
  </si>
  <si>
    <t>신재호</t>
  </si>
  <si>
    <t>HSBC(Hongkong and Shanghai Banking Crop. Ltd.)</t>
  </si>
  <si>
    <t>SC-107-010-51</t>
  </si>
  <si>
    <t>Dayeon Hong</t>
  </si>
  <si>
    <t>SC-107-010-50</t>
  </si>
  <si>
    <t>Gemini Chu</t>
  </si>
  <si>
    <t>BCP센터</t>
  </si>
  <si>
    <t>SC-107-010-30</t>
  </si>
  <si>
    <t>Sales Support</t>
  </si>
  <si>
    <t>TR-000-102-92</t>
  </si>
  <si>
    <t>한은지</t>
  </si>
  <si>
    <t>SC-107-010-41</t>
  </si>
  <si>
    <t>김혜진</t>
  </si>
  <si>
    <t>FIS</t>
  </si>
  <si>
    <t>SC-107-012-01</t>
  </si>
  <si>
    <t>두진일</t>
  </si>
  <si>
    <t>SC-107-020-01</t>
  </si>
  <si>
    <t>이종진</t>
  </si>
  <si>
    <t>SC-107-011-01</t>
  </si>
  <si>
    <t>cindy</t>
  </si>
  <si>
    <t>SC-107-010-43</t>
  </si>
  <si>
    <t>오훈</t>
  </si>
  <si>
    <t>GEM Sales</t>
  </si>
  <si>
    <t>SC-107-010-47</t>
  </si>
  <si>
    <t>SC-107-010-46</t>
  </si>
  <si>
    <t>SC-107-010-40</t>
  </si>
  <si>
    <t>한재희</t>
  </si>
  <si>
    <t>SC-107-010-52</t>
  </si>
  <si>
    <t>김진열</t>
  </si>
  <si>
    <t>SC-107-010-44</t>
  </si>
  <si>
    <t>Tim Smith</t>
  </si>
  <si>
    <t>settlement</t>
  </si>
  <si>
    <t>SC-107-010-21</t>
  </si>
  <si>
    <t>박희정</t>
  </si>
  <si>
    <t>SC-107-010-18</t>
  </si>
  <si>
    <t>강신영</t>
  </si>
  <si>
    <t>SC-107-010-38</t>
  </si>
  <si>
    <t>SC-107-010-37</t>
  </si>
  <si>
    <t>SC-107-010-04</t>
  </si>
  <si>
    <t>박효순</t>
  </si>
  <si>
    <t>SC-107-010-02</t>
  </si>
  <si>
    <t>성지은</t>
  </si>
  <si>
    <t>TR-000-004-19</t>
  </si>
  <si>
    <t>조사분석부</t>
  </si>
  <si>
    <t>SC-131-038-01</t>
  </si>
  <si>
    <t>서하영</t>
  </si>
  <si>
    <t>SC-131-016-09</t>
  </si>
  <si>
    <t>박현주</t>
  </si>
  <si>
    <t>SC-131-016-08</t>
  </si>
  <si>
    <t>강은주</t>
  </si>
  <si>
    <t>SC-131-016-04</t>
  </si>
  <si>
    <t>SC-131-016-02</t>
  </si>
  <si>
    <t>윤영일</t>
  </si>
  <si>
    <t>TR-000-000-75</t>
  </si>
  <si>
    <t>남정안</t>
  </si>
  <si>
    <t>ST팀</t>
  </si>
  <si>
    <t>SC-131-012-01</t>
  </si>
  <si>
    <t>모간스탠리프라이빗에퀘티매니지먼트코리아</t>
  </si>
  <si>
    <t>MPGK</t>
  </si>
  <si>
    <t>SC-125-000-01</t>
  </si>
  <si>
    <t>PEG</t>
  </si>
  <si>
    <t>SC-124-003-13</t>
  </si>
  <si>
    <t>정회훈</t>
  </si>
  <si>
    <t>SC-124-910-05</t>
  </si>
  <si>
    <t>조상돈</t>
  </si>
  <si>
    <t>SC-124-910-04</t>
  </si>
  <si>
    <t>SC-124-910-03</t>
  </si>
  <si>
    <t>SC-124-910-02</t>
  </si>
  <si>
    <t>SC-124-006-01</t>
  </si>
  <si>
    <t>다니엘 장</t>
  </si>
  <si>
    <t>SC-124-003-30</t>
  </si>
  <si>
    <t>손제리</t>
  </si>
  <si>
    <t>SC-124-003-24</t>
  </si>
  <si>
    <t>SC-124-003-20</t>
  </si>
  <si>
    <t>Jason Park</t>
  </si>
  <si>
    <t>SC-124-003-15</t>
  </si>
  <si>
    <t>Simon Lee</t>
  </si>
  <si>
    <t>SC-124-003-14</t>
  </si>
  <si>
    <t>남기화</t>
  </si>
  <si>
    <t>SC-124-003-10</t>
  </si>
  <si>
    <t>Steve Han</t>
  </si>
  <si>
    <t>SC-124-003-12</t>
  </si>
  <si>
    <t>SC-124-003-02</t>
  </si>
  <si>
    <t>이주영</t>
  </si>
  <si>
    <t>SC-124-000-12</t>
  </si>
  <si>
    <t>강태진</t>
  </si>
  <si>
    <t>결제업무부</t>
  </si>
  <si>
    <t>SC-124-000-17</t>
  </si>
  <si>
    <t>SC-124-000-09</t>
  </si>
  <si>
    <t>공용(김현아)</t>
  </si>
  <si>
    <t>SC-124-000-02</t>
  </si>
  <si>
    <t>Ara Kim</t>
  </si>
  <si>
    <t>맥쿼리은행</t>
  </si>
  <si>
    <t>BN-901-000-03</t>
  </si>
  <si>
    <t>진일정</t>
  </si>
  <si>
    <t>BN-901-000-01</t>
  </si>
  <si>
    <t>Mic</t>
  </si>
  <si>
    <t>CFM</t>
  </si>
  <si>
    <t>SC-105-010-48</t>
  </si>
  <si>
    <t>BN-901-000-02</t>
  </si>
  <si>
    <t>James JW Yoon</t>
  </si>
  <si>
    <t>SC-105-010-38</t>
  </si>
  <si>
    <t>Jane Lee</t>
  </si>
  <si>
    <t>SC-105-010-11</t>
  </si>
  <si>
    <t>JG Kim</t>
  </si>
  <si>
    <t>SC-105-010-25</t>
  </si>
  <si>
    <t>John Ra</t>
  </si>
  <si>
    <t>SC-105-010-42</t>
  </si>
  <si>
    <t>Cate Park</t>
  </si>
  <si>
    <t>SC-105-010-05</t>
  </si>
  <si>
    <t>Myoung Roh</t>
  </si>
  <si>
    <t>SC-105-050-01</t>
  </si>
  <si>
    <t>황찬영</t>
  </si>
  <si>
    <t>SC-105-010-12</t>
  </si>
  <si>
    <t>Research(공용)</t>
  </si>
  <si>
    <t>SC-039-000-08</t>
  </si>
  <si>
    <t>김애정</t>
  </si>
  <si>
    <t>SC-039-000-19</t>
  </si>
  <si>
    <t>SC-039-000-18</t>
  </si>
  <si>
    <t>김동훈</t>
  </si>
  <si>
    <t>SC-039-000-16</t>
  </si>
  <si>
    <t>한상현</t>
  </si>
  <si>
    <t>SC-039-000-01</t>
  </si>
  <si>
    <t>박서영</t>
  </si>
  <si>
    <t>한앤컴퍼니 유한책임회사</t>
  </si>
  <si>
    <t>CP-200-000-03</t>
  </si>
  <si>
    <t>김소연</t>
  </si>
  <si>
    <t>CP-200-000-02</t>
  </si>
  <si>
    <t>강원창</t>
  </si>
  <si>
    <t>CP-200-000-01</t>
  </si>
  <si>
    <t>SC-557-000-10</t>
  </si>
  <si>
    <t>정상돈</t>
  </si>
  <si>
    <t>SC-557-000-09</t>
  </si>
  <si>
    <t>SC-557-000-12</t>
  </si>
  <si>
    <t>SC-557-000-06</t>
  </si>
  <si>
    <t>이민경</t>
  </si>
  <si>
    <t>SC-557-000-03</t>
  </si>
  <si>
    <t>김관호</t>
  </si>
  <si>
    <t>SC-557-000-02</t>
  </si>
  <si>
    <t>임종성</t>
  </si>
  <si>
    <t>KB금융지주</t>
  </si>
  <si>
    <t>경리관리부</t>
  </si>
  <si>
    <t>재무담당부사장실</t>
  </si>
  <si>
    <t>BN-115-010-01</t>
  </si>
  <si>
    <t>우성희</t>
  </si>
  <si>
    <t>스마트시스템부</t>
  </si>
  <si>
    <t>SC-120-009-01</t>
  </si>
  <si>
    <t>남궁원</t>
  </si>
  <si>
    <t>SC-120-005-01</t>
  </si>
  <si>
    <t>강도균</t>
  </si>
  <si>
    <t>파생상품영업본부</t>
  </si>
  <si>
    <t>SC-120-026-02</t>
  </si>
  <si>
    <t>김선창</t>
  </si>
  <si>
    <t>SC-120-022-19</t>
  </si>
  <si>
    <t>조성은</t>
  </si>
  <si>
    <t>SC-120-022-17</t>
  </si>
  <si>
    <t>이준규</t>
  </si>
  <si>
    <t>SC-120-022-16</t>
  </si>
  <si>
    <t>김소정</t>
  </si>
  <si>
    <t>SC-120-022-14</t>
  </si>
  <si>
    <t>엄정은</t>
  </si>
  <si>
    <t>SC-120-022-11</t>
  </si>
  <si>
    <t>SC-120-022-08</t>
  </si>
  <si>
    <t>김경일</t>
  </si>
  <si>
    <t>SC-120-010-08</t>
  </si>
  <si>
    <t>이민환</t>
  </si>
  <si>
    <t>SC-120-010-07</t>
  </si>
  <si>
    <t>김청운</t>
  </si>
  <si>
    <t>SC-120-010-05</t>
  </si>
  <si>
    <t>박경수</t>
  </si>
  <si>
    <t>SC-120-010-02</t>
  </si>
  <si>
    <t>함준호</t>
  </si>
  <si>
    <t>SC-120-010-03</t>
  </si>
  <si>
    <t>장기석</t>
  </si>
  <si>
    <t>SC-120-010-01</t>
  </si>
  <si>
    <t>김태희</t>
  </si>
  <si>
    <t>SC-120-025-02</t>
  </si>
  <si>
    <t>권영욱</t>
  </si>
  <si>
    <t>패시브영업부</t>
  </si>
  <si>
    <t>SC-120-024-01</t>
  </si>
  <si>
    <t>SC-106-041-04</t>
  </si>
  <si>
    <t>결제부</t>
  </si>
  <si>
    <t>SC-106-041-05</t>
  </si>
  <si>
    <t>SC-106-041-03</t>
  </si>
  <si>
    <t>SC-106-041-02</t>
  </si>
  <si>
    <t>SC-106-041-01</t>
  </si>
  <si>
    <t>SC-106-004-02</t>
  </si>
  <si>
    <t>박정준</t>
  </si>
  <si>
    <t>SC-106-004-01</t>
  </si>
  <si>
    <t>SC-106-030-02</t>
  </si>
  <si>
    <t>SC-127-000-01</t>
  </si>
  <si>
    <t>준법감시부</t>
  </si>
  <si>
    <t>COMPLIANCE부</t>
  </si>
  <si>
    <t>SC-106-070-01</t>
  </si>
  <si>
    <t>현물팀</t>
  </si>
  <si>
    <t>SC-106-003-18</t>
  </si>
  <si>
    <t>이헌영</t>
  </si>
  <si>
    <t>SC-106-040-02</t>
  </si>
  <si>
    <t>주식영업팀 국내영업부</t>
  </si>
  <si>
    <t>SC-106-003-06</t>
  </si>
  <si>
    <t>백세리</t>
  </si>
  <si>
    <t>SC-106-031-01</t>
  </si>
  <si>
    <t>정효진</t>
  </si>
  <si>
    <t>SC-106-003-21</t>
  </si>
  <si>
    <t>신련섭</t>
  </si>
  <si>
    <t>SC-106-003-15</t>
  </si>
  <si>
    <t>김자현</t>
  </si>
  <si>
    <t>SC-106-003-13</t>
  </si>
  <si>
    <t>선물팀</t>
  </si>
  <si>
    <t>CP-504-000-01</t>
  </si>
  <si>
    <t>최용석</t>
  </si>
  <si>
    <t>SC-106-003-03</t>
  </si>
  <si>
    <t>MN-204-120-01</t>
  </si>
  <si>
    <t>배재훈</t>
  </si>
  <si>
    <t>명동</t>
  </si>
  <si>
    <t>명동지점</t>
  </si>
  <si>
    <t>MN-204-011-01</t>
  </si>
  <si>
    <t>김홍구</t>
  </si>
  <si>
    <t>금융센터영업부</t>
  </si>
  <si>
    <t>TR-000-101-68</t>
  </si>
  <si>
    <t>이봉석</t>
  </si>
  <si>
    <t>채권2본부</t>
  </si>
  <si>
    <t>MN-204-119-07</t>
  </si>
  <si>
    <t>김선경</t>
  </si>
  <si>
    <t>MN-204-119-06</t>
  </si>
  <si>
    <t>윤자영</t>
  </si>
  <si>
    <t>MN-204-119-05</t>
  </si>
  <si>
    <t>노현주</t>
  </si>
  <si>
    <t>MN-204-119-04</t>
  </si>
  <si>
    <t>김재호</t>
  </si>
  <si>
    <t>MN-204-119-03</t>
  </si>
  <si>
    <t>MN-204-119-02</t>
  </si>
  <si>
    <t>신동훈</t>
  </si>
  <si>
    <t>MN-204-119-01</t>
  </si>
  <si>
    <t>이병곤</t>
  </si>
  <si>
    <t>투자정보팀</t>
  </si>
  <si>
    <t>MN-204-006-01</t>
  </si>
  <si>
    <t>임영기</t>
  </si>
  <si>
    <t>MN-204-118-02</t>
  </si>
  <si>
    <t>김승한</t>
  </si>
  <si>
    <t>MN-204-005-27</t>
  </si>
  <si>
    <t>서향미</t>
  </si>
  <si>
    <t>MN-204-005-39</t>
  </si>
  <si>
    <t>신정민</t>
  </si>
  <si>
    <t>MN-204-005-32</t>
  </si>
  <si>
    <t>서민식</t>
  </si>
  <si>
    <t>MN-204-005-41</t>
  </si>
  <si>
    <t>함경이</t>
  </si>
  <si>
    <t>MN-204-005-40</t>
  </si>
  <si>
    <t>MN-204-005-36</t>
  </si>
  <si>
    <t>신병규</t>
  </si>
  <si>
    <t>MN-204-005-26</t>
  </si>
  <si>
    <t>이명근</t>
  </si>
  <si>
    <t>MN-204-005-20</t>
  </si>
  <si>
    <t>MN-204-030-03</t>
  </si>
  <si>
    <t>남규광</t>
  </si>
  <si>
    <t>MN-204-030-02</t>
  </si>
  <si>
    <t>송유선</t>
  </si>
  <si>
    <t>MN-204-030-01</t>
  </si>
  <si>
    <t>박연호</t>
  </si>
  <si>
    <t>MN-204-005-17</t>
  </si>
  <si>
    <t>증권법인팀</t>
  </si>
  <si>
    <t>MN-204-005-38</t>
  </si>
  <si>
    <t>정자영</t>
  </si>
  <si>
    <t>MN-204-111-03</t>
  </si>
  <si>
    <t>이후영</t>
  </si>
  <si>
    <t>MN-204-117-01</t>
  </si>
  <si>
    <t>김홍찬</t>
  </si>
  <si>
    <t>MN-204-040-01</t>
  </si>
  <si>
    <t>정효상</t>
  </si>
  <si>
    <t>프로젝트금융팀</t>
  </si>
  <si>
    <t>MN-204-017-01</t>
  </si>
  <si>
    <t>최영걸</t>
  </si>
  <si>
    <t>결재업무팀</t>
  </si>
  <si>
    <t>MN-204-015-02</t>
  </si>
  <si>
    <t>투자정보시스템팀</t>
  </si>
  <si>
    <t>SC-044-040-01</t>
  </si>
  <si>
    <t>이민녕</t>
  </si>
  <si>
    <t>업부시스템사업부</t>
  </si>
  <si>
    <t>SC-044-101-01</t>
  </si>
  <si>
    <t>김건국</t>
  </si>
  <si>
    <t>업무개발팀</t>
  </si>
  <si>
    <t>SC-044-072-01</t>
  </si>
  <si>
    <t>신현근</t>
  </si>
  <si>
    <t>SC-044-052-01</t>
  </si>
  <si>
    <t>윤현종</t>
  </si>
  <si>
    <t>SC-044-100-21</t>
  </si>
  <si>
    <t>한동훈</t>
  </si>
  <si>
    <t>SC-044-050-37</t>
  </si>
  <si>
    <t>정혜원</t>
  </si>
  <si>
    <t>SC-044-050-36</t>
  </si>
  <si>
    <t>박지영</t>
  </si>
  <si>
    <t>SC-044-050-35</t>
  </si>
  <si>
    <t>임동진</t>
  </si>
  <si>
    <t>SC-044-050-29</t>
  </si>
  <si>
    <t>고예진</t>
  </si>
  <si>
    <t>SC-044-050-27</t>
  </si>
  <si>
    <t>허영홍</t>
  </si>
  <si>
    <t>SC-044-050-16</t>
  </si>
  <si>
    <t>고예은</t>
  </si>
  <si>
    <t>SC-044-050-07</t>
  </si>
  <si>
    <t>SC-044-400-01</t>
  </si>
  <si>
    <t>SC-044-300-06</t>
  </si>
  <si>
    <t>유동원</t>
  </si>
  <si>
    <t>SC-044-300-03</t>
  </si>
  <si>
    <t>이창학</t>
  </si>
  <si>
    <t>SC-044-300-01</t>
  </si>
  <si>
    <t>김우섭</t>
  </si>
  <si>
    <t>파생선물영업팀</t>
  </si>
  <si>
    <t>SC-044-056-01</t>
  </si>
  <si>
    <t>SC-044-073-03</t>
  </si>
  <si>
    <t>최혜경</t>
  </si>
  <si>
    <t>SC-044-073-02</t>
  </si>
  <si>
    <t>고재현</t>
  </si>
  <si>
    <t>SC-044-073-01</t>
  </si>
  <si>
    <t>홍완기</t>
  </si>
  <si>
    <t>법인파생영업팀</t>
  </si>
  <si>
    <t>SC-044-060-07</t>
  </si>
  <si>
    <t>남현우</t>
  </si>
  <si>
    <t>SC-044-060-02</t>
  </si>
  <si>
    <t>SC-044-024-01</t>
  </si>
  <si>
    <t>SC-044-060-04</t>
  </si>
  <si>
    <t>SC-044-030-01</t>
  </si>
  <si>
    <t>SC-044-053-02</t>
  </si>
  <si>
    <t>최윤경</t>
  </si>
  <si>
    <t>SC-044-053-01</t>
  </si>
  <si>
    <t>조경택</t>
  </si>
  <si>
    <t>SC-201-000-24</t>
  </si>
  <si>
    <t>SC-201-000-23</t>
  </si>
  <si>
    <t>윤종환</t>
  </si>
  <si>
    <t>SC-201-000-20</t>
  </si>
  <si>
    <t>오춘석</t>
  </si>
  <si>
    <t>SC-201-000-18</t>
  </si>
  <si>
    <t>박세훈</t>
  </si>
  <si>
    <t>SC-201-000-16</t>
  </si>
  <si>
    <t>김순희</t>
  </si>
  <si>
    <t>SC-201-000-14</t>
  </si>
  <si>
    <t>(공석)</t>
  </si>
  <si>
    <t>SC-201-000-07</t>
  </si>
  <si>
    <t>이상근</t>
  </si>
  <si>
    <t>SC-201-000-06</t>
  </si>
  <si>
    <t>문지혜</t>
  </si>
  <si>
    <t>SC-038-028-01</t>
  </si>
  <si>
    <t>김성민</t>
  </si>
  <si>
    <t>리테일원화채권팀</t>
  </si>
  <si>
    <t>SC-038-031-01</t>
  </si>
  <si>
    <t>진선미</t>
  </si>
  <si>
    <t>MN-923-000-26</t>
  </si>
  <si>
    <t>문성희</t>
  </si>
  <si>
    <t>WRAP솔루션팀</t>
  </si>
  <si>
    <t>SC-038-026-05</t>
  </si>
  <si>
    <t>이우선</t>
  </si>
  <si>
    <t>SC-038-026-03</t>
  </si>
  <si>
    <t>김현도</t>
  </si>
  <si>
    <t>SC-038-026-06</t>
  </si>
  <si>
    <t>서지원</t>
  </si>
  <si>
    <t>SC-038-026-04</t>
  </si>
  <si>
    <t>배대훈(공용)</t>
  </si>
  <si>
    <t>SC-038-026-01</t>
  </si>
  <si>
    <t>배대훈</t>
  </si>
  <si>
    <t>RP운용팀</t>
  </si>
  <si>
    <t>SC-038-021-14</t>
  </si>
  <si>
    <t>이원실</t>
  </si>
  <si>
    <t>리테일외환채권팀</t>
  </si>
  <si>
    <t>리테일채권본부장</t>
  </si>
  <si>
    <t>SC-038-021-02</t>
  </si>
  <si>
    <t>송창섭</t>
  </si>
  <si>
    <t>SC-038-021-16</t>
  </si>
  <si>
    <t>하형호</t>
  </si>
  <si>
    <t>채권영업본부장</t>
  </si>
  <si>
    <t>SC-038-021-10</t>
  </si>
  <si>
    <t>전귀학</t>
  </si>
  <si>
    <t>SC-038-021-03</t>
  </si>
  <si>
    <t>조기례</t>
  </si>
  <si>
    <t>SC-923-003-01</t>
  </si>
  <si>
    <t>이지영</t>
  </si>
  <si>
    <t>자산운용3본부</t>
  </si>
  <si>
    <t>MN-949-000-16</t>
  </si>
  <si>
    <t>송한아</t>
  </si>
  <si>
    <t>MN-949-000-14</t>
  </si>
  <si>
    <t>손환락</t>
  </si>
  <si>
    <t>자산운용1본부</t>
  </si>
  <si>
    <t>MN-949-000-09</t>
  </si>
  <si>
    <t>이승혁</t>
  </si>
  <si>
    <t>MN-949-000-12</t>
  </si>
  <si>
    <t>김운실</t>
  </si>
  <si>
    <t>MN-949-000-06</t>
  </si>
  <si>
    <t>서승경</t>
  </si>
  <si>
    <t>경영관리부</t>
  </si>
  <si>
    <t>TR-000-002-76</t>
  </si>
  <si>
    <t>금대기</t>
  </si>
  <si>
    <t>SC-003-009-01</t>
  </si>
  <si>
    <t>배현철</t>
  </si>
  <si>
    <t>SC-003-011-22</t>
  </si>
  <si>
    <t>정광욱</t>
  </si>
  <si>
    <t>SC-003-011-19</t>
  </si>
  <si>
    <t>최하영</t>
  </si>
  <si>
    <t>SC-003-011-23</t>
  </si>
  <si>
    <t>부재훈</t>
  </si>
  <si>
    <t>SC-003-011-15</t>
  </si>
  <si>
    <t>정지태</t>
  </si>
  <si>
    <t>SC-003-011-14</t>
  </si>
  <si>
    <t>이가영</t>
  </si>
  <si>
    <t>SC-003-011-11</t>
  </si>
  <si>
    <t>최지연</t>
  </si>
  <si>
    <t>SC-003-011-08</t>
  </si>
  <si>
    <t>권선미</t>
  </si>
  <si>
    <t>SC-003-011-07</t>
  </si>
  <si>
    <t>송정원</t>
  </si>
  <si>
    <t>SC-003-011-06</t>
  </si>
  <si>
    <t>송원상</t>
  </si>
  <si>
    <t>SC-003-065-03</t>
  </si>
  <si>
    <t>박승이</t>
  </si>
  <si>
    <t>투자정보부</t>
  </si>
  <si>
    <t>SC-003-019-01</t>
  </si>
  <si>
    <t>황유진</t>
  </si>
  <si>
    <t>SC-047-002-01</t>
  </si>
  <si>
    <t>김현중</t>
  </si>
  <si>
    <t>재무관리부(공용)</t>
  </si>
  <si>
    <t>SC-003-023-01</t>
  </si>
  <si>
    <t>최연심</t>
  </si>
  <si>
    <t>투자공학부</t>
  </si>
  <si>
    <t>SC-003-041-01</t>
  </si>
  <si>
    <t>제가현</t>
  </si>
  <si>
    <t>SC-047-080-09</t>
  </si>
  <si>
    <t>SC-047-080-07</t>
  </si>
  <si>
    <t>김종삼</t>
  </si>
  <si>
    <t>SC-047-080-03</t>
  </si>
  <si>
    <t>이나영</t>
  </si>
  <si>
    <t>고용보험기금위험관리부</t>
  </si>
  <si>
    <t>SC-047-005-02</t>
  </si>
  <si>
    <t>정태진</t>
  </si>
  <si>
    <t>SC-047-005-01</t>
  </si>
  <si>
    <t>윤선일</t>
  </si>
  <si>
    <t>SC-003-021-05</t>
  </si>
  <si>
    <t>장선미</t>
  </si>
  <si>
    <t>선물옵션영업부</t>
  </si>
  <si>
    <t>SC-003-065-20</t>
  </si>
  <si>
    <t>SC-003-065-01</t>
  </si>
  <si>
    <t>양성범</t>
  </si>
  <si>
    <t>경영기획총괄</t>
  </si>
  <si>
    <t>프로젝트금융본부</t>
  </si>
  <si>
    <t>SC-003-050-02</t>
  </si>
  <si>
    <t>익산</t>
  </si>
  <si>
    <t>전주지점</t>
  </si>
  <si>
    <t>SC-047-014-01</t>
  </si>
  <si>
    <t>서초동</t>
  </si>
  <si>
    <t>서초중앙</t>
  </si>
  <si>
    <t>SC-047-112-02</t>
  </si>
  <si>
    <t>이용구</t>
  </si>
  <si>
    <t>SC-047-011-01</t>
  </si>
  <si>
    <t>FICC공학부</t>
  </si>
  <si>
    <t>SC-047-082-01</t>
  </si>
  <si>
    <t>이인석</t>
  </si>
  <si>
    <t>SC-047-081-04</t>
  </si>
  <si>
    <t>신보람</t>
  </si>
  <si>
    <t>SC-003-041-06</t>
  </si>
  <si>
    <t>이희진</t>
  </si>
  <si>
    <t>FI금융부</t>
  </si>
  <si>
    <t>SC-047-070-10</t>
  </si>
  <si>
    <t>오가희</t>
  </si>
  <si>
    <t>SC-047-070-04</t>
  </si>
  <si>
    <t>인수영업1부/2부</t>
  </si>
  <si>
    <t>인수영업1부</t>
  </si>
  <si>
    <t>SC-047-012-01</t>
  </si>
  <si>
    <t>이상욱</t>
  </si>
  <si>
    <t>SC-047-080-06</t>
  </si>
  <si>
    <t>박인규</t>
  </si>
  <si>
    <t>투자전략부</t>
  </si>
  <si>
    <t>SC-047-030-03</t>
  </si>
  <si>
    <t>김대준</t>
  </si>
  <si>
    <t>SC-031-018-01</t>
  </si>
  <si>
    <t>권성제</t>
  </si>
  <si>
    <t>SC-031-049-01</t>
  </si>
  <si>
    <t>송지용</t>
  </si>
  <si>
    <t>SC-031-047-01</t>
  </si>
  <si>
    <t>김창순</t>
  </si>
  <si>
    <t>상품지원팀</t>
  </si>
  <si>
    <t>FICC프로덕트팀</t>
  </si>
  <si>
    <t>SC-031-051-02</t>
  </si>
  <si>
    <t>SC-031-051-01</t>
  </si>
  <si>
    <t>임나경</t>
  </si>
  <si>
    <t>TR-000-101-63</t>
  </si>
  <si>
    <t>박은옥</t>
  </si>
  <si>
    <t>리서치센터(채권전략팀</t>
  </si>
  <si>
    <t>리서치(주식전략팀)</t>
  </si>
  <si>
    <t>SC-031-045-01</t>
  </si>
  <si>
    <t>강대승</t>
  </si>
  <si>
    <t>리서치센터(기업분석1팀)</t>
  </si>
  <si>
    <t>SC-031-040-01</t>
  </si>
  <si>
    <t>강현기</t>
  </si>
  <si>
    <t>대체투자금융팀</t>
  </si>
  <si>
    <t>기관금융팀</t>
  </si>
  <si>
    <t>SC-031-023-02</t>
  </si>
  <si>
    <t>해외채권금융팀</t>
  </si>
  <si>
    <t>SC-031-023-01</t>
  </si>
  <si>
    <t>이근우</t>
  </si>
  <si>
    <t>Credit영업팀</t>
  </si>
  <si>
    <t>SC-031-048-02</t>
  </si>
  <si>
    <t>김종일</t>
  </si>
  <si>
    <t>Credit상품팀</t>
  </si>
  <si>
    <t>SC-031-028-10</t>
  </si>
  <si>
    <t>소재완</t>
  </si>
  <si>
    <t>SC-031-021-26</t>
  </si>
  <si>
    <t>장지선</t>
  </si>
  <si>
    <t>FICC금융팀</t>
  </si>
  <si>
    <t>CM금융본부</t>
  </si>
  <si>
    <t>SC-031-053-01</t>
  </si>
  <si>
    <t>송영재</t>
  </si>
  <si>
    <t>FICC하이브리드팀</t>
  </si>
  <si>
    <t>FICC영업,운용본부</t>
  </si>
  <si>
    <t>SC-031-021-18</t>
  </si>
  <si>
    <t>강성욱</t>
  </si>
  <si>
    <t>SC-031-021-12</t>
  </si>
  <si>
    <t>이도현</t>
  </si>
  <si>
    <t>SC-031-021-19</t>
  </si>
  <si>
    <t>김영창</t>
  </si>
  <si>
    <t>캐피탈금융팀</t>
  </si>
  <si>
    <t>SC-031-028-08</t>
  </si>
  <si>
    <t>안종철</t>
  </si>
  <si>
    <t>FICC운용팀2</t>
  </si>
  <si>
    <t>SC-031-043-01</t>
  </si>
  <si>
    <t>원유빈</t>
  </si>
  <si>
    <t>FICC운용팀1</t>
  </si>
  <si>
    <t>SC-031-021-25</t>
  </si>
  <si>
    <t>문완철</t>
  </si>
  <si>
    <t>SC-031-004-01</t>
  </si>
  <si>
    <t>신동철</t>
  </si>
  <si>
    <t>삼성동지점</t>
  </si>
  <si>
    <t>코엑스지점</t>
  </si>
  <si>
    <t>SC-030-132-01</t>
  </si>
  <si>
    <t>김경호</t>
  </si>
  <si>
    <t>SC-030-039-50</t>
  </si>
  <si>
    <t>한정우</t>
  </si>
  <si>
    <t>FICC Solution팀</t>
  </si>
  <si>
    <t>SC-030-014-01</t>
  </si>
  <si>
    <t>김성원</t>
  </si>
  <si>
    <t>Sales Trading팀</t>
  </si>
  <si>
    <t>SC-030-039-02</t>
  </si>
  <si>
    <t>정민경</t>
  </si>
  <si>
    <t>SC-030-039-01</t>
  </si>
  <si>
    <t>박원일</t>
  </si>
  <si>
    <t>SC-030-012-13</t>
  </si>
  <si>
    <t>나아람</t>
  </si>
  <si>
    <t>SC-030-011-12</t>
  </si>
  <si>
    <t>이주현</t>
  </si>
  <si>
    <t>SC-030-011-08</t>
  </si>
  <si>
    <t>이찬봉</t>
  </si>
  <si>
    <t>SC-030-011-06</t>
  </si>
  <si>
    <t>SC-030-011-02</t>
  </si>
  <si>
    <t>손영득</t>
  </si>
  <si>
    <t>SC-030-004-02</t>
  </si>
  <si>
    <t>박진국</t>
  </si>
  <si>
    <t>SC-030-007-09</t>
  </si>
  <si>
    <t>성수연</t>
  </si>
  <si>
    <t>SC-030-007-08</t>
  </si>
  <si>
    <t>김선용</t>
  </si>
  <si>
    <t>SC-030-007-07</t>
  </si>
  <si>
    <t>SC-030-005-14</t>
  </si>
  <si>
    <t>이한빈</t>
  </si>
  <si>
    <t>SC-030-005-13</t>
  </si>
  <si>
    <t>강희진</t>
  </si>
  <si>
    <t>SC-030-038-05</t>
  </si>
  <si>
    <t>권순욱</t>
  </si>
  <si>
    <t>SC-030-038-02</t>
  </si>
  <si>
    <t>최승현</t>
  </si>
  <si>
    <t>SC-030-005-09</t>
  </si>
  <si>
    <t>SC-030-050-01</t>
  </si>
  <si>
    <t>안재형</t>
  </si>
  <si>
    <t>SC-030-038-03</t>
  </si>
  <si>
    <t>인준교</t>
  </si>
  <si>
    <t>SC-030-038-01</t>
  </si>
  <si>
    <t>최선우</t>
  </si>
  <si>
    <t>SC-030-011-10</t>
  </si>
  <si>
    <t>김은열</t>
  </si>
  <si>
    <t>EquityTrading팀</t>
  </si>
  <si>
    <t>SC-030-028-02</t>
  </si>
  <si>
    <t>조세림</t>
  </si>
  <si>
    <t>PBS사업부</t>
  </si>
  <si>
    <t>SC-030-012-14</t>
  </si>
  <si>
    <t>박보경</t>
  </si>
  <si>
    <t>채권인수팀</t>
  </si>
  <si>
    <t>SC-030-020-01</t>
  </si>
  <si>
    <t>이재훈</t>
  </si>
  <si>
    <t>이자율외환운용팀</t>
  </si>
  <si>
    <t>SC-030-022-01</t>
  </si>
  <si>
    <t>임정현</t>
  </si>
  <si>
    <t>SC-030-022-02</t>
  </si>
  <si>
    <t>hsmjack</t>
  </si>
  <si>
    <t>FICC파생운용팀</t>
  </si>
  <si>
    <t>SC-030-022-05</t>
  </si>
  <si>
    <t>최정환</t>
  </si>
  <si>
    <t>SC-030-009-02</t>
  </si>
  <si>
    <t>SC-030-022-06</t>
  </si>
  <si>
    <t>SC-030-005-07</t>
  </si>
  <si>
    <t>김형조</t>
  </si>
  <si>
    <t>SC-030-037-02</t>
  </si>
  <si>
    <t>이우정</t>
  </si>
  <si>
    <t>SC-030-037-01</t>
  </si>
  <si>
    <t>박성제</t>
  </si>
  <si>
    <t>SC-030-021-02</t>
  </si>
  <si>
    <t>정서호</t>
  </si>
  <si>
    <t>SC-030-005-01</t>
  </si>
  <si>
    <t>고영준</t>
  </si>
  <si>
    <t>SC-030-042-02</t>
  </si>
  <si>
    <t>진종훈</t>
  </si>
  <si>
    <t>SC-030-042-01</t>
  </si>
  <si>
    <t>김규록</t>
  </si>
  <si>
    <t>SC-030-002-01</t>
  </si>
  <si>
    <t>이혁진</t>
  </si>
  <si>
    <t>리서치센터(MACRO채권팀)</t>
  </si>
  <si>
    <t>SC-030-021-03</t>
  </si>
  <si>
    <t>김지은</t>
  </si>
  <si>
    <t>SC-030-021-01</t>
  </si>
  <si>
    <t>전균</t>
  </si>
  <si>
    <t>SC-030-011-04</t>
  </si>
  <si>
    <t>안경수</t>
  </si>
  <si>
    <t>리서치센터(리서치지원)</t>
  </si>
  <si>
    <t>SC-030-030-01</t>
  </si>
  <si>
    <t>김찬호</t>
  </si>
  <si>
    <t>Wrap운용팀</t>
  </si>
  <si>
    <t>Wrap운용2팀</t>
  </si>
  <si>
    <t>SC-030-018-01</t>
  </si>
  <si>
    <t>김윤수</t>
  </si>
  <si>
    <t>Wrap운용1팀</t>
  </si>
  <si>
    <t>SC-030-018-03</t>
  </si>
  <si>
    <t>박기한</t>
  </si>
  <si>
    <t>SC-030-010-01</t>
  </si>
  <si>
    <t>이영기</t>
  </si>
  <si>
    <t>SC-030-035-01</t>
  </si>
  <si>
    <t>SC-029-011-02</t>
  </si>
  <si>
    <t>강임균</t>
  </si>
  <si>
    <t>SC-029-011-01</t>
  </si>
  <si>
    <t>kimjungtae</t>
  </si>
  <si>
    <t>SC-029-010-07</t>
  </si>
  <si>
    <t>유은진</t>
  </si>
  <si>
    <t>SC-015-006-02</t>
  </si>
  <si>
    <t>임진영</t>
  </si>
  <si>
    <t>SC-029-050-04</t>
  </si>
  <si>
    <t>김종대</t>
  </si>
  <si>
    <t>SC-029-051-01</t>
  </si>
  <si>
    <t>정기영</t>
  </si>
  <si>
    <t>압구정 PIB센터</t>
  </si>
  <si>
    <t>SC-025-128-01</t>
  </si>
  <si>
    <t>구기일</t>
  </si>
  <si>
    <t>SC-025-999-01</t>
  </si>
  <si>
    <t>정성화</t>
  </si>
  <si>
    <t>WM추진본부</t>
  </si>
  <si>
    <t>SC-025-127-02</t>
  </si>
  <si>
    <t>박태형</t>
  </si>
  <si>
    <t>SC-025-038-01</t>
  </si>
  <si>
    <t>이송희</t>
  </si>
  <si>
    <t>SC-025-021-01</t>
  </si>
  <si>
    <t>SC-025-910-01</t>
  </si>
  <si>
    <t>최석원</t>
  </si>
  <si>
    <t>상무실</t>
  </si>
  <si>
    <t>SC-025-039-02</t>
  </si>
  <si>
    <t>김응삼</t>
  </si>
  <si>
    <t>SC-025-039-01</t>
  </si>
  <si>
    <t>(공용)배효영</t>
  </si>
  <si>
    <t>SC-010-999-02</t>
  </si>
  <si>
    <t>오세진</t>
  </si>
  <si>
    <t>SC-025-031-20</t>
  </si>
  <si>
    <t>채권상품운용팀</t>
  </si>
  <si>
    <t>SC-025-031-18</t>
  </si>
  <si>
    <t>정은정</t>
  </si>
  <si>
    <t>채권프랍운용팀</t>
  </si>
  <si>
    <t>SC-025-031-17</t>
  </si>
  <si>
    <t>김성일</t>
  </si>
  <si>
    <t>SC-025-055-03</t>
  </si>
  <si>
    <t>김양진</t>
  </si>
  <si>
    <t>SC-025-055-02</t>
  </si>
  <si>
    <t>최희승</t>
  </si>
  <si>
    <t>SC-025-055-01</t>
  </si>
  <si>
    <t>김민석</t>
  </si>
  <si>
    <t>WM컨설팅</t>
  </si>
  <si>
    <t>SC-025-036-01</t>
  </si>
  <si>
    <t>SC-025-032-01</t>
  </si>
  <si>
    <t>송영복</t>
  </si>
  <si>
    <t>상품기획팀</t>
  </si>
  <si>
    <t>SC-025-036-02</t>
  </si>
  <si>
    <t>허진승</t>
  </si>
  <si>
    <t>SC-025-031-15</t>
  </si>
  <si>
    <t>WM지원팀</t>
  </si>
  <si>
    <t>SC-025-002-01</t>
  </si>
  <si>
    <t>안재홍</t>
  </si>
  <si>
    <t>장내파생운용팀</t>
  </si>
  <si>
    <t>SC-025-054-03</t>
  </si>
  <si>
    <t>이윤석</t>
  </si>
  <si>
    <t>SC-025-054-01</t>
  </si>
  <si>
    <t>SC-025-031-11</t>
  </si>
  <si>
    <t>전동한</t>
  </si>
  <si>
    <t>SC-025-031-04</t>
  </si>
  <si>
    <t>홍성용</t>
  </si>
  <si>
    <t>SC-025-031-03</t>
  </si>
  <si>
    <t>안지운</t>
  </si>
  <si>
    <t>SC-025-016-01</t>
  </si>
  <si>
    <t>이의혁</t>
  </si>
  <si>
    <t>Passive영업팀</t>
  </si>
  <si>
    <t>TR-000-105-49</t>
  </si>
  <si>
    <t>박지환</t>
  </si>
  <si>
    <t>기업금융/PM공용</t>
  </si>
  <si>
    <t>기업금융3팀</t>
  </si>
  <si>
    <t>SC-025-015-01</t>
  </si>
  <si>
    <t>(공용)김서연</t>
  </si>
  <si>
    <t>인피니티투자자문</t>
  </si>
  <si>
    <t>MN-000-424-06</t>
  </si>
  <si>
    <t>최일호</t>
  </si>
  <si>
    <t>금융센터인천본부점</t>
  </si>
  <si>
    <t>SC-024-908-03</t>
  </si>
  <si>
    <t>윤옥근</t>
  </si>
  <si>
    <t>금융센터도곡본부점</t>
  </si>
  <si>
    <t>SC-024-131-09</t>
  </si>
  <si>
    <t>최종택</t>
  </si>
  <si>
    <t>SC-024-131-08</t>
  </si>
  <si>
    <t>김종연</t>
  </si>
  <si>
    <t>SC-024-109-01</t>
  </si>
  <si>
    <t>김춘헌</t>
  </si>
  <si>
    <t>W-prestiqe강북센터</t>
  </si>
  <si>
    <t>SC-024-080-02</t>
  </si>
  <si>
    <t>오병찬</t>
  </si>
  <si>
    <t>영업부(오병찬고문실)</t>
  </si>
  <si>
    <t>SC-024-011-01</t>
  </si>
  <si>
    <t>SC-024-002-02</t>
  </si>
  <si>
    <t>트레이딩본부장</t>
  </si>
  <si>
    <t>트레이딩본부장/OTC마켓팅팀</t>
  </si>
  <si>
    <t>SC-024-075-05</t>
  </si>
  <si>
    <t>김규형</t>
  </si>
  <si>
    <t>operation팀</t>
  </si>
  <si>
    <t>SC-024-008-01</t>
  </si>
  <si>
    <t>하은선</t>
  </si>
  <si>
    <t>SC-024-005-11</t>
  </si>
  <si>
    <t>김현준</t>
  </si>
  <si>
    <t>SC-024-021-12</t>
  </si>
  <si>
    <t>기승찬</t>
  </si>
  <si>
    <t>SC-024-030-17</t>
  </si>
  <si>
    <t>이원희</t>
  </si>
  <si>
    <t>SC-024-030-07</t>
  </si>
  <si>
    <t>SC-024-030-06</t>
  </si>
  <si>
    <t>SC-024-030-04</t>
  </si>
  <si>
    <t>장경식</t>
  </si>
  <si>
    <t>SC-024-030-01</t>
  </si>
  <si>
    <t>박봉진</t>
  </si>
  <si>
    <t>SC-024-005-14</t>
  </si>
  <si>
    <t>정경균</t>
  </si>
  <si>
    <t>SC-024-075-07</t>
  </si>
  <si>
    <t>유민종</t>
  </si>
  <si>
    <t>SC-024-075-06</t>
  </si>
  <si>
    <t>SC-024-075-04</t>
  </si>
  <si>
    <t>김석준</t>
  </si>
  <si>
    <t>SC-024-030-30</t>
  </si>
  <si>
    <t>오제찬</t>
  </si>
  <si>
    <t>SC-024-030-16</t>
  </si>
  <si>
    <t>김규윤</t>
  </si>
  <si>
    <t>SC-024-007-07</t>
  </si>
  <si>
    <t>정명철</t>
  </si>
  <si>
    <t>capital market팀</t>
  </si>
  <si>
    <t>SC-024-060-03</t>
  </si>
  <si>
    <t>최인석</t>
  </si>
  <si>
    <t>SC-024-060-05</t>
  </si>
  <si>
    <t>윤경인</t>
  </si>
  <si>
    <t>SC-024-060-04</t>
  </si>
  <si>
    <t>최명길</t>
  </si>
  <si>
    <t>SC-024-060-01</t>
  </si>
  <si>
    <t>SC-024-021-51</t>
  </si>
  <si>
    <t>이준태</t>
  </si>
  <si>
    <t>SC-024-021-50</t>
  </si>
  <si>
    <t>곽기봉</t>
  </si>
  <si>
    <t>SC-024-021-02</t>
  </si>
  <si>
    <t>허광구</t>
  </si>
  <si>
    <t>SC-024-021-10</t>
  </si>
  <si>
    <t>SC-024-021-11</t>
  </si>
  <si>
    <t>고명준</t>
  </si>
  <si>
    <t>SC-024-021-09</t>
  </si>
  <si>
    <t>양영록</t>
  </si>
  <si>
    <t>SC-024-021-05</t>
  </si>
  <si>
    <t>최훈근</t>
  </si>
  <si>
    <t>SC-024-021-01</t>
  </si>
  <si>
    <t>윤태준</t>
  </si>
  <si>
    <t>컨텐츠팀</t>
  </si>
  <si>
    <t>상황실</t>
  </si>
  <si>
    <t>SC-024-012-01</t>
  </si>
  <si>
    <t>유화증권</t>
  </si>
  <si>
    <t>SC-023-022-14</t>
  </si>
  <si>
    <t>SC-023-022-08</t>
  </si>
  <si>
    <t>김서항</t>
  </si>
  <si>
    <t>E-Biz팀</t>
  </si>
  <si>
    <t>SC-022-061-01</t>
  </si>
  <si>
    <t>구조화금융기획팀</t>
  </si>
  <si>
    <t>PM팀</t>
  </si>
  <si>
    <t>SC-022-027-01</t>
  </si>
  <si>
    <t>유영진</t>
  </si>
  <si>
    <t>SC-022-040-01</t>
  </si>
  <si>
    <t>SC-022-025-01</t>
  </si>
  <si>
    <t>김희관</t>
  </si>
  <si>
    <t>SC-022-042-01</t>
  </si>
  <si>
    <t>조나리</t>
  </si>
  <si>
    <t>법인주식2팀</t>
  </si>
  <si>
    <t>SC-022-071-01</t>
  </si>
  <si>
    <t>박신우</t>
  </si>
  <si>
    <t>파생시장팀</t>
  </si>
  <si>
    <t>SC-022-063-01</t>
  </si>
  <si>
    <t>송진호</t>
  </si>
  <si>
    <t>상품개발팀</t>
  </si>
  <si>
    <t>SC-022-022-02</t>
  </si>
  <si>
    <t>김진형</t>
  </si>
  <si>
    <t>SC-022-022-01</t>
  </si>
  <si>
    <t>유석열</t>
  </si>
  <si>
    <t>SC-022-019-33</t>
  </si>
  <si>
    <t>최진희</t>
  </si>
  <si>
    <t>SC-022-019-31</t>
  </si>
  <si>
    <t>SC-022-019-27</t>
  </si>
  <si>
    <t>손병기</t>
  </si>
  <si>
    <t>SC-022-019-26</t>
  </si>
  <si>
    <t>박의주</t>
  </si>
  <si>
    <t>SC-022-019-25</t>
  </si>
  <si>
    <t>김건우</t>
  </si>
  <si>
    <t>SC-022-019-24</t>
  </si>
  <si>
    <t>오상근</t>
  </si>
  <si>
    <t>SC-022-019-22</t>
  </si>
  <si>
    <t>이방주</t>
  </si>
  <si>
    <t>SC-022-019-21</t>
  </si>
  <si>
    <t>장혜란</t>
  </si>
  <si>
    <t>SC-022-019-20</t>
  </si>
  <si>
    <t>SC-022-026-02</t>
  </si>
  <si>
    <t>임재민(공용)</t>
  </si>
  <si>
    <t>SC-022-019-30</t>
  </si>
  <si>
    <t>조현</t>
  </si>
  <si>
    <t>SC-022-019-29</t>
  </si>
  <si>
    <t>안영재</t>
  </si>
  <si>
    <t>SC-022-019-28</t>
  </si>
  <si>
    <t>정하나</t>
  </si>
  <si>
    <t>SC-022-028-01</t>
  </si>
  <si>
    <t>이웅범</t>
  </si>
  <si>
    <t>SC-022-019-13</t>
  </si>
  <si>
    <t>조민기</t>
  </si>
  <si>
    <t>SC-022-020-11</t>
  </si>
  <si>
    <t>송다희</t>
  </si>
  <si>
    <t>SC-022-020-10</t>
  </si>
  <si>
    <t>SC-022-020-04</t>
  </si>
  <si>
    <t>김성한</t>
  </si>
  <si>
    <t>SC-022-020-01</t>
  </si>
  <si>
    <t>이향숙</t>
  </si>
  <si>
    <t>SC-022-018-08</t>
  </si>
  <si>
    <t>SC-022-018-06</t>
  </si>
  <si>
    <t>김용현</t>
  </si>
  <si>
    <t>SC-022-018-04</t>
  </si>
  <si>
    <t>정영신</t>
  </si>
  <si>
    <t>SC-022-018-02</t>
  </si>
  <si>
    <t>최지현</t>
  </si>
  <si>
    <t>대리인실</t>
  </si>
  <si>
    <t>SC-021-002-01</t>
  </si>
  <si>
    <t>공용(한국거래소)</t>
  </si>
  <si>
    <t>ITO-채널</t>
  </si>
  <si>
    <t>SC-021-999-01</t>
  </si>
  <si>
    <t>백승현</t>
  </si>
  <si>
    <t>IB본부</t>
  </si>
  <si>
    <t>SC-021-126-01</t>
  </si>
  <si>
    <t>김봉근</t>
  </si>
  <si>
    <t>SC-021-020-05</t>
  </si>
  <si>
    <t>윤석훈</t>
  </si>
  <si>
    <t>SC-021-019-02</t>
  </si>
  <si>
    <t>최우철</t>
  </si>
  <si>
    <t>SC-021-130-01</t>
  </si>
  <si>
    <t>안정욱</t>
  </si>
  <si>
    <t>SC-021-060-01</t>
  </si>
  <si>
    <t>장광철</t>
  </si>
  <si>
    <t>SC-021-127-01</t>
  </si>
  <si>
    <t>손영준</t>
  </si>
  <si>
    <t>SC-021-999-02</t>
  </si>
  <si>
    <t>정승두</t>
  </si>
  <si>
    <t>SC-021-018-09</t>
  </si>
  <si>
    <t>변재일</t>
  </si>
  <si>
    <t>SC-021-008-01</t>
  </si>
  <si>
    <t>Multi-Strategy운용팀</t>
  </si>
  <si>
    <t>SC-021-051-02</t>
  </si>
  <si>
    <t>문동진</t>
  </si>
  <si>
    <t>SC-021-034-06</t>
  </si>
  <si>
    <t>박일재</t>
  </si>
  <si>
    <t>SC-021-034-01</t>
  </si>
  <si>
    <t>박기태</t>
  </si>
  <si>
    <t>SC-021-004-01</t>
  </si>
  <si>
    <t>추성식</t>
  </si>
  <si>
    <t>SC-017-040-02</t>
  </si>
  <si>
    <t>박준</t>
  </si>
  <si>
    <t>SC-017-040-01</t>
  </si>
  <si>
    <t>SC-017-028-09</t>
  </si>
  <si>
    <t>권현성</t>
  </si>
  <si>
    <t>SC-017-021-44</t>
  </si>
  <si>
    <t>이수정</t>
  </si>
  <si>
    <t>SC-017-021-48</t>
  </si>
  <si>
    <t>김균명</t>
  </si>
  <si>
    <t>SC-017-021-27</t>
  </si>
  <si>
    <t>안명국</t>
  </si>
  <si>
    <t>SC-017-037-05</t>
  </si>
  <si>
    <t>정대혁</t>
  </si>
  <si>
    <t>SC-017-025-04</t>
  </si>
  <si>
    <t>신재우</t>
  </si>
  <si>
    <t>SC-017-035-01</t>
  </si>
  <si>
    <t>문주현</t>
  </si>
  <si>
    <t>SC-017-034-05</t>
  </si>
  <si>
    <t>송욱창</t>
  </si>
  <si>
    <t>SC-017-034-04</t>
  </si>
  <si>
    <t>박조은</t>
  </si>
  <si>
    <t>SC-017-034-03</t>
  </si>
  <si>
    <t>함주리</t>
  </si>
  <si>
    <t>SC-017-021-21</t>
  </si>
  <si>
    <t>엄준식</t>
  </si>
  <si>
    <t>홍보팀(기자실)</t>
  </si>
  <si>
    <t>SC-017-005-01</t>
  </si>
  <si>
    <t>박준현</t>
  </si>
  <si>
    <t>글로벌BK부</t>
  </si>
  <si>
    <t>SC-017-021-24</t>
  </si>
  <si>
    <t>임병휘</t>
  </si>
  <si>
    <t>SC-017-032-01</t>
  </si>
  <si>
    <t>박종길</t>
  </si>
  <si>
    <t>자산배분전략부</t>
  </si>
  <si>
    <t>SC-017-035-02</t>
  </si>
  <si>
    <t>서영재</t>
  </si>
  <si>
    <t>TR-017-245-01</t>
  </si>
  <si>
    <t>공원배</t>
  </si>
  <si>
    <t>SC-017-026-01</t>
  </si>
  <si>
    <t>지우진</t>
  </si>
  <si>
    <t>TR-000-001-03</t>
  </si>
  <si>
    <t>임재균</t>
  </si>
  <si>
    <t>TR-017-021-88</t>
  </si>
  <si>
    <t>정민희</t>
  </si>
  <si>
    <t>SC-017-021-50</t>
  </si>
  <si>
    <t>임윤진</t>
  </si>
  <si>
    <t>파생채권운용부</t>
  </si>
  <si>
    <t>SC-017-021-39</t>
  </si>
  <si>
    <t>유현철</t>
  </si>
  <si>
    <t>SC-017-021-05</t>
  </si>
  <si>
    <t>안병준</t>
  </si>
  <si>
    <t>SC-017-021-01</t>
  </si>
  <si>
    <t>민경록</t>
  </si>
  <si>
    <t>SC-017-021-22</t>
  </si>
  <si>
    <t>엄모란</t>
  </si>
  <si>
    <t>SC-017-021-36</t>
  </si>
  <si>
    <t>천초롬</t>
  </si>
  <si>
    <t>SC-017-021-32</t>
  </si>
  <si>
    <t>조보경</t>
  </si>
  <si>
    <t>SC-017-030-05</t>
  </si>
  <si>
    <t>김종길</t>
  </si>
  <si>
    <t>SC-017-030-03</t>
  </si>
  <si>
    <t>정은혜</t>
  </si>
  <si>
    <t>SC-017-021-15</t>
  </si>
  <si>
    <t>이수경</t>
  </si>
  <si>
    <t>SC-017-041-02</t>
  </si>
  <si>
    <t>KB증권 김동욱</t>
  </si>
  <si>
    <t>SC-017-041-01</t>
  </si>
  <si>
    <t>허지웅</t>
  </si>
  <si>
    <t>시장지원과</t>
  </si>
  <si>
    <t>SC-017-002-01</t>
  </si>
  <si>
    <t>이정수</t>
  </si>
  <si>
    <t>SC-017-999-01</t>
  </si>
  <si>
    <t>엄익수</t>
  </si>
  <si>
    <t>SC-017-023-01</t>
  </si>
  <si>
    <t>장재원</t>
  </si>
  <si>
    <t>SC-017-038-01</t>
  </si>
  <si>
    <t>윤재필</t>
  </si>
  <si>
    <t>국제영업2부</t>
  </si>
  <si>
    <t>SC-017-029-02</t>
  </si>
  <si>
    <t>박무성</t>
  </si>
  <si>
    <t>SC-017-011-06</t>
  </si>
  <si>
    <t>SC-017-011-05</t>
  </si>
  <si>
    <t>이승립</t>
  </si>
  <si>
    <t>SC-017-011-04</t>
  </si>
  <si>
    <t>노주은</t>
  </si>
  <si>
    <t>SC-017-011-01</t>
  </si>
  <si>
    <t>도곡역</t>
  </si>
  <si>
    <t>SC-045-119-01</t>
  </si>
  <si>
    <t>조재상</t>
  </si>
  <si>
    <t>자산분석실</t>
  </si>
  <si>
    <t>웰스케어팀(시장과)</t>
  </si>
  <si>
    <t>SC-045-032-02</t>
  </si>
  <si>
    <t>박승배</t>
  </si>
  <si>
    <t>리서치(시장부)</t>
  </si>
  <si>
    <t>SC-045-010-02</t>
  </si>
  <si>
    <t>선물영업팀</t>
  </si>
  <si>
    <t>SC-045-035-08</t>
  </si>
  <si>
    <t>SC-045-035-06</t>
  </si>
  <si>
    <t>정근우</t>
  </si>
  <si>
    <t>SC-045-035-04</t>
  </si>
  <si>
    <t>김만희</t>
  </si>
  <si>
    <t>Alpah Quant팀</t>
  </si>
  <si>
    <t>SC-045-035-01</t>
  </si>
  <si>
    <t>최유미</t>
  </si>
  <si>
    <t>파생운용실</t>
  </si>
  <si>
    <t>SC-045-021-05</t>
  </si>
  <si>
    <t>황지은</t>
  </si>
  <si>
    <t>전략랩운용실</t>
  </si>
  <si>
    <t>SC-045-033-05</t>
  </si>
  <si>
    <t>안영초</t>
  </si>
  <si>
    <t>전략랩운용팀</t>
  </si>
  <si>
    <t>SC-045-033-04</t>
  </si>
  <si>
    <t>서병수</t>
  </si>
  <si>
    <t>SC-045-033-02</t>
  </si>
  <si>
    <t>류익상</t>
  </si>
  <si>
    <t>SC-045-029-02</t>
  </si>
  <si>
    <t>안철영</t>
  </si>
  <si>
    <t>SC-045-029-01</t>
  </si>
  <si>
    <t>김태형</t>
  </si>
  <si>
    <t>채권랩운용실</t>
  </si>
  <si>
    <t>채권랩운용부</t>
  </si>
  <si>
    <t>SC-045-003-05</t>
  </si>
  <si>
    <t>차지혜</t>
  </si>
  <si>
    <t>채권금융실</t>
  </si>
  <si>
    <t>SC-045-033-01</t>
  </si>
  <si>
    <t>강순국</t>
  </si>
  <si>
    <t>SC-045-024-15</t>
  </si>
  <si>
    <t>정승욱</t>
  </si>
  <si>
    <t>SC-045-024-14</t>
  </si>
  <si>
    <t>김준환</t>
  </si>
  <si>
    <t>SC-045-024-13</t>
  </si>
  <si>
    <t>SC-045-024-12</t>
  </si>
  <si>
    <t>임소영</t>
  </si>
  <si>
    <t>SC-045-024-11</t>
  </si>
  <si>
    <t>변지석</t>
  </si>
  <si>
    <t>SC-045-024-10</t>
  </si>
  <si>
    <t>박미란</t>
  </si>
  <si>
    <t>SC-045-024-09</t>
  </si>
  <si>
    <t>이병철</t>
  </si>
  <si>
    <t>SC-045-024-08</t>
  </si>
  <si>
    <t>프로덕트솔루션</t>
  </si>
  <si>
    <t>프로덕션솔루션팀</t>
  </si>
  <si>
    <t>SC-045-018-02</t>
  </si>
  <si>
    <t>고금연</t>
  </si>
  <si>
    <t>SC-045-032-08</t>
  </si>
  <si>
    <t>문소희</t>
  </si>
  <si>
    <t>RP운용실</t>
  </si>
  <si>
    <t>SC-045-032-07</t>
  </si>
  <si>
    <t>이용수</t>
  </si>
  <si>
    <t>SC-045-038-01</t>
  </si>
  <si>
    <t>민경은</t>
  </si>
  <si>
    <t>통합시스템개발팀</t>
  </si>
  <si>
    <t>채널시스템팀</t>
  </si>
  <si>
    <t>SC-045-027-01</t>
  </si>
  <si>
    <t>우동우</t>
  </si>
  <si>
    <t>SC-045-037-01</t>
  </si>
  <si>
    <t>이철희</t>
  </si>
  <si>
    <t>SC-045-004-04</t>
  </si>
  <si>
    <t>최종훈</t>
  </si>
  <si>
    <t>SC-045-003-01</t>
  </si>
  <si>
    <t>이경한</t>
  </si>
  <si>
    <t>CD팀</t>
  </si>
  <si>
    <t>SC-016-026-03</t>
  </si>
  <si>
    <t>김준</t>
  </si>
  <si>
    <t>FICC 세일즈팀</t>
  </si>
  <si>
    <t>SC-016-026-01</t>
  </si>
  <si>
    <t>SC-016-028-01</t>
  </si>
  <si>
    <t>윤선미</t>
  </si>
  <si>
    <t>SC-016-024-02</t>
  </si>
  <si>
    <t>FICC운용실</t>
  </si>
  <si>
    <t>SC-016-023-22</t>
  </si>
  <si>
    <t>SC-016-021-02</t>
  </si>
  <si>
    <t>이성재</t>
  </si>
  <si>
    <t>SC-016-023-21</t>
  </si>
  <si>
    <t>박소희</t>
  </si>
  <si>
    <t>SC-016-023-20</t>
  </si>
  <si>
    <t>SC-016-023-11</t>
  </si>
  <si>
    <t>김영학</t>
  </si>
  <si>
    <t>IB결재팀</t>
  </si>
  <si>
    <t>결제업무실</t>
  </si>
  <si>
    <t>SC-016-021-04</t>
  </si>
  <si>
    <t>박병선</t>
  </si>
  <si>
    <t>SC-016-021-03</t>
  </si>
  <si>
    <t>이준우</t>
  </si>
  <si>
    <t>SC-016-033-02</t>
  </si>
  <si>
    <t>송선혜</t>
  </si>
  <si>
    <t>파생상품실</t>
  </si>
  <si>
    <t>SC-016-013-18</t>
  </si>
  <si>
    <t>SC-016-013-16</t>
  </si>
  <si>
    <t>SC-013-002-01</t>
  </si>
  <si>
    <t>신미선</t>
  </si>
  <si>
    <t>SC-013-999-01</t>
  </si>
  <si>
    <t>이원</t>
  </si>
  <si>
    <t>SC-013-023-17</t>
  </si>
  <si>
    <t>SC-013-023-16</t>
  </si>
  <si>
    <t>왕진기</t>
  </si>
  <si>
    <t>SC-013-023-08</t>
  </si>
  <si>
    <t>기민주</t>
  </si>
  <si>
    <t>SC-013-023-02</t>
  </si>
  <si>
    <t>정혜숙</t>
  </si>
  <si>
    <t>SC-013-027-01</t>
  </si>
  <si>
    <t>차태호</t>
  </si>
  <si>
    <t>SC-013-021-07</t>
  </si>
  <si>
    <t>서상원</t>
  </si>
  <si>
    <t>SC-013-021-04</t>
  </si>
  <si>
    <t>박대훈</t>
  </si>
  <si>
    <t>SC-013-021-01</t>
  </si>
  <si>
    <t>안성호</t>
  </si>
  <si>
    <t>SC-013-004-25</t>
  </si>
  <si>
    <t>강성국</t>
  </si>
  <si>
    <t>SC-013-004-24</t>
  </si>
  <si>
    <t>정소연</t>
  </si>
  <si>
    <t>SC-013-004-23</t>
  </si>
  <si>
    <t>이조희</t>
  </si>
  <si>
    <t>SC-013-004-21</t>
  </si>
  <si>
    <t>SC-013-004-20</t>
  </si>
  <si>
    <t>김혜화</t>
  </si>
  <si>
    <t>SC-013-004-19</t>
  </si>
  <si>
    <t>장은숙</t>
  </si>
  <si>
    <t>SC-013-011-01</t>
  </si>
  <si>
    <t>김동우</t>
  </si>
  <si>
    <t>SC-013-004-27</t>
  </si>
  <si>
    <t>장재혁</t>
  </si>
  <si>
    <t>SC-013-004-30</t>
  </si>
  <si>
    <t>최우인</t>
  </si>
  <si>
    <t>SC-013-004-17</t>
  </si>
  <si>
    <t>이홍규</t>
  </si>
  <si>
    <t>SC-013-004-16</t>
  </si>
  <si>
    <t>김한조</t>
  </si>
  <si>
    <t>SC-013-004-13</t>
  </si>
  <si>
    <t>표현용</t>
  </si>
  <si>
    <t>SC-013-004-07</t>
  </si>
  <si>
    <t>정안나</t>
  </si>
  <si>
    <t>SC-013-004-06</t>
  </si>
  <si>
    <t>정영민</t>
  </si>
  <si>
    <t>SC-013-004-01</t>
  </si>
  <si>
    <t>온라인정보팀</t>
  </si>
  <si>
    <t>SC-036-012-01</t>
  </si>
  <si>
    <t>박상길</t>
  </si>
  <si>
    <t>SC-036-060-05</t>
  </si>
  <si>
    <t>SC-036-055-01</t>
  </si>
  <si>
    <t>조진현</t>
  </si>
  <si>
    <t>SC-036-050-05</t>
  </si>
  <si>
    <t>임필순</t>
  </si>
  <si>
    <t>플러스운용팀</t>
  </si>
  <si>
    <t>SC-036-084-03</t>
  </si>
  <si>
    <t>임동섭</t>
  </si>
  <si>
    <t>SC-036-084-02</t>
  </si>
  <si>
    <t>장준영</t>
  </si>
  <si>
    <t>SC-036-084-01</t>
  </si>
  <si>
    <t>박홍진</t>
  </si>
  <si>
    <t>SC-036-082-01</t>
  </si>
  <si>
    <t>이재일</t>
  </si>
  <si>
    <t>파생상품1팀</t>
  </si>
  <si>
    <t>SC-036-083-04</t>
  </si>
  <si>
    <t>SC-036-083-02</t>
  </si>
  <si>
    <t>박상우</t>
  </si>
  <si>
    <t>SC-036-083-01</t>
  </si>
  <si>
    <t>유수변</t>
  </si>
  <si>
    <t>SC-036-050-04</t>
  </si>
  <si>
    <t>안찬희</t>
  </si>
  <si>
    <t>SC-036-050-02</t>
  </si>
  <si>
    <t>이준형</t>
  </si>
  <si>
    <t>SC-036-081-07</t>
  </si>
  <si>
    <t>SC-036-081-08</t>
  </si>
  <si>
    <t>SC-036-081-06</t>
  </si>
  <si>
    <t>이건표</t>
  </si>
  <si>
    <t>SC-036-081-01</t>
  </si>
  <si>
    <t>박찬진</t>
  </si>
  <si>
    <t>SC-036-050-10</t>
  </si>
  <si>
    <t>백선우</t>
  </si>
  <si>
    <t>SC-036-030-19</t>
  </si>
  <si>
    <t>김삼태</t>
  </si>
  <si>
    <t>SC-036-030-07</t>
  </si>
  <si>
    <t>박미경</t>
  </si>
  <si>
    <t>투자서비스팀</t>
  </si>
  <si>
    <t>SC-036-030-05</t>
  </si>
  <si>
    <t>한연경</t>
  </si>
  <si>
    <t>자금결재팀</t>
  </si>
  <si>
    <t>SC-036-100-01</t>
  </si>
  <si>
    <t>서지은</t>
  </si>
  <si>
    <t>인수주선팀</t>
  </si>
  <si>
    <t>SC-036-090-01</t>
  </si>
  <si>
    <t>연지훈</t>
  </si>
  <si>
    <t>SC-036-101-01</t>
  </si>
  <si>
    <t>공만석</t>
  </si>
  <si>
    <t>매체시스템부</t>
  </si>
  <si>
    <t>개발2부</t>
  </si>
  <si>
    <t>SC-012-999-01</t>
  </si>
  <si>
    <t>최용우</t>
  </si>
  <si>
    <t>영업지원부</t>
  </si>
  <si>
    <t>SC-012-020-01</t>
  </si>
  <si>
    <t>김상순</t>
  </si>
  <si>
    <t>FICC파생운용부</t>
  </si>
  <si>
    <t>SC-012-009-01</t>
  </si>
  <si>
    <t>파생영업부</t>
  </si>
  <si>
    <t>SC-012-008-01</t>
  </si>
  <si>
    <t>허진슬(공용)</t>
  </si>
  <si>
    <t>SC-012-049-01</t>
  </si>
  <si>
    <t>신윤섭</t>
  </si>
  <si>
    <t>WRAP운용부</t>
  </si>
  <si>
    <t>SC-012-066-01</t>
  </si>
  <si>
    <t>FICC리서치센터</t>
  </si>
  <si>
    <t>SC-012-048-01</t>
  </si>
  <si>
    <t>강승원</t>
  </si>
  <si>
    <t>SC-012-018-02</t>
  </si>
  <si>
    <t>최병준</t>
  </si>
  <si>
    <t>SC-012-007-15</t>
  </si>
  <si>
    <t>김병오</t>
  </si>
  <si>
    <t>SC-012-007-10</t>
  </si>
  <si>
    <t>공윤영</t>
  </si>
  <si>
    <t>SC-012-021-17</t>
  </si>
  <si>
    <t>SC-019-021-16</t>
  </si>
  <si>
    <t>김호성</t>
  </si>
  <si>
    <t>SC-019-021-13</t>
  </si>
  <si>
    <t>신기민</t>
  </si>
  <si>
    <t>SC-019-021-12</t>
  </si>
  <si>
    <t>이근형</t>
  </si>
  <si>
    <t>SC-019-021-04</t>
  </si>
  <si>
    <t>전달래</t>
  </si>
  <si>
    <t>SC-012-021-06</t>
  </si>
  <si>
    <t>SC-012-022-02</t>
  </si>
  <si>
    <t>설상규</t>
  </si>
  <si>
    <t>SC-019-021-10</t>
  </si>
  <si>
    <t>Syndication부</t>
  </si>
  <si>
    <t>SC-012-038-01</t>
  </si>
  <si>
    <t>곽석주</t>
  </si>
  <si>
    <t>SC-012-055-01</t>
  </si>
  <si>
    <t>송창하</t>
  </si>
  <si>
    <t>SC-012-032-01</t>
  </si>
  <si>
    <t>김치순(안재우)</t>
  </si>
  <si>
    <t>SC-012-007-14</t>
  </si>
  <si>
    <t>최송이</t>
  </si>
  <si>
    <t>SC-012-007-02</t>
  </si>
  <si>
    <t>신웅조</t>
  </si>
  <si>
    <t>SC-012-007-12</t>
  </si>
  <si>
    <t>SC-012-007-09</t>
  </si>
  <si>
    <t>은한솔</t>
  </si>
  <si>
    <t>SC-012-060-01</t>
  </si>
  <si>
    <t>Prime Brokerage부</t>
  </si>
  <si>
    <t>SC-012-046-01</t>
  </si>
  <si>
    <t>이준</t>
  </si>
  <si>
    <t>해외PBS팀</t>
  </si>
  <si>
    <t>SC-020-002-01</t>
  </si>
  <si>
    <t>염지인</t>
  </si>
  <si>
    <t>SC-012-045-01</t>
  </si>
  <si>
    <t>김동호</t>
  </si>
  <si>
    <t>SC-012-045-07</t>
  </si>
  <si>
    <t>최승규</t>
  </si>
  <si>
    <t>헤지펀드추진부</t>
  </si>
  <si>
    <t>헤지펀드운용1부</t>
  </si>
  <si>
    <t>SC-012-045-06</t>
  </si>
  <si>
    <t>천수봉</t>
  </si>
  <si>
    <t>SC-012-045-05</t>
  </si>
  <si>
    <t>최태용</t>
  </si>
  <si>
    <t>SC-012-050-04</t>
  </si>
  <si>
    <t>정동휴</t>
  </si>
  <si>
    <t>SC-012-035-02</t>
  </si>
  <si>
    <t>SC-012-050-02</t>
  </si>
  <si>
    <t>dony kim</t>
  </si>
  <si>
    <t>리스크기획부</t>
  </si>
  <si>
    <t>SC-012-033-01</t>
  </si>
  <si>
    <t>노정환</t>
  </si>
  <si>
    <t>SC-012-324-01</t>
  </si>
  <si>
    <t>SC-012-310-01</t>
  </si>
  <si>
    <t>김좌성</t>
  </si>
  <si>
    <t>SC-012-128-01</t>
  </si>
  <si>
    <t>배연주</t>
  </si>
  <si>
    <t>SC-012-054-01</t>
  </si>
  <si>
    <t>최소임</t>
  </si>
  <si>
    <t>SC-028-038-01</t>
  </si>
  <si>
    <t>최주희</t>
  </si>
  <si>
    <t>SC-028-049-03</t>
  </si>
  <si>
    <t>이혜경</t>
  </si>
  <si>
    <t>SC-028-049-01</t>
  </si>
  <si>
    <t>김화환</t>
  </si>
  <si>
    <t>SC-028-021-12</t>
  </si>
  <si>
    <t>이광호</t>
  </si>
  <si>
    <t>SC-028-040-07</t>
  </si>
  <si>
    <t>윤정은</t>
  </si>
  <si>
    <t>SC-028-040-09</t>
  </si>
  <si>
    <t>이자연</t>
  </si>
  <si>
    <t>SC-028-040-02</t>
  </si>
  <si>
    <t>박원석</t>
  </si>
  <si>
    <t>SC-028-016-07</t>
  </si>
  <si>
    <t>이일복</t>
  </si>
  <si>
    <t>구조화투자부</t>
  </si>
  <si>
    <t>SC-028-023-03</t>
  </si>
  <si>
    <t>정찬수</t>
  </si>
  <si>
    <t>도곡금융센터</t>
  </si>
  <si>
    <t>SC-027-215-88</t>
  </si>
  <si>
    <t>한현철</t>
  </si>
  <si>
    <t>SC-027-213-14</t>
  </si>
  <si>
    <t>정원호</t>
  </si>
  <si>
    <t>SC-027-218-01</t>
  </si>
  <si>
    <t>권동찬</t>
  </si>
  <si>
    <t>자본시장본부</t>
  </si>
  <si>
    <t>SC-010-042-01</t>
  </si>
  <si>
    <t>김경성</t>
  </si>
  <si>
    <t>김지혜</t>
  </si>
  <si>
    <t>SC-010-032-01</t>
  </si>
  <si>
    <t>김선주</t>
  </si>
  <si>
    <t>SC-010-052-01</t>
  </si>
  <si>
    <t>주민우</t>
  </si>
  <si>
    <t>SC-010-063-07</t>
  </si>
  <si>
    <t>SC-010-063-06</t>
  </si>
  <si>
    <t>SC-010-063-05</t>
  </si>
  <si>
    <t>유정식</t>
  </si>
  <si>
    <t>SC-010-063-03</t>
  </si>
  <si>
    <t>권수연</t>
  </si>
  <si>
    <t>SC-010-043-03</t>
  </si>
  <si>
    <t>이규빈</t>
  </si>
  <si>
    <t>구조화상품팀</t>
  </si>
  <si>
    <t>SC-010-042-11</t>
  </si>
  <si>
    <t>SC-010-042-10</t>
  </si>
  <si>
    <t>이혜민</t>
  </si>
  <si>
    <t>SC-010-042-09</t>
  </si>
  <si>
    <t>조원덕</t>
  </si>
  <si>
    <t>SC-010-042-06</t>
  </si>
  <si>
    <t>윤현성</t>
  </si>
  <si>
    <t>SC-010-031-02</t>
  </si>
  <si>
    <t>배언준</t>
  </si>
  <si>
    <t>솔루션팀</t>
  </si>
  <si>
    <t>SC-010-031-01</t>
  </si>
  <si>
    <t>오종원</t>
  </si>
  <si>
    <t>SC-010-064-06</t>
  </si>
  <si>
    <t>박하늘</t>
  </si>
  <si>
    <t>SC-010-042-14</t>
  </si>
  <si>
    <t>이지원</t>
  </si>
  <si>
    <t>SC-010-042-12</t>
  </si>
  <si>
    <t>강제훈</t>
  </si>
  <si>
    <t>SC-010-042-07</t>
  </si>
  <si>
    <t>SC-010-042-05</t>
  </si>
  <si>
    <t>송동수</t>
  </si>
  <si>
    <t>SC-010-003-21</t>
  </si>
  <si>
    <t>SC-010-003-11</t>
  </si>
  <si>
    <t>조영준</t>
  </si>
  <si>
    <t>SC-010-062-04</t>
  </si>
  <si>
    <t>하승정</t>
  </si>
  <si>
    <t>SC-010-066-07</t>
  </si>
  <si>
    <t>최지수</t>
  </si>
  <si>
    <t>SC-010-066-04</t>
  </si>
  <si>
    <t>SC-010-066-02</t>
  </si>
  <si>
    <t>안광국</t>
  </si>
  <si>
    <t>SC-010-066-01</t>
  </si>
  <si>
    <t>매크로운용팀</t>
  </si>
  <si>
    <t>SC-010-064-03</t>
  </si>
  <si>
    <t>김병주</t>
  </si>
  <si>
    <t>SC-010-036-10</t>
  </si>
  <si>
    <t>SC-010-036-07</t>
  </si>
  <si>
    <t>손용세</t>
  </si>
  <si>
    <t>SC-010-036-03</t>
  </si>
  <si>
    <t>노수진</t>
  </si>
  <si>
    <t>SC-010-036-02</t>
  </si>
  <si>
    <t>고준호</t>
  </si>
  <si>
    <t>SC-010-003-02</t>
  </si>
  <si>
    <t>김종인</t>
  </si>
  <si>
    <t>시스템운영팀</t>
  </si>
  <si>
    <t>SC-010-040-01</t>
  </si>
  <si>
    <t>SC-010-999-01</t>
  </si>
  <si>
    <t>박성민</t>
  </si>
  <si>
    <t>SC-010-002-03</t>
  </si>
  <si>
    <t>한지혜</t>
  </si>
  <si>
    <t>SF팀</t>
  </si>
  <si>
    <t>기업금융2팀</t>
  </si>
  <si>
    <t>SC-009-033-01</t>
  </si>
  <si>
    <t>조은영</t>
  </si>
  <si>
    <t>SC-009-050-23</t>
  </si>
  <si>
    <t>한재홍</t>
  </si>
  <si>
    <t>SC-009-050-22</t>
  </si>
  <si>
    <t>김형훈</t>
  </si>
  <si>
    <t>SC-009-050-20</t>
  </si>
  <si>
    <t>이재학</t>
  </si>
  <si>
    <t>SC-009-050-07</t>
  </si>
  <si>
    <t>이문재</t>
  </si>
  <si>
    <t>SC-009-050-03</t>
  </si>
  <si>
    <t>안민지</t>
  </si>
  <si>
    <t>SC-009-018-15</t>
  </si>
  <si>
    <t>조성묵</t>
  </si>
  <si>
    <t>SC-009-018-14</t>
  </si>
  <si>
    <t>민동욱</t>
  </si>
  <si>
    <t>SC-009-060-05</t>
  </si>
  <si>
    <t>이영식</t>
  </si>
  <si>
    <t>SC-009-030-08</t>
  </si>
  <si>
    <t>송태호</t>
  </si>
  <si>
    <t>SC-009-018-13</t>
  </si>
  <si>
    <t>김동각</t>
  </si>
  <si>
    <t>SC-009-018-12</t>
  </si>
  <si>
    <t>최권식</t>
  </si>
  <si>
    <t>SC-009-017-05</t>
  </si>
  <si>
    <t>임상진</t>
  </si>
  <si>
    <t>SC-009-017-01</t>
  </si>
  <si>
    <t>SC-009-090-01</t>
  </si>
  <si>
    <t>오윤수</t>
  </si>
  <si>
    <t>SC-009-044-01</t>
  </si>
  <si>
    <t>김지형</t>
  </si>
  <si>
    <t>SC-009-051-01</t>
  </si>
  <si>
    <t>성민경</t>
  </si>
  <si>
    <t>부전지점</t>
  </si>
  <si>
    <t>SC-008-045-01</t>
  </si>
  <si>
    <t>대구지점</t>
  </si>
  <si>
    <t>SC-008-044-01</t>
  </si>
  <si>
    <t>박문조</t>
  </si>
  <si>
    <t>역삼지점</t>
  </si>
  <si>
    <t>SC-008-026-02</t>
  </si>
  <si>
    <t>김윤숙</t>
  </si>
  <si>
    <t>SC-008-026-01</t>
  </si>
  <si>
    <t>한기철</t>
  </si>
  <si>
    <t>SC-008-034-01</t>
  </si>
  <si>
    <t>장미옥</t>
  </si>
  <si>
    <t>퀀트법인영업팀</t>
  </si>
  <si>
    <t>SC-008-028-02</t>
  </si>
  <si>
    <t>최현</t>
  </si>
  <si>
    <t>영업추진팀</t>
  </si>
  <si>
    <t>리테일기획팀</t>
  </si>
  <si>
    <t>SC-008-008-01</t>
  </si>
  <si>
    <t>양대모 과장</t>
  </si>
  <si>
    <t>IT통신팀</t>
  </si>
  <si>
    <t>SC-008-027-02</t>
  </si>
  <si>
    <t>서보익</t>
  </si>
  <si>
    <t>ETF영업팀</t>
  </si>
  <si>
    <t>SC-008-028-01</t>
  </si>
  <si>
    <t>이영지</t>
  </si>
  <si>
    <t>SC-008-028-06</t>
  </si>
  <si>
    <t>이진경</t>
  </si>
  <si>
    <t>리스크감시팀</t>
  </si>
  <si>
    <t>SC-008-031-01</t>
  </si>
  <si>
    <t>조성렬</t>
  </si>
  <si>
    <t>SC-008-025-01</t>
  </si>
  <si>
    <t>SC-008-020-01</t>
  </si>
  <si>
    <t>최서영</t>
  </si>
  <si>
    <t>SC-008-032-01</t>
  </si>
  <si>
    <t>양수임</t>
  </si>
  <si>
    <t>SC-008-021-05</t>
  </si>
  <si>
    <t>김주헌</t>
  </si>
  <si>
    <t>SC-008-021-04</t>
  </si>
  <si>
    <t>유재윤</t>
  </si>
  <si>
    <t>파생법인영업1팀</t>
  </si>
  <si>
    <t>SC-008-029-01</t>
  </si>
  <si>
    <t>SC-008-022-24</t>
  </si>
  <si>
    <t>이주민</t>
  </si>
  <si>
    <t>SC-008-022-04</t>
  </si>
  <si>
    <t>SC-008-023-16</t>
  </si>
  <si>
    <t>신영숙</t>
  </si>
  <si>
    <t>SC-008-023-14</t>
  </si>
  <si>
    <t>SC-008-023-08</t>
  </si>
  <si>
    <t>SC-008-021-11</t>
  </si>
  <si>
    <t>권용진</t>
  </si>
  <si>
    <t>SC-008-021-10</t>
  </si>
  <si>
    <t>황대진</t>
  </si>
  <si>
    <t>FICC파생운용본부</t>
  </si>
  <si>
    <t>파생상품본부 QS팀</t>
  </si>
  <si>
    <t>SC-006-039-01</t>
  </si>
  <si>
    <t>권오빈</t>
  </si>
  <si>
    <t>Asset Allocation부</t>
  </si>
  <si>
    <t>SC-006-040-02</t>
  </si>
  <si>
    <t>SC-006-030-13</t>
  </si>
  <si>
    <t>김현경</t>
  </si>
  <si>
    <t>SC-006-030-12</t>
  </si>
  <si>
    <t>김태호</t>
  </si>
  <si>
    <t>SC-006-030-10</t>
  </si>
  <si>
    <t>박현수</t>
  </si>
  <si>
    <t>SC-006-030-08</t>
  </si>
  <si>
    <t>SC-006-030-07</t>
  </si>
  <si>
    <t>김보해</t>
  </si>
  <si>
    <t>SC-006-030-06</t>
  </si>
  <si>
    <t>SC-006-030-04</t>
  </si>
  <si>
    <t>최도영</t>
  </si>
  <si>
    <t>SC-006-020-01</t>
  </si>
  <si>
    <t>홍승표</t>
  </si>
  <si>
    <t>SC-006-999-01</t>
  </si>
  <si>
    <t>김민수</t>
  </si>
  <si>
    <t>IB부문(6)</t>
  </si>
  <si>
    <t>IPO</t>
  </si>
  <si>
    <t>SC-006-020-09</t>
  </si>
  <si>
    <t>안대권</t>
  </si>
  <si>
    <t>SC-006-038-01</t>
  </si>
  <si>
    <t>SC-006-021-01</t>
  </si>
  <si>
    <t>강현호</t>
  </si>
  <si>
    <t>SC-006-019-01</t>
  </si>
  <si>
    <t>황성연</t>
  </si>
  <si>
    <t>SC-005-500-15</t>
  </si>
  <si>
    <t>신범주</t>
  </si>
  <si>
    <t>초대형투자은행 상품개발팀</t>
  </si>
  <si>
    <t>SC-005-036-14</t>
  </si>
  <si>
    <t>강세현</t>
  </si>
  <si>
    <t>SC-005-003-07</t>
  </si>
  <si>
    <t>양명모</t>
  </si>
  <si>
    <t>SC-005-040-01</t>
  </si>
  <si>
    <t>김도엽</t>
  </si>
  <si>
    <t>SC-005-024-02</t>
  </si>
  <si>
    <t>김분도</t>
  </si>
  <si>
    <t>기업금융본부(IB팀 공용)</t>
  </si>
  <si>
    <t>SC-005-708-01</t>
  </si>
  <si>
    <t>Trading1부문</t>
  </si>
  <si>
    <t>시장조성운용팀</t>
  </si>
  <si>
    <t>SC-005-700-03</t>
  </si>
  <si>
    <t>김호영</t>
  </si>
  <si>
    <t>Equity파생솔루션팀</t>
  </si>
  <si>
    <t>SC-005-100-16</t>
  </si>
  <si>
    <t>박현웅</t>
  </si>
  <si>
    <t>SC-005-200-11</t>
  </si>
  <si>
    <t>손평화</t>
  </si>
  <si>
    <t>SC-005-100-01</t>
  </si>
  <si>
    <t>서범석</t>
  </si>
  <si>
    <t>SC-005-066-02</t>
  </si>
  <si>
    <t>SC-005-100-17</t>
  </si>
  <si>
    <t>유제환</t>
  </si>
  <si>
    <t>멀티전략운용팀</t>
  </si>
  <si>
    <t>SC-005-100-04</t>
  </si>
  <si>
    <t>최우식</t>
  </si>
  <si>
    <t>Global FI Sales부</t>
  </si>
  <si>
    <t>SC-005-400-06</t>
  </si>
  <si>
    <t>전도영</t>
  </si>
  <si>
    <t>Passive솔루션2팀</t>
  </si>
  <si>
    <t>SC-005-006-06</t>
  </si>
  <si>
    <t>박중헌</t>
  </si>
  <si>
    <t>SC-005-500-14</t>
  </si>
  <si>
    <t>선창훈</t>
  </si>
  <si>
    <t>SC-005-500-11</t>
  </si>
  <si>
    <t>김수억</t>
  </si>
  <si>
    <t>SC-005-500-09</t>
  </si>
  <si>
    <t>성준엽</t>
  </si>
  <si>
    <t>SC-005-500-05</t>
  </si>
  <si>
    <t>심규진</t>
  </si>
  <si>
    <t>SC-005-500-04</t>
  </si>
  <si>
    <t>장윤영</t>
  </si>
  <si>
    <t>SC-005-300-01</t>
  </si>
  <si>
    <t>신은주</t>
  </si>
  <si>
    <t>SC-005-600-01</t>
  </si>
  <si>
    <t>SC-005-500-01</t>
  </si>
  <si>
    <t>김윤</t>
  </si>
  <si>
    <t>Wholesale부문대표</t>
  </si>
  <si>
    <t>SC-005-007-10</t>
  </si>
  <si>
    <t>남기원</t>
  </si>
  <si>
    <t>Equity Sales1팀</t>
  </si>
  <si>
    <t>SC-005-008-01</t>
  </si>
  <si>
    <t>정종현</t>
  </si>
  <si>
    <t>멀티솔루션2팀</t>
  </si>
  <si>
    <t>SC-005-500-02</t>
  </si>
  <si>
    <t>이승주</t>
  </si>
  <si>
    <t>SC-005-800-01</t>
  </si>
  <si>
    <t>안현삼</t>
  </si>
  <si>
    <t>멀티솔루션본부장</t>
  </si>
  <si>
    <t>SC-005-100-13</t>
  </si>
  <si>
    <t>구종회</t>
  </si>
  <si>
    <t>멀티솔루션1팀</t>
  </si>
  <si>
    <t>SC-005-100-07</t>
  </si>
  <si>
    <t>장태창</t>
  </si>
  <si>
    <t>글로벌주식컨설팅팀</t>
  </si>
  <si>
    <t>SC-005-041-01</t>
  </si>
  <si>
    <t>한인섭</t>
  </si>
  <si>
    <t>SC-005-023-07</t>
  </si>
  <si>
    <t>성찬경</t>
  </si>
  <si>
    <t>SC-005-023-06</t>
  </si>
  <si>
    <t>최환봉</t>
  </si>
  <si>
    <t>글로벌주식컨설팅팀(대리인실)</t>
  </si>
  <si>
    <t>SC-005-002-02</t>
  </si>
  <si>
    <t>김선욱</t>
  </si>
  <si>
    <t>SC-005-002-01</t>
  </si>
  <si>
    <t>압구정WM(지점)</t>
  </si>
  <si>
    <t>SC-005-631-01</t>
  </si>
  <si>
    <t>박원철</t>
  </si>
  <si>
    <t>테헤란벨리WM</t>
  </si>
  <si>
    <t>SC-005-102-01</t>
  </si>
  <si>
    <t>김재하</t>
  </si>
  <si>
    <t>IWC2WM(영업부)</t>
  </si>
  <si>
    <t>SC-005-003-01</t>
  </si>
  <si>
    <t>HT개발팀</t>
  </si>
  <si>
    <t>SC-005-051-01</t>
  </si>
  <si>
    <t>SC-005-023-04</t>
  </si>
  <si>
    <t>이방수</t>
  </si>
  <si>
    <t>SC-005-036-02</t>
  </si>
  <si>
    <t>SC-005-201-01</t>
  </si>
  <si>
    <t>김민(공용)</t>
  </si>
  <si>
    <t>SC-005-053-02</t>
  </si>
  <si>
    <t>심상범</t>
  </si>
  <si>
    <t>SC-005-700-06</t>
  </si>
  <si>
    <t>신민용</t>
  </si>
  <si>
    <t>SC-005-700-04</t>
  </si>
  <si>
    <t>황윤주</t>
  </si>
  <si>
    <t>SC-005-500-12</t>
  </si>
  <si>
    <t>고종현</t>
  </si>
  <si>
    <t>SC-005-076-01</t>
  </si>
  <si>
    <t>권기남</t>
  </si>
  <si>
    <t>SC-005-075-01</t>
  </si>
  <si>
    <t>상품결제팀</t>
  </si>
  <si>
    <t>SC-005-018-02</t>
  </si>
  <si>
    <t>김명진</t>
  </si>
  <si>
    <t>SC-005-018-01</t>
  </si>
  <si>
    <t>방그레</t>
  </si>
  <si>
    <t>SC-005-023-01</t>
  </si>
  <si>
    <t>권영조</t>
  </si>
  <si>
    <t>SC-005-011-14</t>
  </si>
  <si>
    <t>우성미</t>
  </si>
  <si>
    <t>SC-005-011-12</t>
  </si>
  <si>
    <t>이선민</t>
  </si>
  <si>
    <t>SC-005-011-09</t>
  </si>
  <si>
    <t>박나현</t>
  </si>
  <si>
    <t>SC-005-011-06</t>
  </si>
  <si>
    <t>이옥규</t>
  </si>
  <si>
    <t>SC-005-011-04</t>
  </si>
  <si>
    <t>손윤경</t>
  </si>
  <si>
    <t>SC-005-011-02</t>
  </si>
  <si>
    <t>신미호</t>
  </si>
  <si>
    <t>SC-005-011-01</t>
  </si>
  <si>
    <t>LEE MICHAEL</t>
  </si>
  <si>
    <t>SC-005-011-24</t>
  </si>
  <si>
    <t>SC-005-011-23</t>
  </si>
  <si>
    <t>SC-005-011-22</t>
  </si>
  <si>
    <t>채희경</t>
  </si>
  <si>
    <t>SC-005-011-17</t>
  </si>
  <si>
    <t>문민정</t>
  </si>
  <si>
    <t>SC-005-011-27</t>
  </si>
  <si>
    <t>SC-005-011-21</t>
  </si>
  <si>
    <t>SC-005-011-20</t>
  </si>
  <si>
    <t>서성훈</t>
  </si>
  <si>
    <t>SC-005-011-19</t>
  </si>
  <si>
    <t>이동근</t>
  </si>
  <si>
    <t>SC-005-011-18</t>
  </si>
  <si>
    <t>전지훈</t>
  </si>
  <si>
    <t>SC-005-011-16</t>
  </si>
  <si>
    <t>박연정</t>
  </si>
  <si>
    <t>SC-005-011-05</t>
  </si>
  <si>
    <t>김은기</t>
  </si>
  <si>
    <t>양재동지점</t>
  </si>
  <si>
    <t>SC-004-117-01</t>
  </si>
  <si>
    <t>조혜정</t>
  </si>
  <si>
    <t>MN-915-000-01</t>
  </si>
  <si>
    <t>(공용)공동락</t>
  </si>
  <si>
    <t>SC-004-160-09</t>
  </si>
  <si>
    <t>노동혁</t>
  </si>
  <si>
    <t>SC-004-022-01</t>
  </si>
  <si>
    <t>SC-004-021-08</t>
  </si>
  <si>
    <t>정임보</t>
  </si>
  <si>
    <t>SC-004-021-06</t>
  </si>
  <si>
    <t>김태민</t>
  </si>
  <si>
    <t>SC-004-160-05</t>
  </si>
  <si>
    <t>SC-004-163-01</t>
  </si>
  <si>
    <t>오상훈</t>
  </si>
  <si>
    <t>인수채권부</t>
  </si>
  <si>
    <t>SC-004-021-26</t>
  </si>
  <si>
    <t>김은성</t>
  </si>
  <si>
    <t>SC-004-005-01</t>
  </si>
  <si>
    <t>SC-004-014-04</t>
  </si>
  <si>
    <t>박가빈</t>
  </si>
  <si>
    <t>SC-004-014-01</t>
  </si>
  <si>
    <t>송예진</t>
  </si>
  <si>
    <t>파생상품2본부</t>
  </si>
  <si>
    <t>SC-004-162-01</t>
  </si>
  <si>
    <t>황칠상</t>
  </si>
  <si>
    <t>SC-014-021-37</t>
  </si>
  <si>
    <t>남성현</t>
  </si>
  <si>
    <t>투자분석부</t>
  </si>
  <si>
    <t>SC-014-036-02</t>
  </si>
  <si>
    <t>조용식</t>
  </si>
  <si>
    <t>SC-014-046-01</t>
  </si>
  <si>
    <t>김동률</t>
  </si>
  <si>
    <t>SC-014-036-01</t>
  </si>
  <si>
    <t>박상민</t>
  </si>
  <si>
    <t>SC-014-999-01</t>
  </si>
  <si>
    <t>최동환</t>
  </si>
  <si>
    <t>SC-014-023-01</t>
  </si>
  <si>
    <t>노동길</t>
  </si>
  <si>
    <t>IT정보부</t>
  </si>
  <si>
    <t>SC-002-999-01</t>
  </si>
  <si>
    <t>정승모</t>
  </si>
  <si>
    <t>SC-002-035-01</t>
  </si>
  <si>
    <t>김희식</t>
  </si>
  <si>
    <t>Equity Swap팀</t>
  </si>
  <si>
    <t>SC-014-041-01</t>
  </si>
  <si>
    <t>임일우</t>
  </si>
  <si>
    <t>SC-002-001-01</t>
  </si>
  <si>
    <t>SC-002-027-01</t>
  </si>
  <si>
    <t>박은혜</t>
  </si>
  <si>
    <t>SC-014-027-22</t>
  </si>
  <si>
    <t>권지연</t>
  </si>
  <si>
    <t>SC-014-039-01</t>
  </si>
  <si>
    <t>홍지유</t>
  </si>
  <si>
    <t>SC-002-065-04</t>
  </si>
  <si>
    <t>채세움</t>
  </si>
  <si>
    <t>SC-002-037-01</t>
  </si>
  <si>
    <t>안선화</t>
  </si>
  <si>
    <t>SC-014-021-31</t>
  </si>
  <si>
    <t>조규휴</t>
  </si>
  <si>
    <t>IB본부(공용)</t>
  </si>
  <si>
    <t>SC-014-021-14</t>
  </si>
  <si>
    <t>김남균</t>
  </si>
  <si>
    <t>SC-014-021-39</t>
  </si>
  <si>
    <t>이현영</t>
  </si>
  <si>
    <t>SC-014-021-35</t>
  </si>
  <si>
    <t>박수희</t>
  </si>
  <si>
    <t>SC-002-021-03</t>
  </si>
  <si>
    <t>SC-014-021-18</t>
  </si>
  <si>
    <t>FICC운용1팀</t>
  </si>
  <si>
    <t>SC-014-021-33</t>
  </si>
  <si>
    <t>김진배</t>
  </si>
  <si>
    <t>SC-014-021-09</t>
  </si>
  <si>
    <t>반승철</t>
  </si>
  <si>
    <t>SC-002-011-20</t>
  </si>
  <si>
    <t>장혜원</t>
  </si>
  <si>
    <t>SC-002-011-06</t>
  </si>
  <si>
    <t>차동수</t>
  </si>
  <si>
    <t>SC-002-011-05</t>
  </si>
  <si>
    <t>이윤경</t>
  </si>
  <si>
    <t>SC-002-011-02</t>
  </si>
  <si>
    <t>SC-002-011-01</t>
  </si>
  <si>
    <t>최다경</t>
  </si>
  <si>
    <t>부산지점</t>
  </si>
  <si>
    <t>SC-001-063-01</t>
  </si>
  <si>
    <t>증권영업추진팀</t>
  </si>
  <si>
    <t>거래소(증권영업추진팀)</t>
  </si>
  <si>
    <t>SC-001-053-01</t>
  </si>
  <si>
    <t>안장수</t>
  </si>
  <si>
    <t>리서치부</t>
  </si>
  <si>
    <t>SC-001-999-01</t>
  </si>
  <si>
    <t>SC-001-061-01</t>
  </si>
  <si>
    <t>성민재</t>
  </si>
  <si>
    <t>랩운용팀</t>
  </si>
  <si>
    <t>SC-001-064-02</t>
  </si>
  <si>
    <t>전연주</t>
  </si>
  <si>
    <t>SC-001-064-01</t>
  </si>
  <si>
    <t>고광봉</t>
  </si>
  <si>
    <t>FICC운용부</t>
  </si>
  <si>
    <t>SC-001-054-04</t>
  </si>
  <si>
    <t>김중화</t>
  </si>
  <si>
    <t>SC-001-056-11</t>
  </si>
  <si>
    <t>유인성</t>
  </si>
  <si>
    <t>SC-001-056-08</t>
  </si>
  <si>
    <t>신현준</t>
  </si>
  <si>
    <t>SC-001-056-07</t>
  </si>
  <si>
    <t>신정우</t>
  </si>
  <si>
    <t>SC-001-056-04</t>
  </si>
  <si>
    <t>최문선</t>
  </si>
  <si>
    <t>SC-001-056-02</t>
  </si>
  <si>
    <t>SC-001-056-05</t>
  </si>
  <si>
    <t>백영훈</t>
  </si>
  <si>
    <t>SC-001-056-14</t>
  </si>
  <si>
    <t>홍중희</t>
  </si>
  <si>
    <t>TR-000-102-87</t>
  </si>
  <si>
    <t>SC-001-056-10</t>
  </si>
  <si>
    <t>한재선</t>
  </si>
  <si>
    <t>SC-001-056-06</t>
  </si>
  <si>
    <t>SC-001-022-13</t>
  </si>
  <si>
    <t>홍준호</t>
  </si>
  <si>
    <t>마정은</t>
  </si>
  <si>
    <t>SC-001-022-12</t>
  </si>
  <si>
    <t>한재승</t>
  </si>
  <si>
    <t>SC-001-022-11</t>
  </si>
  <si>
    <t>김윤섭</t>
  </si>
  <si>
    <t>SC-001-022-09</t>
  </si>
  <si>
    <t>정지우</t>
  </si>
  <si>
    <t>SC-001-022-05</t>
  </si>
  <si>
    <t>노경열</t>
  </si>
  <si>
    <t>SC-001-022-03</t>
  </si>
  <si>
    <t>이항주</t>
  </si>
  <si>
    <t>SC-001-022-02</t>
  </si>
  <si>
    <t>SC-001-022-01</t>
  </si>
  <si>
    <t>SC-001-021-01</t>
  </si>
  <si>
    <t>이태준</t>
  </si>
  <si>
    <t>SC-001-025-01</t>
  </si>
  <si>
    <t>채권금웅부</t>
  </si>
  <si>
    <t>SC-001-010-06</t>
  </si>
  <si>
    <t>박진선</t>
  </si>
  <si>
    <t>SC-001-010-05</t>
  </si>
  <si>
    <t>유승주</t>
  </si>
  <si>
    <t>SC-001-010-04</t>
  </si>
  <si>
    <t>김문영</t>
  </si>
  <si>
    <t>회사</t>
  </si>
  <si>
    <t>부서</t>
  </si>
  <si>
    <t>고객ID</t>
  </si>
  <si>
    <t>고객명</t>
  </si>
  <si>
    <t>직무</t>
  </si>
  <si>
    <t>업무상대방</t>
  </si>
  <si>
    <t>금융상품</t>
  </si>
  <si>
    <t>ABLGAM</t>
  </si>
  <si>
    <t>금융 유관기관</t>
  </si>
  <si>
    <t>국고채/통안채,회사채</t>
  </si>
  <si>
    <t>ABL글로벌자산운용</t>
  </si>
  <si>
    <t>금융회사</t>
  </si>
  <si>
    <t>국내주식/지수,국내주식/지수관련파생,해외주식/지수,ETF/ETN</t>
  </si>
  <si>
    <t>펀드매니저</t>
  </si>
  <si>
    <t>국고채/통안채,회사채,국채선물</t>
  </si>
  <si>
    <t>ABL생명</t>
  </si>
  <si>
    <t>분석 및 전략</t>
  </si>
  <si>
    <t>국내주식/지수,국고채/통안채,회사채,해외주식/지수</t>
  </si>
  <si>
    <t>BNK자산운용</t>
  </si>
  <si>
    <t>국고채/통안채,회사채,RP,단기자금</t>
  </si>
  <si>
    <t>BNK투자증권</t>
  </si>
  <si>
    <t>브로커</t>
  </si>
  <si>
    <t>국내주식/지수,국내주식/지수관련파생,ETF/ETN</t>
  </si>
  <si>
    <t>국고채/통안채,국채선물</t>
  </si>
  <si>
    <t>국고채/통안채,회사채,소액채권,국채선물</t>
  </si>
  <si>
    <t>백오피스</t>
  </si>
  <si>
    <t>기타</t>
  </si>
  <si>
    <t>국고채/통안채,회사채,단기자금</t>
  </si>
  <si>
    <t>CA-CIB</t>
  </si>
  <si>
    <t>BN-417-000-05</t>
  </si>
  <si>
    <t>국고채/통안채,RP,외화채권선물,원화 이자율스왑,외화 이자율스왑,FX Spot &amp; FX Swap,CRS &amp; FX Option</t>
  </si>
  <si>
    <t>CGS-CIMB</t>
  </si>
  <si>
    <t>일반기업고객,기타</t>
  </si>
  <si>
    <t>국내주식/지수</t>
  </si>
  <si>
    <t>CLSA증권코리아</t>
  </si>
  <si>
    <t>금융회사,금융 유관기관</t>
  </si>
  <si>
    <t>국내주식/지수,국내주식/지수관련파생</t>
  </si>
  <si>
    <t>트레이더,세일즈</t>
  </si>
  <si>
    <t>Credit Suisse 증권</t>
  </si>
  <si>
    <t>세일즈</t>
  </si>
  <si>
    <t>DB금융투자</t>
  </si>
  <si>
    <t>외화채권(KP제외),IB(발행, M&amp;A 등)</t>
  </si>
  <si>
    <t>기타,백오피스</t>
  </si>
  <si>
    <t>금융회사,금융 유관기관,일반기업고객</t>
  </si>
  <si>
    <t>국고채/통안채,회사채,IB(발행, M&amp;A 등)</t>
  </si>
  <si>
    <t>신용파생,대체투자(부동산/인프라)</t>
  </si>
  <si>
    <t>펀드매니저,리스크관리(미들)</t>
  </si>
  <si>
    <t>금융회사,일반기업고객,기타</t>
  </si>
  <si>
    <t>회사채,RP,단기자금</t>
  </si>
  <si>
    <t>국고채/통안채</t>
  </si>
  <si>
    <t>해외주식/지수,ETF/ETN</t>
  </si>
  <si>
    <t>DB손해보험</t>
  </si>
  <si>
    <t>국내주식/지수,국내주식/지수관련파생,해외주식/지수,해외주식/지수관련파생,ETF/ETN,ELW,ELS/DLS</t>
  </si>
  <si>
    <t>외화채권(KP제외)</t>
  </si>
  <si>
    <t>DGB자산운용</t>
  </si>
  <si>
    <t>금융회사,기타</t>
  </si>
  <si>
    <t>GFI Korea</t>
  </si>
  <si>
    <t>HSBC증권</t>
  </si>
  <si>
    <t>IBK연금보험</t>
  </si>
  <si>
    <t>국고채/통안채,원화 구조화채권,외화 구조화채권,대체투자(부동산/인프라)</t>
  </si>
  <si>
    <t>IB(발행, M&amp;A 등),대체투자(부동산/인프라)</t>
  </si>
  <si>
    <t>국내주식/지수,국고채/통안채,원화 구조화채권</t>
  </si>
  <si>
    <t>국내주식/지수,국고채/통안채,단기자금,국채선물,Korean Paper,외화채권(KP제외),원화 구조화채권,외화 구조화채권,FX Spot &amp; FX Swap,CRS &amp; FX Option,FRA/이자율옵션,IB(발행, M&amp;A 등),대체투자(부동산/인프라)</t>
  </si>
  <si>
    <t>IBK자산운용</t>
  </si>
  <si>
    <t>리스크관리(미들)</t>
  </si>
  <si>
    <t>국고채/통안채,단기자금,국내주식/지수관련파생</t>
  </si>
  <si>
    <t>펀드매니저,트레이더,분석 및 전략</t>
  </si>
  <si>
    <t>국내주식/지수,국고채/통안채,회사채,국채선물,Korean Paper,외화채권(KP제외),외화채권선물,원화 구조화채권,국내주식/지수관련파생,외화 구조화채권,원화 이자율스왑,외화 이자율스왑,FX Spot &amp; FX Swap,CRS &amp; FX Option,신용파생,해외주식/지수,해외주식/지수관련파생,ELS/DLS</t>
  </si>
  <si>
    <t>국고채/통안채,회사채,소액채권,RP,외화채권(KP제외),외화 구조화채권</t>
  </si>
  <si>
    <t>일반기업고객,개인고객</t>
  </si>
  <si>
    <t>국고채/통안채,회사채,소액채권,원화 구조화채권,대체투자(부동산/인프라)</t>
  </si>
  <si>
    <t>트레이더,퀀트,세일즈,분석 및 전략</t>
  </si>
  <si>
    <t>국고채/통안채,회사채,RP,국채선물,Korean Paper,외화채권(KP제외),외화채권선물,원화 구조화채권,외화 구조화채권,원화 이자율스왑,외화 이자율스왑,FX Spot &amp; FX Swap,CRS &amp; FX Option,신용파생,ELS/DLS</t>
  </si>
  <si>
    <t>KB국민은행</t>
  </si>
  <si>
    <t>펀드매니저,딜러</t>
  </si>
  <si>
    <t>퀀트,리스크관리(미들)</t>
  </si>
  <si>
    <t>국내주식/지수관련파생,원화 이자율스왑,외화 이자율스왑,CRS &amp; FX Option,ELS/DLS</t>
  </si>
  <si>
    <r>
      <t>KB</t>
    </r>
    <r>
      <rPr>
        <sz val="10"/>
        <rFont val="돋움"/>
        <family val="3"/>
        <charset val="129"/>
      </rPr>
      <t>손해보험</t>
    </r>
    <phoneticPr fontId="2" type="noConversion"/>
  </si>
  <si>
    <t>국내주식/지수,국고채/통안채,원화 구조화채권,외화 구조화채권</t>
  </si>
  <si>
    <t>국내주식/지수,국고채/통안채,대체투자(부동산/인프라)</t>
  </si>
  <si>
    <t>KB자산운용</t>
  </si>
  <si>
    <t>금융회사,금융 유관기관,일반기업고객,개인고객</t>
  </si>
  <si>
    <t>국내주식/지수,국내주식/지수관련파생,ELS/DLS</t>
  </si>
  <si>
    <t>금융회사,개인고객</t>
  </si>
  <si>
    <t>국내주식/지수관련파생,FRA/이자율옵션,ELS/DLS</t>
  </si>
  <si>
    <t>펀드매니저,퀀트,분석 및 전략</t>
  </si>
  <si>
    <t>금융 유관기관,개인고객</t>
  </si>
  <si>
    <t>국내주식/지수,FX Spot &amp; FX Swap,해외주식/지수,ETF/ETN</t>
  </si>
  <si>
    <t>퀀트,분석 및 전략</t>
  </si>
  <si>
    <t>ETF/ETN</t>
  </si>
  <si>
    <t>금융회사,금융 유관기관,일반기업고객,개인고객,기타</t>
  </si>
  <si>
    <t>국내주식/지수,국고채/통안채,RP,국내주식/지수관련파생,FX Spot &amp; FX Swap,원자재파생,해외주식/지수,해외주식/지수관련파생,ETF/ETN</t>
  </si>
  <si>
    <t>세일즈,분석 및 전략</t>
  </si>
  <si>
    <t>금융회사,일반기업고객,개인고객</t>
  </si>
  <si>
    <t>단기자금,외화 이자율스왑,CRS &amp; FX Option,신용파생,ELW,ELS/DLS,대체투자(부동산/인프라)</t>
  </si>
  <si>
    <t>국내주식/지수,국내주식/지수관련파생,FX Spot &amp; FX Swap,ETF/ETN</t>
  </si>
  <si>
    <t>기타,세일즈</t>
  </si>
  <si>
    <t>회사채,단기자금,원화 구조화채권,외화 구조화채권,IB(발행, M&amp;A 등),대체투자(부동산/인프라)</t>
  </si>
  <si>
    <t>기타,세일즈,백오피스</t>
  </si>
  <si>
    <t>회사채,Korean Paper,원화 구조화채권,외화 구조화채권</t>
  </si>
  <si>
    <t>금융회사,일반기업고객</t>
  </si>
  <si>
    <t>국내주식/지수,국고채/통안채</t>
  </si>
  <si>
    <t>RP</t>
  </si>
  <si>
    <t>세일즈,브로커</t>
  </si>
  <si>
    <t>회사채,단기자금,원화 구조화채권,IB(발행, M&amp;A 등)</t>
  </si>
  <si>
    <t>기타,세일즈,브로커</t>
  </si>
  <si>
    <t>국고채/통안채,회사채,소액채권,국채선물,Korean Paper,원화 구조화채권</t>
  </si>
  <si>
    <t>원화 이자율스왑,외화 이자율스왑,FX Spot &amp; FX Swap</t>
  </si>
  <si>
    <t>국내주식/지수,국내주식/지수관련파생,해외주식/지수,해외주식/지수관련파생,ETF/ETN</t>
  </si>
  <si>
    <t>기타,분석 및 전략</t>
  </si>
  <si>
    <t>국내주식/지수,국내주식/지수관련파생,신용파생,원자재파생,ELS/DLS,대체투자(부동산/인프라)</t>
  </si>
  <si>
    <t>국내주식/지수,국고채/통안채,회사채,단기자금,ETF/ETN,ELS/DLS,대체투자(부동산/인프라)</t>
  </si>
  <si>
    <t>트레이더,딜러</t>
  </si>
  <si>
    <r>
      <t>KB</t>
    </r>
    <r>
      <rPr>
        <sz val="10"/>
        <rFont val="돋움"/>
        <family val="3"/>
        <charset val="129"/>
      </rPr>
      <t>증권</t>
    </r>
    <phoneticPr fontId="2" type="noConversion"/>
  </si>
  <si>
    <t>ELS/DLS</t>
  </si>
  <si>
    <r>
      <t>KEB</t>
    </r>
    <r>
      <rPr>
        <sz val="10"/>
        <rFont val="돋움"/>
        <family val="3"/>
        <charset val="129"/>
      </rPr>
      <t>하나은행</t>
    </r>
    <phoneticPr fontId="2" type="noConversion"/>
  </si>
  <si>
    <t>퀀트</t>
  </si>
  <si>
    <t>국고채/통안채,원화 구조화채권,외화 구조화채권,원화 이자율스왑,외화 이자율스왑,FRA/이자율옵션</t>
  </si>
  <si>
    <t>KEB하나은행</t>
  </si>
  <si>
    <t>국고채/통안채,RP,단기자금</t>
  </si>
  <si>
    <t>국고채/통안채,국채선물,원화 이자율스왑,외화 이자율스왑,FX Spot &amp; FX Swap</t>
  </si>
  <si>
    <t>원화 이자율스왑,외화 이자율스왑,FX Spot &amp; FX Swap,CRS &amp; FX Option</t>
  </si>
  <si>
    <t>국내주식/지수,국내주식/지수관련파생,FX Spot &amp; FX Swap,CRS &amp; FX Option,해외주식/지수,해외주식/지수관련파생</t>
  </si>
  <si>
    <t>펀드매니저,분석 및 전략</t>
  </si>
  <si>
    <t>국내주식/지수,해외주식/지수</t>
  </si>
  <si>
    <t>KTB투자증권</t>
  </si>
  <si>
    <t>국고채/통안채,단기자금</t>
  </si>
  <si>
    <t>LK자산운용</t>
  </si>
  <si>
    <t>리스크관리(미들),백오피스</t>
  </si>
  <si>
    <t>국내주식/지수,회사채,단기자금,ETF/ETN,ELS/DLS,대체투자(부동산/인프라)</t>
  </si>
  <si>
    <t>NH-Amundi 자산운용</t>
  </si>
  <si>
    <t>국내주식/지수,국내주식/지수관련파생,해외주식/지수,해외주식/지수관련파생</t>
  </si>
  <si>
    <t>NH농협은행</t>
  </si>
  <si>
    <t>딜러,분석 및 전략</t>
  </si>
  <si>
    <t>NH투자증권</t>
  </si>
  <si>
    <t>세일즈,리스크관리(미들)</t>
  </si>
  <si>
    <t>금융 유관기관,일반기업고객,개인고객</t>
  </si>
  <si>
    <t>국고채/통안채,회사채,소액채권,원화 구조화채권,외화 구조화채권</t>
  </si>
  <si>
    <t>금융회사,금융 유관기관,기타</t>
  </si>
  <si>
    <t>회사채,원화 구조화채권</t>
  </si>
  <si>
    <t>국고채/통안채,회사채,소액채권,RP,국채선물,원화 이자율스왑</t>
  </si>
  <si>
    <t>송인섭</t>
  </si>
  <si>
    <t>국고채/통안채,회사채,원화 구조화채권</t>
  </si>
  <si>
    <t>국내주식/지수,국고채/통안채,회사채,소액채권,국내주식/지수관련파생,해외주식/지수,ETF/ETN,ELW</t>
  </si>
  <si>
    <t>김영돈</t>
  </si>
  <si>
    <t>SC제일은행</t>
  </si>
  <si>
    <t>해외주식/지수</t>
  </si>
  <si>
    <t>국고채/통안채,국채선물,원화 이자율스왑,CRS &amp; FX Option</t>
  </si>
  <si>
    <t>SGI서울보증</t>
  </si>
  <si>
    <t>펀드매니저,기타</t>
  </si>
  <si>
    <t>대체투자(부동산/인프라)</t>
  </si>
  <si>
    <t>트레이더,브로커</t>
  </si>
  <si>
    <t>국고채/통안채,원화 구조화채권</t>
  </si>
  <si>
    <t>시스템개발,트레이더</t>
  </si>
  <si>
    <t>국내주식/지수관련파생,ELW</t>
  </si>
  <si>
    <t>국내주식/지수,국고채/통안채,회사채,국채선물,원화 구조화채권,국내주식/지수관련파생,원화 이자율스왑,해외주식/지수,해외주식/지수관련파생,ETF/ETN,ELW,ELS/DLS</t>
  </si>
  <si>
    <t>국내주식/지수,국고채/통안채,회사채,국채선물,원화 구조화채권,국내주식/지수관련파생,원화 이자율스왑</t>
  </si>
  <si>
    <t>국내주식/지수,국고채/통안채,단기자금</t>
  </si>
  <si>
    <t>골든브릿지자산운용</t>
  </si>
  <si>
    <t>국내주식/지수관련파생,ETF/ETN</t>
  </si>
  <si>
    <t>딜러,브로커</t>
  </si>
  <si>
    <t>국내주식/지수,국고채/통안채,회사채,단기자금,국내주식/지수관련파생,해외주식/지수,ETF/ETN,대체투자(부동산/인프라)</t>
  </si>
  <si>
    <t>교보생명보험</t>
  </si>
  <si>
    <t>국내주식/지수,국고채/통안채,회사채,단기자금,국채선물,Korean Paper,외화채권(KP제외),원화 구조화채권,국내주식/지수관련파생,외화 구조화채권,원화 이자율스왑,외화 이자율스왑,FX Spot &amp; FX Swap,CRS &amp; FX Option,해외주식/지수,대체투자(부동산/인프라)</t>
  </si>
  <si>
    <t>국채선물,국내주식/지수관련파생,원화 이자율스왑</t>
  </si>
  <si>
    <t>외화 구조화채권,해외주식/지수</t>
  </si>
  <si>
    <t>원화 구조화채권</t>
  </si>
  <si>
    <t>국고채/통안채,회사채,원화 구조화채권,외화 구조화채권,대체투자(부동산/인프라)</t>
  </si>
  <si>
    <t>금융회사,금융 유관기관,개인고객</t>
  </si>
  <si>
    <t>국내주식/지수,국고채/통안채,회사채,소액채권,RP,국채선물,국내주식/지수관련파생,원화 이자율스왑</t>
  </si>
  <si>
    <t>국고채/통안채,회사채,소액채권</t>
  </si>
  <si>
    <t>국고채/통안채,회사채,단기자금,원화 구조화채권</t>
  </si>
  <si>
    <t>트레이더,퀀트,세일즈</t>
  </si>
  <si>
    <t>국내주식/지수,국고채/통안채,회사채,단기자금,국채선물,Korean Paper,외화채권(KP제외),외화채권선물,원화 구조화채권,국내주식/지수관련파생,외화 구조화채권,원화 이자율스왑,외화 이자율스왑,FX Spot &amp; FX Swap,CRS &amp; FX Option,FRA/이자율옵션,신용파생,원자재파생,해외주식/지수,해외주식/지수관련파생,ETF/ETN,ELS/DLS</t>
  </si>
  <si>
    <t>회사채,소액채권,외화채권(KP제외),원화 구조화채권,외화 구조화채권,CRS &amp; FX Option,FRA/이자율옵션,신용파생,IB(발행, M&amp;A 등),대체투자(부동산/인프라)</t>
  </si>
  <si>
    <t>딜러,퀀트,분석 및 전략</t>
  </si>
  <si>
    <t>국고채/통안채,회사채,RP,단기자금,국채선물,Korean Paper,외화채권(KP제외),외화채권선물,원화 구조화채권,외화 구조화채권,원화 이자율스왑,외화 이자율스왑,FX Spot &amp; FX Swap,CRS &amp; FX Option,FRA/이자율옵션,신용파생,원자재파생,ELS/DLS</t>
  </si>
  <si>
    <t>국민연금</t>
    <phoneticPr fontId="2" type="noConversion"/>
  </si>
  <si>
    <t>국민연금</t>
  </si>
  <si>
    <t>퀀트,리스크관리(미들),분석 및 전략</t>
  </si>
  <si>
    <t>회사채,RP,단기자금,원화 구조화채권,대체투자(부동산/인프라)</t>
  </si>
  <si>
    <t>개인고객</t>
  </si>
  <si>
    <t>국내주식/지수,ETF/ETN</t>
  </si>
  <si>
    <t>국내주식/지수,국고채/통안채,회사채,단기자금,국채선물,Korean Paper,외화채권(KP제외),원화 구조화채권,국내주식/지수관련파생,외화 구조화채권,FX Spot &amp; FX Swap,CRS &amp; FX Option,해외주식/지수,해외주식/지수관련파생,ETF/ETN,ELW,ELS/DLS,대체투자(부동산/인프라)</t>
  </si>
  <si>
    <t>외화채권(KP제외),외화 구조화채권,FX Spot &amp; FX Swap</t>
  </si>
  <si>
    <t>국내주식/지수,국고채/통안채,회사채,소액채권,Korean Paper,외화채권(KP제외),외화채권선물,원화 구조화채권,국내주식/지수관련파생,외화 구조화채권,해외주식/지수,해외주식/지수관련파생,대체투자(부동산/인프라)</t>
  </si>
  <si>
    <t>국내주식/지수,회사채,FX Spot &amp; FX Swap</t>
  </si>
  <si>
    <t>국내주식/지수,국고채/통안채,회사채,소액채권,RP,국채선물,국내주식/지수관련파생,해외주식/지수,해외주식/지수관련파생,ELW,ELS/DLS</t>
  </si>
  <si>
    <t>이동규</t>
  </si>
  <si>
    <t>유승상</t>
  </si>
  <si>
    <t>국내주식/지수,국고채/통안채,회사채,RP,단기자금,국채선물</t>
  </si>
  <si>
    <t>해외자산파생운용팀</t>
  </si>
  <si>
    <t>박선미</t>
  </si>
  <si>
    <t>원화 이자율스왑,FX Spot &amp; FX Swap</t>
  </si>
  <si>
    <t>회사채,IB(발행, M&amp;A 등)</t>
  </si>
  <si>
    <t>농협중앙회</t>
  </si>
  <si>
    <t>국내주식/지수,회사채,원화 구조화채권,외화 구조화채권</t>
  </si>
  <si>
    <t>강민경</t>
  </si>
  <si>
    <t>국내주식/지수,원화 구조화채권,국내주식/지수관련파생,신용파생,해외주식/지수,해외주식/지수관련파생,ETF/ETN,ELS/DLS</t>
  </si>
  <si>
    <t>원화 이자율스왑,외화 이자율스왑,FX Spot &amp; FX Swap,CRS &amp; FX Option,해외주식/지수,해외주식/지수관련파생,ETF/ETN</t>
  </si>
  <si>
    <t>국고채/통안채,회사채,단기자금,국채선물,Korean Paper,외화채권(KP제외),외화채권선물,원화 구조화채권,외화 구조화채권,원화 이자율스왑,외화 이자율스왑,FX Spot &amp; FX Swap,ELS/DLS</t>
  </si>
  <si>
    <t>국내주식/지수,회사채,소액채권,국채선물,외화채권선물,원화 구조화채권,원화 이자율스왑</t>
  </si>
  <si>
    <t>기타,리스크관리(미들)</t>
  </si>
  <si>
    <t>국내주식/지수,국고채/통안채,회사채,외화채권(KP제외),원화 구조화채권</t>
  </si>
  <si>
    <t>국고채/통안채,회사채,단기자금,국채선물,원화 이자율스왑</t>
  </si>
  <si>
    <t>국내주식/지수,국고채/통안채,회사채,소액채권,RP,단기자금,국채선물,국내주식/지수관련파생,해외주식/지수,해외주식/지수관련파생,ELS/DLS,대체투자(부동산/인프라)</t>
  </si>
  <si>
    <t>외화채권(KP제외),외화채권선물</t>
  </si>
  <si>
    <t>마이다스에셋</t>
  </si>
  <si>
    <t>국내주식/지수,국고채/통안채,국내주식/지수관련파생,FX Spot &amp; FX Swap,FRA/이자율옵션,해외주식/지수,해외주식/지수관련파생,ETF/ETN</t>
  </si>
  <si>
    <t>Equity헤지팀</t>
  </si>
  <si>
    <t>해외주식/지수관련파생</t>
  </si>
  <si>
    <t>펀드매니저,퀀트</t>
  </si>
  <si>
    <t>메리츠종금증권</t>
  </si>
  <si>
    <t>글로벌금융팀</t>
  </si>
  <si>
    <t>SC-010-062-02</t>
  </si>
  <si>
    <t>임백진</t>
  </si>
  <si>
    <t>국채선물,원화 이자율스왑</t>
  </si>
  <si>
    <t>국고채/통안채,회사채,RP,단기자금,국채선물,외화채권(KP제외),외화채권선물,원화 이자율스왑,FX Spot &amp; FX Swap,ELS/DLS</t>
  </si>
  <si>
    <t>메리츠화재보험</t>
    <phoneticPr fontId="2" type="noConversion"/>
  </si>
  <si>
    <t>국고채/통안채,회사채,원화 구조화채권,원화 이자율스왑,외화 이자율스왑</t>
  </si>
  <si>
    <t>LEEMICHAEL</t>
  </si>
  <si>
    <t>외화채권(KP제외),외화 구조화채권,FX Spot &amp; FX Swap,해외주식/지수</t>
  </si>
  <si>
    <t>국고채/통안채,회사채,단기자금,국채선물,Korean Paper,외화채권(KP제외),외화채권선물,원화 구조화채권,국내주식/지수관련파생,외화 구조화채권,원화 이자율스왑,외화 이자율스왑,FX Spot &amp; FX Swap,CRS &amp; FX Option,신용파생,원자재파생,해외주식/지수관련파생,ELS/DLS,대체투자(부동산/인프라)</t>
  </si>
  <si>
    <t>국내주식/지수,국내주식/지수관련파생,원화 이자율스왑,외화 이자율스왑,FX Spot &amp; FX Swap,해외주식/지수,해외주식/지수관련파생,ETF/ETN,IB(발행, M&amp;A 등),대체투자(부동산/인프라)</t>
  </si>
  <si>
    <t>펀드매니저,세일즈</t>
  </si>
  <si>
    <t>국내주식/지수,국채선물,국내주식/지수관련파생,해외주식/지수,ETF/ETN</t>
  </si>
  <si>
    <t>배제윤</t>
  </si>
  <si>
    <t>국고채/통안채,회사채,소액채권,단기자금</t>
  </si>
  <si>
    <t>국고채/통안채,소액채권,국채선물,원화 구조화채권</t>
  </si>
  <si>
    <t>기타,트레이더</t>
  </si>
  <si>
    <t>국고채/통안채,회사채,원화 구조화채권,외화 구조화채권,ETF/ETN</t>
  </si>
  <si>
    <t>국내주식/지수,국고채/통안채,회사채,국내주식/지수관련파생,해외주식/지수,ETF/ETN</t>
  </si>
  <si>
    <t>트레이더,백오피스</t>
  </si>
  <si>
    <t>국내주식/지수,국고채/통안채,회사채,국채선물,외화채권(KP제외),외화채권선물,국내주식/지수관련파생,신용파생,해외주식/지수,해외주식/지수관련파생,ETF/ETN</t>
  </si>
  <si>
    <t>국내주식/지수,국내주식/지수관련파생,원자재파생,해외주식/지수,해외주식/지수관련파생,ETF/ETN</t>
  </si>
  <si>
    <t>국고채/통안채,회사채,RP,국채선물,IB(발행, M&amp;A 등)</t>
  </si>
  <si>
    <t>국고채/통안채,회사채,국채선물,FX Spot &amp; FX Swap</t>
  </si>
  <si>
    <t>베어링자산운용`</t>
  </si>
  <si>
    <t>국내주식/지수,국고채/통안채,회사채,소액채권,RP,단기자금,국채선물,원화 구조화채권,국내주식/지수관련파생,ELW,IB(발행, M&amp;A 등)</t>
  </si>
  <si>
    <t>국고채/통안채,회사채,RP</t>
  </si>
  <si>
    <t>딜러,세일즈,브로커</t>
  </si>
  <si>
    <t>국고채/통안채,회사채,소액채권,RP,국채선물,외화채권(KP제외),외화채권선물,원화 구조화채권,외화 구조화채권,대체투자(부동산/인프라)</t>
  </si>
  <si>
    <t>사학연금관리공단</t>
  </si>
  <si>
    <t>산업은행</t>
  </si>
  <si>
    <t>삼성생명</t>
  </si>
  <si>
    <t>국내주식/지수관련파생,원화 이자율스왑,해외주식/지수관련파생</t>
  </si>
  <si>
    <t>국고채/통안채,회사채,국채선물,Korean Paper,원화 구조화채권,FX Spot &amp; FX Swap,ELS/DLS</t>
  </si>
  <si>
    <t>국내주식/지수,RP,ETF/ETN</t>
  </si>
  <si>
    <t>삼성화재보험</t>
    <phoneticPr fontId="2" type="noConversion"/>
  </si>
  <si>
    <t>외화 구조화채권,해외주식/지수,ETF/ETN,ELS/DLS</t>
  </si>
  <si>
    <t>국내주식/지수,국고채/통안채,회사채,단기자금,해외주식/지수</t>
  </si>
  <si>
    <t>회사채</t>
  </si>
  <si>
    <t>원화 구조화채권,국내주식/지수관련파생,외화 구조화채권</t>
  </si>
  <si>
    <t>BN-401-007-01</t>
  </si>
  <si>
    <t>송상현</t>
  </si>
  <si>
    <t>국고채/통안채,회사채,국채선물,Korean Paper,외화채권(KP제외),원화 구조화채권,외화 구조화채권</t>
  </si>
  <si>
    <t>ELS/DLS,IB(발행, M&amp;A 등),대체투자(부동산/인프라)</t>
  </si>
  <si>
    <t>국내주식/지수,대체투자(부동산/인프라)</t>
  </si>
  <si>
    <t>국내주식/지수,국고채/통안채,원화 구조화채권,원화 이자율스왑</t>
  </si>
  <si>
    <t>국내주식/지수,국고채/통안채,회사채,국채선물</t>
  </si>
  <si>
    <t>국고채/통안채,회사채,단기자금,국채선물</t>
  </si>
  <si>
    <t>국고채/통안채,회사채,ETF/ETN,대체투자(부동산/인프라)</t>
  </si>
  <si>
    <t>슈로더투신운용</t>
    <phoneticPr fontId="2" type="noConversion"/>
  </si>
  <si>
    <t>국고채/통안채,FX Spot &amp; FX Swap,FRA/이자율옵션,해외주식/지수,대체투자(부동산/인프라)</t>
  </si>
  <si>
    <t>단기자금</t>
  </si>
  <si>
    <t>신한BNP파리바자산운용</t>
  </si>
  <si>
    <t>국내주식/지수,국내주식/지수관련파생,FX Spot &amp; FX Swap,해외주식/지수,해외주식/지수관련파생,ETF/ETN,대체투자(부동산/인프라)</t>
  </si>
  <si>
    <t>FX Spot &amp; FX Swap,해외주식/지수,ETF/ETN</t>
  </si>
  <si>
    <t>개인고객,기타</t>
  </si>
  <si>
    <t>국고채/통안채,회사채,소액채권,RP,단기자금,국채선물,원화 구조화채권,대체투자(부동산/인프라)</t>
  </si>
  <si>
    <t>국고채/통안채,회사채,RP,단기자금,원화 구조화채권,외화 구조화채권,FX Spot &amp; FX Swap,CRS &amp; FX Option</t>
  </si>
  <si>
    <t>국고채/통안채,회사채,단기자금,Korean Paper,외화채권(KP제외)</t>
  </si>
  <si>
    <t>국고채/통안채,회사채,국채선물,원화 이자율스왑</t>
  </si>
  <si>
    <t>임종호</t>
  </si>
  <si>
    <t>국고채/통안채,회사채,RP,국채선물,Korean Paper,외화채권(KP제외),외화채권선물,원화 이자율스왑,외화 이자율스왑,FX Spot &amp; FX Swap</t>
  </si>
  <si>
    <t>회사채,소액채권</t>
  </si>
  <si>
    <t>국고채/통안채,국채선물,원화 이자율스왑,외화 이자율스왑,FX Spot &amp; FX Swap,CRS &amp; FX Option</t>
  </si>
  <si>
    <t>국고채/통안채,국채선물,원화 이자율스왑,외화 이자율스왑</t>
  </si>
  <si>
    <t>신협중앙회</t>
  </si>
  <si>
    <t>국내주식/지수,국고채/통안채,원화 구조화채권,국내주식/지수관련파생,외화 구조화채권,ETF/ETN,ELS/DLS,대체투자(부동산/인프라)</t>
  </si>
  <si>
    <t>에이비엘글로벌자산운용</t>
  </si>
  <si>
    <t>국내주식/지수,국고채/통안채,외화채권(KP제외),원화 구조화채권,외화 구조화채권,원화 이자율스왑,외화 이자율스왑,FX Spot &amp; FX Swap,IB(발행, M&amp;A 등),대체투자(부동산/인프라)</t>
  </si>
  <si>
    <t>국고채/통안채,원화 이자율스왑,외화 이자율스왑,FX Spot &amp; FX Swap,CRS &amp; FX Option</t>
  </si>
  <si>
    <t>국고채/통안채,국채선물,원화 구조화채권,원화 이자율스왑,외화 이자율스왑,FX Spot &amp; FX Swap,CRS &amp; FX Option,FRA/이자율옵션</t>
  </si>
  <si>
    <t>국내주식/지수,국내주식/지수관련파생,해외주식/지수,해외주식/지수관련파생,ELS/DLS</t>
  </si>
  <si>
    <t>국내주식/지수,국고채/통안채,회사채,단기자금,Korean Paper,외화채권(KP제외),원화 구조화채권,외화 구조화채권,외화 이자율스왑,FX Spot &amp; FX Swap,해외주식/지수,ETF/ETN,ELS/DLS,대체투자(부동산/인프라)</t>
  </si>
  <si>
    <t>외화 구조화채권,외화 이자율스왑</t>
  </si>
  <si>
    <t>국내주식/지수,국고채/통안채,단기자금,원화 구조화채권,ETF/ETN,ELS/DLS,대체투자(부동산/인프라)</t>
  </si>
  <si>
    <t>국고채/통안채,회사채,단기자금,국채선물,Korean Paper,외화채권(KP제외),원화 구조화채권,외화 구조화채권,원화 이자율스왑,외화 이자율스왑,FX Spot &amp; FX Swap,CRS &amp; FX Option,ELS/DLS</t>
  </si>
  <si>
    <t>국고채/통안채,회사채,소액채권,국채선물,Korean Paper,외화채권(KP제외),원화 이자율스왑,FX Spot &amp; FX Swap</t>
  </si>
  <si>
    <t>박가연</t>
  </si>
  <si>
    <t>국내주식/지수,RP,단기자금,해외주식/지수,ETF/ETN,대체투자(부동산/인프라)</t>
  </si>
  <si>
    <t>국내주식/지수,회사채,국내주식/지수관련파생</t>
  </si>
  <si>
    <t>국내주식/지수관련파생,해외주식/지수관련파생</t>
  </si>
  <si>
    <t>국고채/통안채,회사채,외화채권(KP제외)</t>
  </si>
  <si>
    <t>국고채/통안채,회사채,소액채권,RP</t>
  </si>
  <si>
    <t>국내주식/지수,국고채/통안채,회사채,소액채권,RP,단기자금,국채선물,Korean Paper,외화채권(KP제외),외화채권선물,원화 구조화채권,국내주식/지수관련파생,외화 구조화채권,원화 이자율스왑,외화 이자율스왑,FX Spot &amp; FX Swap,CRS &amp; FX Option,FRA/이자율옵션,신용파생,해외주식/지수,해외주식/지수관련파생,ETF/ETN,ELS/DLS,IB(발행, M&amp;A 등),대체투자(부동산/인프라)</t>
  </si>
  <si>
    <t>양대모</t>
  </si>
  <si>
    <t>국고채/통안채,회사채,소액채권,RP,단기자금,국채선물</t>
  </si>
  <si>
    <t>국내주식/지수,국내주식/지수관련파생,ETF/ETN,ELW</t>
  </si>
  <si>
    <t>시스템개발</t>
  </si>
  <si>
    <t>국내주식/지수,국내주식/지수관련파생,ETF/ETN,ELW,ELS/DLS</t>
  </si>
  <si>
    <t>국내주식/지수관련파생</t>
  </si>
  <si>
    <t>이스트스프링자산운용</t>
  </si>
  <si>
    <t>제이피모간</t>
  </si>
  <si>
    <t>국고채/통안채,단기자금,IB(발행, M&amp;A 등)</t>
  </si>
  <si>
    <t>중소기업은행</t>
    <phoneticPr fontId="2" type="noConversion"/>
  </si>
  <si>
    <t>국고채/통안채,국채선물,원화 이자율스왑,외화 이자율스왑,CRS &amp; FX Option</t>
  </si>
  <si>
    <t>국내주식/지수,외화채권(KP제외)</t>
  </si>
  <si>
    <t>단기자금,FX Spot &amp; FX Swap</t>
  </si>
  <si>
    <t>국내주식/지수,국고채/통안채,회사채,RP,국채선물,국내주식/지수관련파생,원화 이자율스왑</t>
  </si>
  <si>
    <t>중소기업은행</t>
  </si>
  <si>
    <t>백오피스,분석 및 전략</t>
  </si>
  <si>
    <t>국고채/통안채,회사채,원화 구조화채권,국내주식/지수관련파생</t>
  </si>
  <si>
    <t>국고채/통안채,회사채,소액채권,원화 구조화채권,외화 구조화채권,원화 이자율스왑</t>
  </si>
  <si>
    <t>국고채/통안채,회사채,원화 구조화채권,외화 구조화채권,IB(발행, M&amp;A 등),대체투자(부동산/인프라)</t>
  </si>
  <si>
    <t>크레디트스위스 증권</t>
  </si>
  <si>
    <t>국고채/통안채,회사채,ELS/DLS</t>
  </si>
  <si>
    <t>국고채/통안채,회사채,단기자금,국채선물,원화 구조화채권</t>
  </si>
  <si>
    <t>국내주식/지수,국내주식/지수관련파생,해외주식/지수관련파생,ETF/ETN</t>
  </si>
  <si>
    <t>푸본현대생명</t>
  </si>
  <si>
    <t>국내주식/지수,국고채/통안채,회사채,Korean Paper,외화채권(KP제외),원화 구조화채권,국내주식/지수관련파생,외화 구조화채권,FX Spot &amp; FX Swap,CRS &amp; FX Option,해외주식/지수,대체투자(부동산/인프라)</t>
  </si>
  <si>
    <t>국고채/통안채,회사채,소액채권,RP,단기자금,국채선물,원화 구조화채권</t>
  </si>
  <si>
    <t>국내주식/지수,국채선물,외화채권선물,국내주식/지수관련파생,FX Spot &amp; FX Swap,원자재파생,해외주식/지수,해외주식/지수관련파생,ETF/ETN</t>
  </si>
  <si>
    <t>펀드매니저,트레이더,딜러</t>
  </si>
  <si>
    <t>국내주식/지수,국고채/통안채,국내주식/지수관련파생</t>
  </si>
  <si>
    <t>국고채/통안채,회사채,국채선물,Korean Paper,외화채권(KP제외),외화채권선물,원화 구조화채권,외화 구조화채권,원화 이자율스왑,외화 이자율스왑,FX Spot &amp; FX Swap,CRS &amp; FX Option,신용파생,원자재파생,ELS/DLS</t>
  </si>
  <si>
    <t>딜러,리스크관리(미들)</t>
  </si>
  <si>
    <t>국내주식/지수,국내주식/지수관련파생,해외주식/지수</t>
  </si>
  <si>
    <t>하나대투증권</t>
  </si>
  <si>
    <t>하나은행</t>
  </si>
  <si>
    <t>국내주식/지수,국고채/통안채,회사채,RP,원화 구조화채권,국내주식/지수관련파생,외화 구조화채권,원화 이자율스왑,외화 이자율스왑,해외주식/지수,해외주식/지수관련파생</t>
  </si>
  <si>
    <t>국내주식/지수,국고채/통안채,회사채,국내주식/지수관련파생,ETF/ETN</t>
  </si>
  <si>
    <t>국고채/통안채,회사채,소액채권,RP,단기자금,국채선물,Korean Paper,외화채권(KP제외)</t>
  </si>
  <si>
    <t>국채선물,외화채권선물,국내주식/지수관련파생</t>
  </si>
  <si>
    <t>소액채권</t>
  </si>
  <si>
    <t>트레이더,딜러,분석 및 전략</t>
  </si>
  <si>
    <t>국고채/통안채,회사채,소액채권,RP,단기자금,국채선물,원화 구조화채권,외화 구조화채권,IB(발행, M&amp;A 등),대체투자(부동산/인프라)</t>
  </si>
  <si>
    <t>국고채/통안채,RP,단기자금,국채선물</t>
  </si>
  <si>
    <t>이종서</t>
  </si>
  <si>
    <t>국고채/통안채,회사채,소액채권,RP,국채선물,원화 구조화채권</t>
  </si>
  <si>
    <t>국고채/통안채,회사채,원화 구조화채권,국내주식/지수관련파생,원화 이자율스왑,신용파생,ELS/DLS</t>
  </si>
  <si>
    <t>국고채/통안채,회사채,단기자금,IB(발행, M&amp;A 등)</t>
  </si>
  <si>
    <t>국내주식/지수,국고채/통안채,회사채,ELS/DLS</t>
  </si>
  <si>
    <t>한국증권금융</t>
    <phoneticPr fontId="2" type="noConversion"/>
  </si>
  <si>
    <t>국고채/통안채,국채선물,원화 이자율스왑</t>
  </si>
  <si>
    <t>국고채/통안채,회사채,RP,Korean Paper,원화 구조화채권,외화 구조화채권,원화 이자율스왑,외화 이자율스왑</t>
  </si>
  <si>
    <t>한국투자밸류자산운요</t>
  </si>
  <si>
    <t>국내주식/지수,국고채/통안채,회사채,소액채권,RP,단기자금,국채선물,Korean Paper,외화채권(KP제외),외화채권선물,원화 구조화채권,국내주식/지수관련파생,외화 구조화채권,원화 이자율스왑,외화 이자율스왑,FX Spot &amp; FX Swap,CRS &amp; FX Option,FRA/이자율옵션,신용파생,원자재파생,해외주식/지수,해외주식/지수관련파생,ETF/ETN,ELW,ELS/DLS,IB(발행, M&amp;A 등),대체투자(부동산/인프라)</t>
  </si>
  <si>
    <t>국고채/통안채,RP,국채선물,원화 이자율스왑</t>
  </si>
  <si>
    <t>국고채/통안채,회사채,RP,단기자금,원화 구조화채권</t>
  </si>
  <si>
    <t>일반기업고객</t>
  </si>
  <si>
    <t>국내주식/지수,국고채/통안채,소액채권,RP,단기자금,국채선물,국내주식/지수관련파생,IB(발행, M&amp;A 등),대체투자(부동산/인프라)</t>
  </si>
  <si>
    <t>국내주식/지수,국내주식/지수관련파생,ELW</t>
  </si>
  <si>
    <t>국고채/통안채,회사채,소액채권,국채선물,원화 구조화채권,신용파생,IB(발행, M&amp;A 등)</t>
  </si>
  <si>
    <t>한화생명</t>
  </si>
  <si>
    <t>국내주식/지수,국고채/통안채,회사채,RP,단기자금</t>
  </si>
  <si>
    <t>FX Spot &amp; FX Swap,해외주식/지수</t>
  </si>
  <si>
    <t>국고채/통안채,회사채,RP,단기자금,원화 구조화채권,외화 구조화채권,IB(발행, M&amp;A 등),대체투자(부동산/인프라)</t>
  </si>
  <si>
    <t>현대인베스트먼트</t>
  </si>
  <si>
    <t>현대차증권</t>
  </si>
  <si>
    <t>외화채권(KP제외),국내주식/지수관련파생,원화 이자율스왑,FX Spot &amp; FX Swap,CRS &amp; FX Option,신용파생,원자재파생,해외주식/지수관련파생,ELS/DLS</t>
  </si>
  <si>
    <t>국내주식/지수,국고채/통안채,RP,FX Spot &amp; FX Swap</t>
  </si>
  <si>
    <t>국고채/통안채,회사채,소액채권,RP,단기자금,국채선물,Korean Paper,외화채권선물,원화 이자율스왑,외화 이자율스왑</t>
  </si>
  <si>
    <t>국고채/통안채,회사채,RP,원화 구조화채권,외화 구조화채권,원화 이자율스왑,외화 이자율스왑,FX Spot &amp; FX Swap</t>
  </si>
  <si>
    <t>원화 구조화채권,국내주식/지수관련파생,외화 구조화채권,원화 이자율스왑,외화 이자율스왑,FX Spot &amp; FX Swap,CRS &amp; FX Option,FRA/이자율옵션,신용파생,원자재파생,해외주식/지수관련파생,ELS/DLS</t>
  </si>
  <si>
    <t>흥국생명보험</t>
    <phoneticPr fontId="2" type="noConversion"/>
  </si>
  <si>
    <t>리스크관리(미들),백오피스,분석 및 전략</t>
  </si>
  <si>
    <t>국고채/통안채,회사채,Korean Paper,외화채권(KP제외),원화 구조화채권,외화 구조화채권,FX Spot &amp; FX Swap,CRS &amp; FX Option,ELW,대체투자(부동산/인프라)</t>
  </si>
  <si>
    <t>흥국화재</t>
  </si>
  <si>
    <t>SC-129-005-02</t>
    <phoneticPr fontId="2" type="noConversion"/>
  </si>
  <si>
    <t>BN-G06-170-01</t>
    <phoneticPr fontId="2" type="noConversion"/>
  </si>
  <si>
    <t>직무</t>
    <phoneticPr fontId="2" type="noConversion"/>
  </si>
  <si>
    <r>
      <rPr>
        <sz val="10"/>
        <rFont val="돋움"/>
        <family val="3"/>
        <charset val="129"/>
      </rPr>
      <t>업무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상대방</t>
    </r>
    <phoneticPr fontId="2" type="noConversion"/>
  </si>
  <si>
    <r>
      <rPr>
        <sz val="10"/>
        <rFont val="맑은 고딕"/>
        <family val="3"/>
        <charset val="129"/>
      </rPr>
      <t xml:space="preserve">o </t>
    </r>
    <r>
      <rPr>
        <sz val="10"/>
        <rFont val="돋움"/>
        <family val="3"/>
        <charset val="129"/>
      </rPr>
      <t>펀드매니저</t>
    </r>
    <r>
      <rPr>
        <sz val="10"/>
        <rFont val="맑은 고딕"/>
        <family val="3"/>
        <charset val="129"/>
      </rPr>
      <t xml:space="preserve">   o 세일즈              o 분석 및 전략
o 트레이더      o 브로커              o 시스템 개발 
o 딜러           o 리스크관리(미들)  o 기타
o 퀀트           o 백오피스</t>
    </r>
    <phoneticPr fontId="2" type="noConversion"/>
  </si>
  <si>
    <t>o 국내주식/지수              o 국고채/통안채     o 원화구조화채권
o 국내주식/지수관련파생   o 회사채              o 외화구조화채권 
o 해외주식/지수              o 소액채권            o 원화이자율스왑
o 해외주식/지수관련파생   o RP                   o 외화이자율스왑
o ETF/ETN                      o 단기자금           o FX Spot &amp; FX Swap
o ELW                           o 국채선물           o CRS &amp; FX Option
o ELS/DLS                      o Korean Paper     o FRA/이자율옵션
o IB(발행, M&amp;A 등)          o 외화채권(KP제외) o 신용파생
o 대체투자(부동산/인프라) o 외화채권선물      o 원자재파생</t>
    <phoneticPr fontId="2" type="noConversion"/>
  </si>
  <si>
    <t>직무(복수선택)</t>
    <phoneticPr fontId="2" type="noConversion"/>
  </si>
  <si>
    <r>
      <rPr>
        <sz val="10"/>
        <rFont val="돋움"/>
        <family val="3"/>
        <charset val="129"/>
      </rPr>
      <t>업무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상대방</t>
    </r>
    <r>
      <rPr>
        <sz val="10"/>
        <rFont val="Arial"/>
        <family val="2"/>
      </rPr>
      <t>(</t>
    </r>
    <r>
      <rPr>
        <sz val="10"/>
        <rFont val="돋움"/>
        <family val="3"/>
        <charset val="129"/>
      </rPr>
      <t>복수선택</t>
    </r>
    <r>
      <rPr>
        <sz val="10"/>
        <rFont val="Arial"/>
        <family val="2"/>
      </rPr>
      <t>)</t>
    </r>
    <phoneticPr fontId="2" type="noConversion"/>
  </si>
  <si>
    <t>트레이더, 브로커</t>
    <phoneticPr fontId="2" type="noConversion"/>
  </si>
  <si>
    <t>국고채/통안채, 회사채, 국채선물</t>
    <phoneticPr fontId="2" type="noConversion"/>
  </si>
  <si>
    <t xml:space="preserve">금융회사, 개인고객 </t>
    <phoneticPr fontId="2" type="noConversion"/>
  </si>
  <si>
    <r>
      <t xml:space="preserve">1. CRM  </t>
    </r>
    <r>
      <rPr>
        <b/>
        <sz val="10"/>
        <rFont val="돋움"/>
        <family val="3"/>
        <charset val="129"/>
      </rPr>
      <t>주사용자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정보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변경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내역</t>
    </r>
    <phoneticPr fontId="2" type="noConversion"/>
  </si>
  <si>
    <t xml:space="preserve">o 금융회사         o 일반기업고객   o 기타
o 금융 유관기관  o  개인고객 </t>
    <phoneticPr fontId="2" type="noConversion"/>
  </si>
  <si>
    <t>김동욱</t>
    <phoneticPr fontId="2" type="noConversion"/>
  </si>
  <si>
    <r>
      <t xml:space="preserve">2. CRM </t>
    </r>
    <r>
      <rPr>
        <b/>
        <sz val="10"/>
        <rFont val="돋움"/>
        <family val="3"/>
        <charset val="129"/>
      </rPr>
      <t>주사용자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정보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업데이트</t>
    </r>
    <r>
      <rPr>
        <b/>
        <sz val="10"/>
        <rFont val="Arial"/>
        <family val="2"/>
      </rPr>
      <t xml:space="preserve"> : CRM</t>
    </r>
    <r>
      <rPr>
        <b/>
        <sz val="10"/>
        <rFont val="돋움"/>
        <family val="3"/>
        <charset val="129"/>
      </rPr>
      <t>적용</t>
    </r>
    <r>
      <rPr>
        <b/>
        <sz val="10"/>
        <rFont val="Arial"/>
        <family val="2"/>
      </rPr>
      <t xml:space="preserve"> Sheet</t>
    </r>
    <phoneticPr fontId="2" type="noConversion"/>
  </si>
  <si>
    <r>
      <t>(665</t>
    </r>
    <r>
      <rPr>
        <sz val="10"/>
        <rFont val="돋움"/>
        <family val="3"/>
        <charset val="129"/>
      </rPr>
      <t>명</t>
    </r>
    <r>
      <rPr>
        <sz val="10"/>
        <rFont val="Arial"/>
        <family val="2"/>
      </rPr>
      <t>)</t>
    </r>
    <phoneticPr fontId="2" type="noConversion"/>
  </si>
  <si>
    <t xml:space="preserve"> - 조회결과 : 복수 선택시 " , " 로 구분 표시 예)   1) 직무 : 트레이더, 브로커 2) 투자상품 : 국고채/통안채, 회사채, 국채선물 3) 업무 상대방 : 금융회사, 개인고객 </t>
    <phoneticPr fontId="2" type="noConversion"/>
  </si>
  <si>
    <t xml:space="preserve"> - 입력(복수선택) : (변경) 업무, 투자상품-&gt; 직무, 투자금융상품 , (신규) 업무 상대방  </t>
    <phoneticPr fontId="2" type="noConversion"/>
  </si>
  <si>
    <t>투자금융상품(복수선택)</t>
    <phoneticPr fontId="2" type="noConversion"/>
  </si>
  <si>
    <t>투자금융상품</t>
    <phoneticPr fontId="2" type="noConversion"/>
  </si>
  <si>
    <t xml:space="preserve"> - PID 기준으로 직무, 투자금융상품, 업무 상대방  데이터가 있을 경우만 업데이트</t>
    <phoneticPr fontId="2" type="noConversion"/>
  </si>
</sst>
</file>

<file path=xl/styles.xml><?xml version="1.0" encoding="utf-8"?>
<styleSheet xmlns="http://schemas.openxmlformats.org/spreadsheetml/2006/main">
  <fonts count="8">
    <font>
      <sz val="10"/>
      <name val="Arial"/>
    </font>
    <font>
      <b/>
      <sz val="10"/>
      <name val="Arial"/>
      <family val="2"/>
    </font>
    <font>
      <sz val="8"/>
      <name val="돋움"/>
      <family val="3"/>
      <charset val="129"/>
    </font>
    <font>
      <b/>
      <sz val="10"/>
      <name val="Arial"/>
      <family val="2"/>
    </font>
    <font>
      <sz val="10"/>
      <name val="돋움"/>
      <family val="3"/>
      <charset val="129"/>
    </font>
    <font>
      <sz val="10"/>
      <name val="Arial"/>
      <family val="2"/>
    </font>
    <font>
      <sz val="10"/>
      <name val="맑은 고딕"/>
      <family val="3"/>
      <charset val="129"/>
    </font>
    <font>
      <b/>
      <sz val="10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vertical="center"/>
    </xf>
    <xf numFmtId="0" fontId="0" fillId="0" borderId="2" xfId="0" applyBorder="1"/>
    <xf numFmtId="0" fontId="5" fillId="0" borderId="2" xfId="0" applyFont="1" applyBorder="1" applyAlignment="1">
      <alignment vertical="center"/>
    </xf>
    <xf numFmtId="0" fontId="4" fillId="0" borderId="2" xfId="0" applyFont="1" applyBorder="1" applyAlignment="1">
      <alignment horizontal="left" vertical="center"/>
    </xf>
    <xf numFmtId="0" fontId="6" fillId="0" borderId="2" xfId="0" applyFont="1" applyBorder="1" applyAlignment="1">
      <alignment wrapText="1"/>
    </xf>
    <xf numFmtId="0" fontId="4" fillId="0" borderId="2" xfId="0" applyFont="1" applyBorder="1" applyAlignment="1">
      <alignment vertical="center" wrapText="1"/>
    </xf>
    <xf numFmtId="0" fontId="6" fillId="0" borderId="2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wrapText="1"/>
    </xf>
    <xf numFmtId="0" fontId="6" fillId="0" borderId="2" xfId="0" applyFont="1" applyBorder="1" applyAlignment="1">
      <alignment horizontal="center" vertical="center" wrapText="1"/>
    </xf>
    <xf numFmtId="0" fontId="3" fillId="0" borderId="0" xfId="0" applyFont="1"/>
    <xf numFmtId="0" fontId="3" fillId="3" borderId="2" xfId="0" applyFont="1" applyFill="1" applyBorder="1" applyAlignment="1">
      <alignment horizontal="center" vertical="center" wrapText="1"/>
    </xf>
    <xf numFmtId="0" fontId="1" fillId="0" borderId="0" xfId="0" applyFont="1"/>
    <xf numFmtId="0" fontId="5" fillId="0" borderId="0" xfId="0" applyFont="1"/>
    <xf numFmtId="0" fontId="4" fillId="0" borderId="3" xfId="0" applyFont="1" applyBorder="1" applyAlignment="1">
      <alignment horizontal="left"/>
    </xf>
    <xf numFmtId="0" fontId="4" fillId="0" borderId="0" xfId="0" applyFont="1" applyBorder="1" applyAlignment="1">
      <alignment horizontal="left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12"/>
  <sheetViews>
    <sheetView tabSelected="1" workbookViewId="0">
      <selection activeCell="B15" sqref="B15"/>
    </sheetView>
  </sheetViews>
  <sheetFormatPr defaultRowHeight="13.2"/>
  <cols>
    <col min="1" max="1" width="43.5546875" customWidth="1"/>
    <col min="2" max="2" width="59.88671875" customWidth="1"/>
    <col min="3" max="3" width="37.44140625" customWidth="1"/>
  </cols>
  <sheetData>
    <row r="1" spans="1:3" ht="13.8">
      <c r="A1" s="19" t="s">
        <v>7299</v>
      </c>
    </row>
    <row r="2" spans="1:3" ht="13.8">
      <c r="A2" s="23" t="s">
        <v>7305</v>
      </c>
      <c r="B2" s="23"/>
      <c r="C2" s="23"/>
    </row>
    <row r="3" spans="1:3" ht="13.8">
      <c r="A3" s="14" t="s">
        <v>7294</v>
      </c>
      <c r="B3" s="14" t="s">
        <v>7306</v>
      </c>
      <c r="C3" s="15" t="s">
        <v>7295</v>
      </c>
    </row>
    <row r="4" spans="1:3" ht="140.4">
      <c r="A4" s="12" t="s">
        <v>7292</v>
      </c>
      <c r="B4" s="11" t="s">
        <v>7293</v>
      </c>
      <c r="C4" s="13" t="s">
        <v>7300</v>
      </c>
    </row>
    <row r="6" spans="1:3" ht="13.8">
      <c r="A6" s="23" t="s">
        <v>7304</v>
      </c>
      <c r="B6" s="23"/>
      <c r="C6" s="23"/>
    </row>
    <row r="7" spans="1:3" ht="13.8">
      <c r="A7" s="14" t="s">
        <v>7290</v>
      </c>
      <c r="B7" s="14" t="s">
        <v>7307</v>
      </c>
      <c r="C7" s="15" t="s">
        <v>7291</v>
      </c>
    </row>
    <row r="8" spans="1:3" ht="15.6">
      <c r="A8" s="16" t="s">
        <v>7296</v>
      </c>
      <c r="B8" s="17" t="s">
        <v>7297</v>
      </c>
      <c r="C8" s="18" t="s">
        <v>7298</v>
      </c>
    </row>
    <row r="11" spans="1:3" ht="13.8">
      <c r="A11" s="21" t="s">
        <v>7302</v>
      </c>
      <c r="B11" s="22" t="s">
        <v>7303</v>
      </c>
    </row>
    <row r="12" spans="1:3" ht="13.8">
      <c r="A12" s="24" t="s">
        <v>7308</v>
      </c>
      <c r="B12" s="24"/>
      <c r="C12" s="24"/>
    </row>
  </sheetData>
  <mergeCells count="3">
    <mergeCell ref="A2:C2"/>
    <mergeCell ref="A6:C6"/>
    <mergeCell ref="A12:C12"/>
  </mergeCells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I2940"/>
  <sheetViews>
    <sheetView zoomScaleNormal="100" workbookViewId="0">
      <selection activeCell="F21" sqref="F21"/>
    </sheetView>
  </sheetViews>
  <sheetFormatPr defaultRowHeight="13.2"/>
  <cols>
    <col min="1" max="1" width="20.109375" customWidth="1"/>
    <col min="2" max="2" width="18.44140625" customWidth="1"/>
    <col min="3" max="3" width="18.33203125" customWidth="1"/>
    <col min="4" max="4" width="15" bestFit="1" customWidth="1"/>
    <col min="5" max="5" width="7.21875" customWidth="1"/>
    <col min="6" max="6" width="21" customWidth="1"/>
    <col min="7" max="7" width="20.21875" customWidth="1"/>
    <col min="8" max="8" width="44.44140625" customWidth="1"/>
  </cols>
  <sheetData>
    <row r="1" spans="1:8" ht="26.4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20" t="s">
        <v>6922</v>
      </c>
      <c r="G1" s="20" t="s">
        <v>6923</v>
      </c>
      <c r="H1" s="20" t="s">
        <v>6924</v>
      </c>
    </row>
    <row r="2" spans="1:8">
      <c r="A2" s="6" t="s">
        <v>292</v>
      </c>
      <c r="B2" s="7" t="s">
        <v>293</v>
      </c>
      <c r="C2" s="7" t="s">
        <v>293</v>
      </c>
      <c r="D2" s="7" t="s">
        <v>294</v>
      </c>
      <c r="E2" s="6" t="s">
        <v>295</v>
      </c>
      <c r="F2" s="8" t="s">
        <v>6931</v>
      </c>
      <c r="G2" s="8" t="s">
        <v>7001</v>
      </c>
      <c r="H2" s="8" t="s">
        <v>7077</v>
      </c>
    </row>
    <row r="3" spans="1:8">
      <c r="A3" s="6" t="s">
        <v>292</v>
      </c>
      <c r="B3" s="7" t="s">
        <v>355</v>
      </c>
      <c r="C3" s="7" t="s">
        <v>293</v>
      </c>
      <c r="D3" s="7" t="s">
        <v>356</v>
      </c>
      <c r="E3" s="6" t="s">
        <v>357</v>
      </c>
      <c r="F3" s="8" t="s">
        <v>6931</v>
      </c>
      <c r="G3" s="8" t="s">
        <v>7001</v>
      </c>
      <c r="H3" s="8" t="s">
        <v>7077</v>
      </c>
    </row>
    <row r="4" spans="1:8">
      <c r="A4" s="6" t="s">
        <v>3046</v>
      </c>
      <c r="B4" s="7" t="s">
        <v>9</v>
      </c>
      <c r="C4" s="7" t="s">
        <v>9</v>
      </c>
      <c r="D4" s="7" t="s">
        <v>3047</v>
      </c>
      <c r="E4" s="6" t="s">
        <v>3048</v>
      </c>
      <c r="F4" s="8"/>
      <c r="G4" s="8"/>
      <c r="H4" s="8"/>
    </row>
    <row r="5" spans="1:8">
      <c r="A5" s="6" t="s">
        <v>1243</v>
      </c>
      <c r="B5" s="7" t="s">
        <v>9</v>
      </c>
      <c r="C5" s="7" t="s">
        <v>9</v>
      </c>
      <c r="D5" s="7" t="s">
        <v>1244</v>
      </c>
      <c r="E5" s="6" t="s">
        <v>1245</v>
      </c>
      <c r="F5" s="8"/>
      <c r="G5" s="8"/>
      <c r="H5" s="8"/>
    </row>
    <row r="6" spans="1:8">
      <c r="A6" s="6" t="s">
        <v>1797</v>
      </c>
      <c r="B6" s="7" t="s">
        <v>1798</v>
      </c>
      <c r="C6" s="7" t="s">
        <v>1798</v>
      </c>
      <c r="D6" s="7" t="s">
        <v>1799</v>
      </c>
      <c r="E6" s="6" t="s">
        <v>1800</v>
      </c>
      <c r="F6" s="8"/>
      <c r="G6" s="8"/>
      <c r="H6" s="8"/>
    </row>
    <row r="7" spans="1:8">
      <c r="A7" s="6" t="s">
        <v>1797</v>
      </c>
      <c r="B7" s="7" t="s">
        <v>1798</v>
      </c>
      <c r="C7" s="7" t="s">
        <v>1798</v>
      </c>
      <c r="D7" s="7" t="s">
        <v>2067</v>
      </c>
      <c r="E7" s="6" t="s">
        <v>2068</v>
      </c>
      <c r="F7" s="8"/>
      <c r="G7" s="8"/>
      <c r="H7" s="8"/>
    </row>
    <row r="8" spans="1:8">
      <c r="A8" s="6" t="s">
        <v>1797</v>
      </c>
      <c r="B8" s="7" t="s">
        <v>1798</v>
      </c>
      <c r="C8" s="7" t="s">
        <v>1798</v>
      </c>
      <c r="D8" s="7" t="s">
        <v>2069</v>
      </c>
      <c r="E8" s="6" t="s">
        <v>2070</v>
      </c>
      <c r="F8" s="8"/>
      <c r="G8" s="8"/>
      <c r="H8" s="8"/>
    </row>
    <row r="9" spans="1:8">
      <c r="A9" s="6" t="s">
        <v>5099</v>
      </c>
      <c r="B9" s="7" t="s">
        <v>1240</v>
      </c>
      <c r="C9" s="7" t="s">
        <v>1240</v>
      </c>
      <c r="D9" s="7" t="s">
        <v>5100</v>
      </c>
      <c r="E9" s="6" t="s">
        <v>5101</v>
      </c>
      <c r="F9" s="8"/>
      <c r="G9" s="8"/>
      <c r="H9" s="8"/>
    </row>
    <row r="10" spans="1:8">
      <c r="A10" s="6" t="s">
        <v>5099</v>
      </c>
      <c r="B10" s="7" t="s">
        <v>5102</v>
      </c>
      <c r="C10" s="7" t="s">
        <v>202</v>
      </c>
      <c r="D10" s="7" t="s">
        <v>5103</v>
      </c>
      <c r="E10" s="6" t="s">
        <v>5104</v>
      </c>
      <c r="F10" s="8"/>
      <c r="G10" s="8"/>
      <c r="H10" s="8"/>
    </row>
    <row r="11" spans="1:8">
      <c r="A11" s="6" t="s">
        <v>5099</v>
      </c>
      <c r="B11" s="7" t="s">
        <v>5105</v>
      </c>
      <c r="C11" s="7" t="s">
        <v>1305</v>
      </c>
      <c r="D11" s="9" t="s">
        <v>5106</v>
      </c>
      <c r="E11" s="6" t="s">
        <v>5107</v>
      </c>
      <c r="F11" s="8" t="s">
        <v>3334</v>
      </c>
      <c r="G11" s="8" t="s">
        <v>6929</v>
      </c>
      <c r="H11" s="8" t="s">
        <v>6954</v>
      </c>
    </row>
    <row r="12" spans="1:8">
      <c r="A12" s="6" t="s">
        <v>5099</v>
      </c>
      <c r="B12" s="7" t="s">
        <v>5108</v>
      </c>
      <c r="C12" s="7" t="s">
        <v>1305</v>
      </c>
      <c r="D12" s="7" t="s">
        <v>5109</v>
      </c>
      <c r="E12" s="6" t="s">
        <v>5110</v>
      </c>
      <c r="F12" s="8"/>
      <c r="G12" s="8"/>
      <c r="H12" s="8"/>
    </row>
    <row r="13" spans="1:8">
      <c r="A13" s="6" t="s">
        <v>5099</v>
      </c>
      <c r="B13" s="7" t="s">
        <v>5108</v>
      </c>
      <c r="C13" s="7" t="s">
        <v>202</v>
      </c>
      <c r="D13" s="7" t="s">
        <v>5111</v>
      </c>
      <c r="E13" s="6" t="s">
        <v>5112</v>
      </c>
      <c r="F13" s="8"/>
      <c r="G13" s="8"/>
      <c r="H13" s="8"/>
    </row>
    <row r="14" spans="1:8">
      <c r="A14" s="6" t="s">
        <v>5099</v>
      </c>
      <c r="B14" s="7" t="s">
        <v>5108</v>
      </c>
      <c r="C14" s="7" t="s">
        <v>202</v>
      </c>
      <c r="D14" s="7" t="s">
        <v>5113</v>
      </c>
      <c r="E14" s="6" t="s">
        <v>5114</v>
      </c>
      <c r="F14" s="8"/>
      <c r="G14" s="8"/>
      <c r="H14" s="8"/>
    </row>
    <row r="15" spans="1:8">
      <c r="A15" s="6" t="s">
        <v>5099</v>
      </c>
      <c r="B15" s="7" t="s">
        <v>5115</v>
      </c>
      <c r="C15" s="7" t="s">
        <v>1305</v>
      </c>
      <c r="D15" s="7" t="s">
        <v>5116</v>
      </c>
      <c r="E15" s="6" t="s">
        <v>5117</v>
      </c>
      <c r="F15" s="8" t="s">
        <v>6957</v>
      </c>
      <c r="G15" s="8" t="s">
        <v>6929</v>
      </c>
      <c r="H15" s="8" t="s">
        <v>6951</v>
      </c>
    </row>
    <row r="16" spans="1:8">
      <c r="A16" s="6" t="s">
        <v>5099</v>
      </c>
      <c r="B16" s="7" t="s">
        <v>5118</v>
      </c>
      <c r="C16" s="7" t="s">
        <v>1305</v>
      </c>
      <c r="D16" s="7" t="s">
        <v>5119</v>
      </c>
      <c r="E16" s="6" t="s">
        <v>5120</v>
      </c>
      <c r="F16" s="8"/>
      <c r="G16" s="8"/>
      <c r="H16" s="8"/>
    </row>
    <row r="17" spans="1:8">
      <c r="A17" s="6" t="s">
        <v>5099</v>
      </c>
      <c r="B17" s="7" t="s">
        <v>5118</v>
      </c>
      <c r="C17" s="7" t="s">
        <v>202</v>
      </c>
      <c r="D17" s="7" t="s">
        <v>5121</v>
      </c>
      <c r="E17" s="6" t="s">
        <v>5122</v>
      </c>
      <c r="F17" s="8"/>
      <c r="G17" s="8"/>
      <c r="H17" s="8"/>
    </row>
    <row r="18" spans="1:8">
      <c r="A18" s="6" t="s">
        <v>5099</v>
      </c>
      <c r="B18" s="7" t="s">
        <v>5118</v>
      </c>
      <c r="C18" s="7" t="s">
        <v>1305</v>
      </c>
      <c r="D18" s="7" t="s">
        <v>5123</v>
      </c>
      <c r="E18" s="6" t="s">
        <v>5124</v>
      </c>
      <c r="F18" s="8"/>
      <c r="G18" s="8"/>
      <c r="H18" s="8"/>
    </row>
    <row r="19" spans="1:8">
      <c r="A19" s="6" t="s">
        <v>5099</v>
      </c>
      <c r="B19" s="7" t="s">
        <v>5125</v>
      </c>
      <c r="C19" s="7" t="s">
        <v>5126</v>
      </c>
      <c r="D19" s="7" t="s">
        <v>5127</v>
      </c>
      <c r="E19" s="6" t="s">
        <v>5128</v>
      </c>
      <c r="F19" s="8"/>
      <c r="G19" s="8"/>
      <c r="H19" s="8"/>
    </row>
    <row r="20" spans="1:8">
      <c r="A20" s="6" t="s">
        <v>5099</v>
      </c>
      <c r="B20" s="7" t="s">
        <v>5129</v>
      </c>
      <c r="C20" s="7" t="s">
        <v>5130</v>
      </c>
      <c r="D20" s="7" t="s">
        <v>5131</v>
      </c>
      <c r="E20" s="6" t="s">
        <v>5132</v>
      </c>
      <c r="F20" s="8"/>
      <c r="G20" s="8"/>
      <c r="H20" s="8"/>
    </row>
    <row r="21" spans="1:8">
      <c r="A21" s="6" t="s">
        <v>5099</v>
      </c>
      <c r="B21" s="7" t="s">
        <v>4966</v>
      </c>
      <c r="C21" s="7" t="s">
        <v>3075</v>
      </c>
      <c r="D21" s="7" t="s">
        <v>5133</v>
      </c>
      <c r="E21" s="6" t="s">
        <v>4966</v>
      </c>
      <c r="F21" s="8"/>
      <c r="G21" s="8"/>
      <c r="H21" s="8"/>
    </row>
    <row r="22" spans="1:8">
      <c r="A22" s="6" t="s">
        <v>5099</v>
      </c>
      <c r="B22" s="7" t="s">
        <v>4966</v>
      </c>
      <c r="C22" s="7" t="s">
        <v>3075</v>
      </c>
      <c r="D22" s="7" t="s">
        <v>5134</v>
      </c>
      <c r="E22" s="6" t="s">
        <v>4966</v>
      </c>
      <c r="F22" s="8"/>
      <c r="G22" s="8"/>
      <c r="H22" s="8"/>
    </row>
    <row r="23" spans="1:8">
      <c r="A23" s="6" t="s">
        <v>5099</v>
      </c>
      <c r="B23" s="7" t="s">
        <v>4966</v>
      </c>
      <c r="C23" s="7" t="s">
        <v>3075</v>
      </c>
      <c r="D23" s="7" t="s">
        <v>5135</v>
      </c>
      <c r="E23" s="6" t="s">
        <v>4966</v>
      </c>
      <c r="F23" s="8"/>
      <c r="G23" s="8"/>
      <c r="H23" s="8"/>
    </row>
    <row r="24" spans="1:8">
      <c r="A24" s="6" t="s">
        <v>3070</v>
      </c>
      <c r="B24" s="7" t="s">
        <v>1798</v>
      </c>
      <c r="C24" s="7" t="s">
        <v>3071</v>
      </c>
      <c r="D24" s="7" t="s">
        <v>3072</v>
      </c>
      <c r="E24" s="6" t="s">
        <v>3073</v>
      </c>
      <c r="F24" s="8"/>
      <c r="G24" s="8"/>
      <c r="H24" s="8"/>
    </row>
    <row r="25" spans="1:8">
      <c r="A25" s="6" t="s">
        <v>5167</v>
      </c>
      <c r="B25" s="7" t="s">
        <v>1798</v>
      </c>
      <c r="C25" s="7" t="s">
        <v>1798</v>
      </c>
      <c r="D25" s="7" t="s">
        <v>5168</v>
      </c>
      <c r="E25" s="6" t="s">
        <v>5169</v>
      </c>
      <c r="F25" s="8"/>
      <c r="G25" s="8"/>
      <c r="H25" s="8"/>
    </row>
    <row r="26" spans="1:8">
      <c r="A26" s="6" t="s">
        <v>5167</v>
      </c>
      <c r="B26" s="7" t="s">
        <v>1798</v>
      </c>
      <c r="C26" s="7" t="s">
        <v>1798</v>
      </c>
      <c r="D26" s="7" t="s">
        <v>5170</v>
      </c>
      <c r="E26" s="6" t="s">
        <v>5171</v>
      </c>
      <c r="F26" s="8"/>
      <c r="G26" s="8"/>
      <c r="H26" s="8"/>
    </row>
    <row r="27" spans="1:8">
      <c r="A27" s="6" t="s">
        <v>638</v>
      </c>
      <c r="B27" s="7" t="s">
        <v>483</v>
      </c>
      <c r="C27" s="7" t="s">
        <v>483</v>
      </c>
      <c r="D27" s="7" t="s">
        <v>639</v>
      </c>
      <c r="E27" s="6" t="s">
        <v>640</v>
      </c>
      <c r="F27" s="8"/>
      <c r="G27" s="8"/>
      <c r="H27" s="8"/>
    </row>
    <row r="28" spans="1:8">
      <c r="A28" s="6" t="s">
        <v>638</v>
      </c>
      <c r="B28" s="7" t="s">
        <v>1060</v>
      </c>
      <c r="C28" s="7" t="s">
        <v>1061</v>
      </c>
      <c r="D28" s="9" t="s">
        <v>1062</v>
      </c>
      <c r="E28" s="6" t="s">
        <v>1063</v>
      </c>
      <c r="F28" s="8" t="s">
        <v>6934</v>
      </c>
      <c r="G28" s="8" t="s">
        <v>6973</v>
      </c>
      <c r="H28" s="8" t="s">
        <v>6977</v>
      </c>
    </row>
    <row r="29" spans="1:8">
      <c r="A29" s="6" t="s">
        <v>638</v>
      </c>
      <c r="B29" s="7" t="s">
        <v>1763</v>
      </c>
      <c r="C29" s="7" t="s">
        <v>1764</v>
      </c>
      <c r="D29" s="7" t="s">
        <v>1765</v>
      </c>
      <c r="E29" s="6" t="s">
        <v>1766</v>
      </c>
      <c r="F29" s="8" t="s">
        <v>6931</v>
      </c>
      <c r="G29" s="8" t="s">
        <v>6953</v>
      </c>
      <c r="H29" s="8" t="s">
        <v>6980</v>
      </c>
    </row>
    <row r="30" spans="1:8">
      <c r="A30" s="6" t="s">
        <v>638</v>
      </c>
      <c r="B30" s="7" t="s">
        <v>1411</v>
      </c>
      <c r="C30" s="7" t="s">
        <v>3721</v>
      </c>
      <c r="D30" s="7" t="s">
        <v>3722</v>
      </c>
      <c r="E30" s="6" t="s">
        <v>1511</v>
      </c>
      <c r="F30" s="8"/>
      <c r="G30" s="8"/>
      <c r="H30" s="8"/>
    </row>
    <row r="31" spans="1:8">
      <c r="A31" s="6" t="s">
        <v>638</v>
      </c>
      <c r="B31" s="7" t="s">
        <v>1763</v>
      </c>
      <c r="C31" s="7" t="s">
        <v>1764</v>
      </c>
      <c r="D31" s="7" t="s">
        <v>3723</v>
      </c>
      <c r="E31" s="6" t="s">
        <v>3724</v>
      </c>
      <c r="F31" s="8" t="s">
        <v>6931</v>
      </c>
      <c r="G31" s="8" t="s">
        <v>6953</v>
      </c>
      <c r="H31" s="8" t="s">
        <v>6980</v>
      </c>
    </row>
    <row r="32" spans="1:8">
      <c r="A32" s="6" t="s">
        <v>638</v>
      </c>
      <c r="B32" s="7" t="s">
        <v>1411</v>
      </c>
      <c r="C32" s="7" t="s">
        <v>3721</v>
      </c>
      <c r="D32" s="7" t="s">
        <v>3725</v>
      </c>
      <c r="E32" s="6" t="s">
        <v>3726</v>
      </c>
      <c r="F32" s="8" t="s">
        <v>6931</v>
      </c>
      <c r="G32" s="8" t="s">
        <v>6929</v>
      </c>
      <c r="H32" s="8" t="s">
        <v>6978</v>
      </c>
    </row>
    <row r="33" spans="1:8">
      <c r="A33" s="6" t="s">
        <v>638</v>
      </c>
      <c r="B33" s="7" t="s">
        <v>1411</v>
      </c>
      <c r="C33" s="7" t="s">
        <v>3721</v>
      </c>
      <c r="D33" s="7" t="s">
        <v>3727</v>
      </c>
      <c r="E33" s="6" t="s">
        <v>3728</v>
      </c>
      <c r="F33" s="8" t="s">
        <v>6931</v>
      </c>
      <c r="G33" s="8" t="s">
        <v>6929</v>
      </c>
      <c r="H33" s="8" t="s">
        <v>6978</v>
      </c>
    </row>
    <row r="34" spans="1:8">
      <c r="A34" s="6" t="s">
        <v>638</v>
      </c>
      <c r="B34" s="7" t="s">
        <v>483</v>
      </c>
      <c r="C34" s="7" t="s">
        <v>483</v>
      </c>
      <c r="D34" s="7" t="s">
        <v>3729</v>
      </c>
      <c r="E34" s="6" t="s">
        <v>3730</v>
      </c>
      <c r="F34" s="8" t="s">
        <v>6931</v>
      </c>
      <c r="G34" s="8" t="s">
        <v>6929</v>
      </c>
      <c r="H34" s="8" t="s">
        <v>6979</v>
      </c>
    </row>
    <row r="35" spans="1:8">
      <c r="A35" s="6" t="s">
        <v>638</v>
      </c>
      <c r="B35" s="7" t="s">
        <v>1060</v>
      </c>
      <c r="C35" s="7" t="s">
        <v>1060</v>
      </c>
      <c r="D35" s="7" t="s">
        <v>3731</v>
      </c>
      <c r="E35" s="6" t="s">
        <v>3732</v>
      </c>
      <c r="F35" s="8"/>
      <c r="G35" s="8"/>
      <c r="H35" s="8"/>
    </row>
    <row r="36" spans="1:8">
      <c r="A36" s="6" t="s">
        <v>660</v>
      </c>
      <c r="B36" s="7" t="s">
        <v>661</v>
      </c>
      <c r="C36" s="7" t="s">
        <v>662</v>
      </c>
      <c r="D36" s="7" t="s">
        <v>663</v>
      </c>
      <c r="E36" s="6" t="s">
        <v>664</v>
      </c>
      <c r="F36" s="8"/>
      <c r="G36" s="8"/>
      <c r="H36" s="8"/>
    </row>
    <row r="37" spans="1:8">
      <c r="A37" s="6" t="s">
        <v>660</v>
      </c>
      <c r="B37" s="7" t="s">
        <v>1270</v>
      </c>
      <c r="C37" s="7" t="s">
        <v>1270</v>
      </c>
      <c r="D37" s="7" t="s">
        <v>1271</v>
      </c>
      <c r="E37" s="6" t="s">
        <v>1272</v>
      </c>
      <c r="F37" s="8"/>
      <c r="G37" s="8"/>
      <c r="H37" s="8"/>
    </row>
    <row r="38" spans="1:8">
      <c r="A38" s="6" t="s">
        <v>660</v>
      </c>
      <c r="B38" s="7" t="s">
        <v>1319</v>
      </c>
      <c r="C38" s="7" t="s">
        <v>1320</v>
      </c>
      <c r="D38" s="7" t="s">
        <v>1321</v>
      </c>
      <c r="E38" s="6" t="s">
        <v>1322</v>
      </c>
      <c r="F38" s="8"/>
      <c r="G38" s="8"/>
      <c r="H38" s="8"/>
    </row>
    <row r="39" spans="1:8">
      <c r="A39" s="6" t="s">
        <v>660</v>
      </c>
      <c r="B39" s="7" t="s">
        <v>31</v>
      </c>
      <c r="C39" s="7" t="s">
        <v>4240</v>
      </c>
      <c r="D39" s="7" t="s">
        <v>4241</v>
      </c>
      <c r="E39" s="6" t="s">
        <v>4242</v>
      </c>
      <c r="F39" s="8"/>
      <c r="G39" s="8"/>
      <c r="H39" s="8"/>
    </row>
    <row r="40" spans="1:8">
      <c r="A40" s="6" t="s">
        <v>660</v>
      </c>
      <c r="B40" s="7" t="s">
        <v>31</v>
      </c>
      <c r="C40" s="7" t="s">
        <v>4240</v>
      </c>
      <c r="D40" s="7" t="s">
        <v>4243</v>
      </c>
      <c r="E40" s="6" t="s">
        <v>4244</v>
      </c>
      <c r="F40" s="8"/>
      <c r="G40" s="8"/>
      <c r="H40" s="8"/>
    </row>
    <row r="41" spans="1:8">
      <c r="A41" s="6" t="s">
        <v>660</v>
      </c>
      <c r="B41" s="7" t="s">
        <v>31</v>
      </c>
      <c r="C41" s="7" t="s">
        <v>4240</v>
      </c>
      <c r="D41" s="7" t="s">
        <v>4245</v>
      </c>
      <c r="E41" s="6" t="s">
        <v>4246</v>
      </c>
      <c r="F41" s="8"/>
      <c r="G41" s="8"/>
      <c r="H41" s="8"/>
    </row>
    <row r="42" spans="1:8">
      <c r="A42" s="6" t="s">
        <v>660</v>
      </c>
      <c r="B42" s="7" t="s">
        <v>31</v>
      </c>
      <c r="C42" s="7" t="s">
        <v>4247</v>
      </c>
      <c r="D42" s="7" t="s">
        <v>4248</v>
      </c>
      <c r="E42" s="6" t="s">
        <v>4242</v>
      </c>
      <c r="F42" s="8" t="s">
        <v>6943</v>
      </c>
      <c r="G42" s="8" t="s">
        <v>6953</v>
      </c>
      <c r="H42" s="8" t="s">
        <v>7227</v>
      </c>
    </row>
    <row r="43" spans="1:8">
      <c r="A43" s="6" t="s">
        <v>660</v>
      </c>
      <c r="B43" s="7" t="s">
        <v>31</v>
      </c>
      <c r="C43" s="7" t="s">
        <v>4247</v>
      </c>
      <c r="D43" s="7" t="s">
        <v>4249</v>
      </c>
      <c r="E43" s="6" t="s">
        <v>4250</v>
      </c>
      <c r="F43" s="8" t="s">
        <v>6943</v>
      </c>
      <c r="G43" s="8" t="s">
        <v>6953</v>
      </c>
      <c r="H43" s="8" t="s">
        <v>7227</v>
      </c>
    </row>
    <row r="44" spans="1:8">
      <c r="A44" s="6" t="s">
        <v>660</v>
      </c>
      <c r="B44" s="7" t="s">
        <v>3950</v>
      </c>
      <c r="C44" s="7" t="s">
        <v>4251</v>
      </c>
      <c r="D44" s="7" t="s">
        <v>4252</v>
      </c>
      <c r="E44" s="6" t="s">
        <v>4253</v>
      </c>
      <c r="F44" s="8" t="s">
        <v>3334</v>
      </c>
      <c r="G44" s="8" t="s">
        <v>6929</v>
      </c>
      <c r="H44" s="8" t="s">
        <v>6951</v>
      </c>
    </row>
    <row r="45" spans="1:8">
      <c r="A45" s="6" t="s">
        <v>660</v>
      </c>
      <c r="B45" s="7" t="s">
        <v>3950</v>
      </c>
      <c r="C45" s="7" t="s">
        <v>183</v>
      </c>
      <c r="D45" s="7" t="s">
        <v>4254</v>
      </c>
      <c r="E45" s="6" t="s">
        <v>4255</v>
      </c>
      <c r="F45" s="8"/>
      <c r="G45" s="8"/>
      <c r="H45" s="8"/>
    </row>
    <row r="46" spans="1:8">
      <c r="A46" s="6" t="s">
        <v>660</v>
      </c>
      <c r="B46" s="7" t="s">
        <v>3950</v>
      </c>
      <c r="C46" s="7" t="s">
        <v>4256</v>
      </c>
      <c r="D46" s="7" t="s">
        <v>4257</v>
      </c>
      <c r="E46" s="6" t="s">
        <v>4258</v>
      </c>
      <c r="F46" s="8" t="s">
        <v>3334</v>
      </c>
      <c r="G46" s="8" t="s">
        <v>6929</v>
      </c>
      <c r="H46" s="8" t="s">
        <v>7226</v>
      </c>
    </row>
    <row r="47" spans="1:8">
      <c r="A47" s="6" t="s">
        <v>660</v>
      </c>
      <c r="B47" s="7" t="s">
        <v>3950</v>
      </c>
      <c r="C47" s="7" t="s">
        <v>4259</v>
      </c>
      <c r="D47" s="7" t="s">
        <v>4260</v>
      </c>
      <c r="E47" s="6" t="s">
        <v>4261</v>
      </c>
      <c r="F47" s="8"/>
      <c r="G47" s="8"/>
      <c r="H47" s="8"/>
    </row>
    <row r="48" spans="1:8">
      <c r="A48" s="6" t="s">
        <v>660</v>
      </c>
      <c r="B48" s="7" t="s">
        <v>3950</v>
      </c>
      <c r="C48" s="7" t="s">
        <v>662</v>
      </c>
      <c r="D48" s="7" t="s">
        <v>4262</v>
      </c>
      <c r="E48" s="6" t="s">
        <v>4263</v>
      </c>
      <c r="F48" s="8"/>
      <c r="G48" s="8"/>
      <c r="H48" s="8"/>
    </row>
    <row r="49" spans="1:8">
      <c r="A49" s="6" t="s">
        <v>660</v>
      </c>
      <c r="B49" s="7" t="s">
        <v>3950</v>
      </c>
      <c r="C49" s="7" t="s">
        <v>4256</v>
      </c>
      <c r="D49" s="7" t="s">
        <v>4264</v>
      </c>
      <c r="E49" s="6" t="s">
        <v>4265</v>
      </c>
      <c r="F49" s="8"/>
      <c r="G49" s="8"/>
      <c r="H49" s="8"/>
    </row>
    <row r="50" spans="1:8">
      <c r="A50" s="6" t="s">
        <v>660</v>
      </c>
      <c r="B50" s="7" t="s">
        <v>3950</v>
      </c>
      <c r="C50" s="7" t="s">
        <v>4259</v>
      </c>
      <c r="D50" s="7" t="s">
        <v>4266</v>
      </c>
      <c r="E50" s="6" t="s">
        <v>4267</v>
      </c>
      <c r="F50" s="8" t="s">
        <v>5162</v>
      </c>
      <c r="G50" s="8" t="s">
        <v>6929</v>
      </c>
      <c r="H50" s="8" t="s">
        <v>7228</v>
      </c>
    </row>
    <row r="51" spans="1:8">
      <c r="A51" s="6" t="s">
        <v>660</v>
      </c>
      <c r="B51" s="7" t="s">
        <v>3950</v>
      </c>
      <c r="C51" s="7" t="s">
        <v>4251</v>
      </c>
      <c r="D51" s="7" t="s">
        <v>4268</v>
      </c>
      <c r="E51" s="6" t="s">
        <v>4269</v>
      </c>
      <c r="F51" s="8" t="s">
        <v>6931</v>
      </c>
      <c r="G51" s="8" t="s">
        <v>6929</v>
      </c>
      <c r="H51" s="8" t="s">
        <v>6932</v>
      </c>
    </row>
    <row r="52" spans="1:8">
      <c r="A52" s="6" t="s">
        <v>660</v>
      </c>
      <c r="B52" s="7" t="s">
        <v>3950</v>
      </c>
      <c r="C52" s="7" t="s">
        <v>183</v>
      </c>
      <c r="D52" s="7" t="s">
        <v>4270</v>
      </c>
      <c r="E52" s="6" t="s">
        <v>4271</v>
      </c>
      <c r="F52" s="8"/>
      <c r="G52" s="8"/>
      <c r="H52" s="8"/>
    </row>
    <row r="53" spans="1:8">
      <c r="A53" s="6" t="s">
        <v>660</v>
      </c>
      <c r="B53" s="7" t="s">
        <v>3950</v>
      </c>
      <c r="C53" s="7" t="s">
        <v>4256</v>
      </c>
      <c r="D53" s="7" t="s">
        <v>4272</v>
      </c>
      <c r="E53" s="6" t="s">
        <v>4273</v>
      </c>
      <c r="F53" s="8"/>
      <c r="G53" s="8"/>
      <c r="H53" s="8"/>
    </row>
    <row r="54" spans="1:8">
      <c r="A54" s="6" t="s">
        <v>660</v>
      </c>
      <c r="B54" s="7" t="s">
        <v>3950</v>
      </c>
      <c r="C54" s="7" t="s">
        <v>4256</v>
      </c>
      <c r="D54" s="7" t="s">
        <v>4274</v>
      </c>
      <c r="E54" s="6" t="s">
        <v>4275</v>
      </c>
      <c r="F54" s="8"/>
      <c r="G54" s="8"/>
      <c r="H54" s="8"/>
    </row>
    <row r="55" spans="1:8">
      <c r="A55" s="6" t="s">
        <v>660</v>
      </c>
      <c r="B55" s="7" t="s">
        <v>3950</v>
      </c>
      <c r="C55" s="7" t="s">
        <v>183</v>
      </c>
      <c r="D55" s="7" t="s">
        <v>4276</v>
      </c>
      <c r="E55" s="6" t="s">
        <v>4277</v>
      </c>
      <c r="F55" s="8" t="s">
        <v>5162</v>
      </c>
      <c r="G55" s="8" t="s">
        <v>6929</v>
      </c>
      <c r="H55" s="8" t="s">
        <v>7225</v>
      </c>
    </row>
    <row r="56" spans="1:8">
      <c r="A56" s="6" t="s">
        <v>660</v>
      </c>
      <c r="B56" s="7" t="s">
        <v>3950</v>
      </c>
      <c r="C56" s="7" t="s">
        <v>183</v>
      </c>
      <c r="D56" s="7" t="s">
        <v>4278</v>
      </c>
      <c r="E56" s="6" t="s">
        <v>3733</v>
      </c>
      <c r="F56" s="8" t="s">
        <v>5162</v>
      </c>
      <c r="G56" s="8" t="s">
        <v>6929</v>
      </c>
      <c r="H56" s="8" t="s">
        <v>7225</v>
      </c>
    </row>
    <row r="57" spans="1:8">
      <c r="A57" s="6" t="s">
        <v>660</v>
      </c>
      <c r="B57" s="7" t="s">
        <v>4279</v>
      </c>
      <c r="C57" s="7" t="s">
        <v>4279</v>
      </c>
      <c r="D57" s="7" t="s">
        <v>4280</v>
      </c>
      <c r="E57" s="6" t="s">
        <v>4281</v>
      </c>
      <c r="F57" s="8"/>
      <c r="G57" s="8"/>
      <c r="H57" s="8"/>
    </row>
    <row r="58" spans="1:8">
      <c r="A58" s="6" t="s">
        <v>660</v>
      </c>
      <c r="B58" s="7" t="s">
        <v>1319</v>
      </c>
      <c r="C58" s="7" t="s">
        <v>4282</v>
      </c>
      <c r="D58" s="7" t="s">
        <v>4283</v>
      </c>
      <c r="E58" s="6" t="s">
        <v>4284</v>
      </c>
      <c r="F58" s="8"/>
      <c r="G58" s="8"/>
      <c r="H58" s="8"/>
    </row>
    <row r="59" spans="1:8">
      <c r="A59" s="6" t="s">
        <v>660</v>
      </c>
      <c r="B59" s="7" t="s">
        <v>1319</v>
      </c>
      <c r="C59" s="7" t="s">
        <v>4282</v>
      </c>
      <c r="D59" s="7" t="s">
        <v>4285</v>
      </c>
      <c r="E59" s="6" t="s">
        <v>4284</v>
      </c>
      <c r="F59" s="8"/>
      <c r="G59" s="8"/>
      <c r="H59" s="8"/>
    </row>
    <row r="60" spans="1:8">
      <c r="A60" s="6" t="s">
        <v>660</v>
      </c>
      <c r="B60" s="7" t="s">
        <v>4221</v>
      </c>
      <c r="C60" s="7" t="s">
        <v>4221</v>
      </c>
      <c r="D60" s="7" t="s">
        <v>4286</v>
      </c>
      <c r="E60" s="6" t="s">
        <v>2663</v>
      </c>
      <c r="F60" s="8"/>
      <c r="G60" s="8"/>
      <c r="H60" s="8"/>
    </row>
    <row r="61" spans="1:8">
      <c r="A61" s="6" t="s">
        <v>660</v>
      </c>
      <c r="B61" s="7" t="s">
        <v>4221</v>
      </c>
      <c r="C61" s="7" t="s">
        <v>4221</v>
      </c>
      <c r="D61" s="7" t="s">
        <v>4287</v>
      </c>
      <c r="E61" s="6" t="s">
        <v>3279</v>
      </c>
      <c r="F61" s="8"/>
      <c r="G61" s="8"/>
      <c r="H61" s="8"/>
    </row>
    <row r="62" spans="1:8">
      <c r="A62" s="6" t="s">
        <v>660</v>
      </c>
      <c r="B62" s="7" t="s">
        <v>4221</v>
      </c>
      <c r="C62" s="7" t="s">
        <v>4221</v>
      </c>
      <c r="D62" s="7" t="s">
        <v>4288</v>
      </c>
      <c r="E62" s="6" t="s">
        <v>4289</v>
      </c>
      <c r="F62" s="8"/>
      <c r="G62" s="8"/>
      <c r="H62" s="8"/>
    </row>
    <row r="63" spans="1:8">
      <c r="A63" s="6" t="s">
        <v>660</v>
      </c>
      <c r="B63" s="7" t="s">
        <v>4221</v>
      </c>
      <c r="C63" s="7" t="s">
        <v>4221</v>
      </c>
      <c r="D63" s="7" t="s">
        <v>4290</v>
      </c>
      <c r="E63" s="6" t="s">
        <v>4291</v>
      </c>
      <c r="F63" s="8" t="s">
        <v>7230</v>
      </c>
      <c r="G63" s="8" t="s">
        <v>7011</v>
      </c>
      <c r="H63" s="8" t="s">
        <v>7231</v>
      </c>
    </row>
    <row r="64" spans="1:8">
      <c r="A64" s="6" t="s">
        <v>660</v>
      </c>
      <c r="B64" s="7" t="s">
        <v>606</v>
      </c>
      <c r="C64" s="7" t="s">
        <v>1100</v>
      </c>
      <c r="D64" s="7" t="s">
        <v>4292</v>
      </c>
      <c r="E64" s="6" t="s">
        <v>4293</v>
      </c>
      <c r="F64" s="8"/>
      <c r="G64" s="8"/>
      <c r="H64" s="8"/>
    </row>
    <row r="65" spans="1:8">
      <c r="A65" s="6" t="s">
        <v>660</v>
      </c>
      <c r="B65" s="7" t="s">
        <v>606</v>
      </c>
      <c r="C65" s="7" t="s">
        <v>1100</v>
      </c>
      <c r="D65" s="7" t="s">
        <v>4294</v>
      </c>
      <c r="E65" s="6" t="s">
        <v>4295</v>
      </c>
      <c r="F65" s="8"/>
      <c r="G65" s="8"/>
      <c r="H65" s="8"/>
    </row>
    <row r="66" spans="1:8">
      <c r="A66" s="6" t="s">
        <v>660</v>
      </c>
      <c r="B66" s="7" t="s">
        <v>606</v>
      </c>
      <c r="C66" s="7" t="s">
        <v>1100</v>
      </c>
      <c r="D66" s="7" t="s">
        <v>4296</v>
      </c>
      <c r="E66" s="6" t="s">
        <v>4297</v>
      </c>
      <c r="F66" s="8" t="s">
        <v>7041</v>
      </c>
      <c r="G66" s="8" t="s">
        <v>6929</v>
      </c>
      <c r="H66" s="8" t="s">
        <v>7089</v>
      </c>
    </row>
    <row r="67" spans="1:8">
      <c r="A67" s="6" t="s">
        <v>660</v>
      </c>
      <c r="B67" s="7" t="s">
        <v>4298</v>
      </c>
      <c r="C67" s="7" t="s">
        <v>4298</v>
      </c>
      <c r="D67" s="7" t="s">
        <v>4299</v>
      </c>
      <c r="E67" s="6" t="s">
        <v>4300</v>
      </c>
      <c r="F67" s="8"/>
      <c r="G67" s="8"/>
      <c r="H67" s="8"/>
    </row>
    <row r="68" spans="1:8">
      <c r="A68" s="6" t="s">
        <v>5306</v>
      </c>
      <c r="B68" s="7" t="s">
        <v>5307</v>
      </c>
      <c r="C68" s="7" t="s">
        <v>5308</v>
      </c>
      <c r="D68" s="7" t="s">
        <v>5309</v>
      </c>
      <c r="E68" s="6" t="s">
        <v>5310</v>
      </c>
      <c r="F68" s="8"/>
      <c r="G68" s="8"/>
      <c r="H68" s="8"/>
    </row>
    <row r="69" spans="1:8">
      <c r="A69" s="6" t="s">
        <v>6</v>
      </c>
      <c r="B69" s="7" t="s">
        <v>7</v>
      </c>
      <c r="C69" s="7" t="s">
        <v>7</v>
      </c>
      <c r="D69" s="7" t="s">
        <v>8</v>
      </c>
      <c r="E69" s="6" t="s">
        <v>10</v>
      </c>
      <c r="F69" s="8"/>
      <c r="G69" s="8"/>
      <c r="H69" s="8"/>
    </row>
    <row r="70" spans="1:8">
      <c r="A70" s="6" t="s">
        <v>6</v>
      </c>
      <c r="B70" s="7" t="s">
        <v>289</v>
      </c>
      <c r="C70" s="7" t="s">
        <v>289</v>
      </c>
      <c r="D70" s="7" t="s">
        <v>290</v>
      </c>
      <c r="E70" s="6" t="s">
        <v>291</v>
      </c>
      <c r="F70" s="8"/>
      <c r="G70" s="8"/>
      <c r="H70" s="8"/>
    </row>
    <row r="71" spans="1:8">
      <c r="A71" s="6" t="s">
        <v>6</v>
      </c>
      <c r="B71" s="7" t="s">
        <v>112</v>
      </c>
      <c r="C71" s="7" t="s">
        <v>112</v>
      </c>
      <c r="D71" s="7" t="s">
        <v>302</v>
      </c>
      <c r="E71" s="6" t="s">
        <v>303</v>
      </c>
      <c r="F71" s="8"/>
      <c r="G71" s="8"/>
      <c r="H71" s="8"/>
    </row>
    <row r="72" spans="1:8">
      <c r="A72" s="6" t="s">
        <v>6</v>
      </c>
      <c r="B72" s="7" t="s">
        <v>316</v>
      </c>
      <c r="C72" s="7" t="s">
        <v>316</v>
      </c>
      <c r="D72" s="7" t="s">
        <v>317</v>
      </c>
      <c r="E72" s="6" t="s">
        <v>318</v>
      </c>
      <c r="F72" s="8"/>
      <c r="G72" s="8"/>
      <c r="H72" s="8"/>
    </row>
    <row r="73" spans="1:8">
      <c r="A73" s="6" t="s">
        <v>6</v>
      </c>
      <c r="B73" s="7" t="s">
        <v>443</v>
      </c>
      <c r="C73" s="7" t="s">
        <v>444</v>
      </c>
      <c r="D73" s="7" t="s">
        <v>445</v>
      </c>
      <c r="E73" s="6" t="s">
        <v>446</v>
      </c>
      <c r="F73" s="8"/>
      <c r="G73" s="8"/>
      <c r="H73" s="8"/>
    </row>
    <row r="74" spans="1:8">
      <c r="A74" s="6" t="s">
        <v>6</v>
      </c>
      <c r="B74" s="7" t="s">
        <v>443</v>
      </c>
      <c r="C74" s="7" t="s">
        <v>444</v>
      </c>
      <c r="D74" s="7" t="s">
        <v>548</v>
      </c>
      <c r="E74" s="6" t="s">
        <v>549</v>
      </c>
      <c r="F74" s="8"/>
      <c r="G74" s="8"/>
      <c r="H74" s="8"/>
    </row>
    <row r="75" spans="1:8">
      <c r="A75" s="6" t="s">
        <v>6</v>
      </c>
      <c r="B75" s="7" t="s">
        <v>623</v>
      </c>
      <c r="C75" s="7" t="s">
        <v>623</v>
      </c>
      <c r="D75" s="7" t="s">
        <v>624</v>
      </c>
      <c r="E75" s="6" t="s">
        <v>625</v>
      </c>
      <c r="F75" s="8"/>
      <c r="G75" s="8"/>
      <c r="H75" s="8"/>
    </row>
    <row r="76" spans="1:8">
      <c r="A76" s="6" t="s">
        <v>6</v>
      </c>
      <c r="B76" s="7" t="s">
        <v>623</v>
      </c>
      <c r="C76" s="7" t="s">
        <v>623</v>
      </c>
      <c r="D76" s="7" t="s">
        <v>626</v>
      </c>
      <c r="E76" s="6" t="s">
        <v>627</v>
      </c>
      <c r="F76" s="8"/>
      <c r="G76" s="8"/>
      <c r="H76" s="8"/>
    </row>
    <row r="77" spans="1:8">
      <c r="A77" s="6" t="s">
        <v>6</v>
      </c>
      <c r="B77" s="7" t="s">
        <v>631</v>
      </c>
      <c r="C77" s="7" t="s">
        <v>632</v>
      </c>
      <c r="D77" s="7" t="s">
        <v>633</v>
      </c>
      <c r="E77" s="6" t="s">
        <v>634</v>
      </c>
      <c r="F77" s="8"/>
      <c r="G77" s="8"/>
      <c r="H77" s="8"/>
    </row>
    <row r="78" spans="1:8">
      <c r="A78" s="6" t="s">
        <v>6</v>
      </c>
      <c r="B78" s="7" t="s">
        <v>635</v>
      </c>
      <c r="C78" s="7" t="s">
        <v>635</v>
      </c>
      <c r="D78" s="7" t="s">
        <v>636</v>
      </c>
      <c r="E78" s="6" t="s">
        <v>637</v>
      </c>
      <c r="F78" s="8" t="s">
        <v>7016</v>
      </c>
      <c r="G78" s="8" t="s">
        <v>6965</v>
      </c>
      <c r="H78" s="8" t="s">
        <v>7017</v>
      </c>
    </row>
    <row r="79" spans="1:8">
      <c r="A79" s="6" t="s">
        <v>6</v>
      </c>
      <c r="B79" s="7" t="s">
        <v>665</v>
      </c>
      <c r="C79" s="7" t="s">
        <v>666</v>
      </c>
      <c r="D79" s="7" t="s">
        <v>667</v>
      </c>
      <c r="E79" s="6" t="s">
        <v>668</v>
      </c>
      <c r="F79" s="8"/>
      <c r="G79" s="8"/>
      <c r="H79" s="8"/>
    </row>
    <row r="80" spans="1:8">
      <c r="A80" s="6" t="s">
        <v>6</v>
      </c>
      <c r="B80" s="7" t="s">
        <v>613</v>
      </c>
      <c r="C80" s="7" t="s">
        <v>613</v>
      </c>
      <c r="D80" s="7" t="s">
        <v>669</v>
      </c>
      <c r="E80" s="6" t="s">
        <v>670</v>
      </c>
      <c r="F80" s="8"/>
      <c r="G80" s="8"/>
      <c r="H80" s="8"/>
    </row>
    <row r="81" spans="1:8">
      <c r="A81" s="6" t="s">
        <v>6</v>
      </c>
      <c r="B81" s="7" t="s">
        <v>635</v>
      </c>
      <c r="C81" s="7" t="s">
        <v>671</v>
      </c>
      <c r="D81" s="7" t="s">
        <v>672</v>
      </c>
      <c r="E81" s="6" t="s">
        <v>673</v>
      </c>
      <c r="F81" s="8"/>
      <c r="G81" s="8"/>
      <c r="H81" s="8"/>
    </row>
    <row r="82" spans="1:8">
      <c r="A82" s="6" t="s">
        <v>6</v>
      </c>
      <c r="B82" s="7" t="s">
        <v>443</v>
      </c>
      <c r="C82" s="7" t="s">
        <v>444</v>
      </c>
      <c r="D82" s="7" t="s">
        <v>693</v>
      </c>
      <c r="E82" s="6" t="s">
        <v>694</v>
      </c>
      <c r="F82" s="8"/>
      <c r="G82" s="8"/>
      <c r="H82" s="8"/>
    </row>
    <row r="83" spans="1:8">
      <c r="A83" s="6" t="s">
        <v>6</v>
      </c>
      <c r="B83" s="7" t="s">
        <v>712</v>
      </c>
      <c r="C83" s="7" t="s">
        <v>713</v>
      </c>
      <c r="D83" s="7" t="s">
        <v>714</v>
      </c>
      <c r="E83" s="6" t="s">
        <v>715</v>
      </c>
      <c r="F83" s="8"/>
      <c r="G83" s="8"/>
      <c r="H83" s="8"/>
    </row>
    <row r="84" spans="1:8">
      <c r="A84" s="6" t="s">
        <v>6</v>
      </c>
      <c r="B84" s="7" t="s">
        <v>895</v>
      </c>
      <c r="C84" s="7" t="s">
        <v>895</v>
      </c>
      <c r="D84" s="7" t="s">
        <v>896</v>
      </c>
      <c r="E84" s="6" t="s">
        <v>897</v>
      </c>
      <c r="F84" s="8"/>
      <c r="G84" s="8"/>
      <c r="H84" s="8"/>
    </row>
    <row r="85" spans="1:8">
      <c r="A85" s="6" t="s">
        <v>6</v>
      </c>
      <c r="B85" s="7" t="s">
        <v>962</v>
      </c>
      <c r="C85" s="7" t="s">
        <v>962</v>
      </c>
      <c r="D85" s="7" t="s">
        <v>963</v>
      </c>
      <c r="E85" s="6" t="s">
        <v>964</v>
      </c>
      <c r="F85" s="8" t="s">
        <v>7027</v>
      </c>
      <c r="G85" s="8" t="s">
        <v>6944</v>
      </c>
      <c r="H85" s="8" t="s">
        <v>7028</v>
      </c>
    </row>
    <row r="86" spans="1:8">
      <c r="A86" s="6" t="s">
        <v>6</v>
      </c>
      <c r="B86" s="7" t="s">
        <v>613</v>
      </c>
      <c r="C86" s="7" t="s">
        <v>613</v>
      </c>
      <c r="D86" s="7" t="s">
        <v>971</v>
      </c>
      <c r="E86" s="6" t="s">
        <v>972</v>
      </c>
      <c r="F86" s="8"/>
      <c r="G86" s="8"/>
      <c r="H86" s="8"/>
    </row>
    <row r="87" spans="1:8">
      <c r="A87" s="6" t="s">
        <v>6</v>
      </c>
      <c r="B87" s="7" t="s">
        <v>1049</v>
      </c>
      <c r="C87" s="7" t="s">
        <v>1049</v>
      </c>
      <c r="D87" s="7" t="s">
        <v>1050</v>
      </c>
      <c r="E87" s="6" t="s">
        <v>1051</v>
      </c>
      <c r="F87" s="8" t="s">
        <v>3334</v>
      </c>
      <c r="G87" s="8" t="s">
        <v>7018</v>
      </c>
      <c r="H87" s="8" t="s">
        <v>6932</v>
      </c>
    </row>
    <row r="88" spans="1:8">
      <c r="A88" s="6" t="s">
        <v>6</v>
      </c>
      <c r="B88" s="7" t="s">
        <v>1066</v>
      </c>
      <c r="C88" s="7" t="s">
        <v>1066</v>
      </c>
      <c r="D88" s="7" t="s">
        <v>1067</v>
      </c>
      <c r="E88" s="6" t="s">
        <v>1068</v>
      </c>
      <c r="F88" s="8"/>
      <c r="G88" s="8"/>
      <c r="H88" s="8"/>
    </row>
    <row r="89" spans="1:8">
      <c r="A89" s="6" t="s">
        <v>6</v>
      </c>
      <c r="B89" s="7" t="s">
        <v>1066</v>
      </c>
      <c r="C89" s="7" t="s">
        <v>1066</v>
      </c>
      <c r="D89" s="7" t="s">
        <v>1069</v>
      </c>
      <c r="E89" s="6" t="s">
        <v>1070</v>
      </c>
      <c r="F89" s="8"/>
      <c r="G89" s="8"/>
      <c r="H89" s="8"/>
    </row>
    <row r="90" spans="1:8">
      <c r="A90" s="6" t="s">
        <v>6</v>
      </c>
      <c r="B90" s="7" t="s">
        <v>112</v>
      </c>
      <c r="C90" s="7" t="s">
        <v>112</v>
      </c>
      <c r="D90" s="7" t="s">
        <v>1071</v>
      </c>
      <c r="E90" s="6" t="s">
        <v>1072</v>
      </c>
      <c r="F90" s="8"/>
      <c r="G90" s="8"/>
      <c r="H90" s="8"/>
    </row>
    <row r="91" spans="1:8">
      <c r="A91" s="6" t="s">
        <v>6</v>
      </c>
      <c r="B91" s="7" t="s">
        <v>1089</v>
      </c>
      <c r="C91" s="7" t="s">
        <v>1089</v>
      </c>
      <c r="D91" s="7" t="s">
        <v>1090</v>
      </c>
      <c r="E91" s="6" t="s">
        <v>1091</v>
      </c>
      <c r="F91" s="8"/>
      <c r="G91" s="8"/>
      <c r="H91" s="8"/>
    </row>
    <row r="92" spans="1:8">
      <c r="A92" s="6" t="s">
        <v>6</v>
      </c>
      <c r="B92" s="7" t="s">
        <v>162</v>
      </c>
      <c r="C92" s="7" t="s">
        <v>162</v>
      </c>
      <c r="D92" s="7" t="s">
        <v>1102</v>
      </c>
      <c r="E92" s="6" t="s">
        <v>1103</v>
      </c>
      <c r="F92" s="8"/>
      <c r="G92" s="8"/>
      <c r="H92" s="8"/>
    </row>
    <row r="93" spans="1:8">
      <c r="A93" s="6" t="s">
        <v>6</v>
      </c>
      <c r="B93" s="7" t="s">
        <v>1089</v>
      </c>
      <c r="C93" s="7" t="s">
        <v>1089</v>
      </c>
      <c r="D93" s="7" t="s">
        <v>1111</v>
      </c>
      <c r="E93" s="6" t="s">
        <v>1112</v>
      </c>
      <c r="F93" s="8" t="s">
        <v>7010</v>
      </c>
      <c r="G93" s="8" t="s">
        <v>7011</v>
      </c>
      <c r="H93" s="8" t="s">
        <v>7012</v>
      </c>
    </row>
    <row r="94" spans="1:8">
      <c r="A94" s="6" t="s">
        <v>6</v>
      </c>
      <c r="B94" s="7" t="s">
        <v>1089</v>
      </c>
      <c r="C94" s="7" t="s">
        <v>1089</v>
      </c>
      <c r="D94" s="7" t="s">
        <v>1113</v>
      </c>
      <c r="E94" s="6" t="s">
        <v>1114</v>
      </c>
      <c r="F94" s="8" t="s">
        <v>7010</v>
      </c>
      <c r="G94" s="8" t="s">
        <v>7011</v>
      </c>
      <c r="H94" s="8" t="s">
        <v>7012</v>
      </c>
    </row>
    <row r="95" spans="1:8">
      <c r="A95" s="6" t="s">
        <v>6</v>
      </c>
      <c r="B95" s="7" t="s">
        <v>1128</v>
      </c>
      <c r="C95" s="7" t="s">
        <v>1128</v>
      </c>
      <c r="D95" s="7" t="s">
        <v>1129</v>
      </c>
      <c r="E95" s="6" t="s">
        <v>1130</v>
      </c>
      <c r="F95" s="8"/>
      <c r="G95" s="8"/>
      <c r="H95" s="8"/>
    </row>
    <row r="96" spans="1:8">
      <c r="A96" s="6" t="s">
        <v>6</v>
      </c>
      <c r="B96" s="7" t="s">
        <v>1145</v>
      </c>
      <c r="C96" s="7" t="s">
        <v>1145</v>
      </c>
      <c r="D96" s="7" t="s">
        <v>1146</v>
      </c>
      <c r="E96" s="6" t="s">
        <v>1147</v>
      </c>
      <c r="F96" s="8"/>
      <c r="G96" s="8"/>
      <c r="H96" s="8"/>
    </row>
    <row r="97" spans="1:8">
      <c r="A97" s="6" t="s">
        <v>6</v>
      </c>
      <c r="B97" s="7" t="s">
        <v>635</v>
      </c>
      <c r="C97" s="7" t="s">
        <v>635</v>
      </c>
      <c r="D97" s="7" t="s">
        <v>1185</v>
      </c>
      <c r="E97" s="6" t="s">
        <v>1186</v>
      </c>
      <c r="F97" s="8"/>
      <c r="G97" s="8"/>
      <c r="H97" s="8"/>
    </row>
    <row r="98" spans="1:8">
      <c r="A98" s="6" t="s">
        <v>6</v>
      </c>
      <c r="B98" s="7" t="s">
        <v>1066</v>
      </c>
      <c r="C98" s="7" t="s">
        <v>1066</v>
      </c>
      <c r="D98" s="7" t="s">
        <v>1253</v>
      </c>
      <c r="E98" s="6" t="s">
        <v>1254</v>
      </c>
      <c r="F98" s="8"/>
      <c r="G98" s="8"/>
      <c r="H98" s="8"/>
    </row>
    <row r="99" spans="1:8">
      <c r="A99" s="6" t="s">
        <v>6</v>
      </c>
      <c r="B99" s="7" t="s">
        <v>443</v>
      </c>
      <c r="C99" s="7" t="s">
        <v>443</v>
      </c>
      <c r="D99" s="7" t="s">
        <v>1352</v>
      </c>
      <c r="E99" s="6" t="s">
        <v>1353</v>
      </c>
      <c r="F99" s="8" t="s">
        <v>3334</v>
      </c>
      <c r="G99" s="8" t="s">
        <v>6929</v>
      </c>
      <c r="H99" s="8" t="s">
        <v>6970</v>
      </c>
    </row>
    <row r="100" spans="1:8">
      <c r="A100" s="6" t="s">
        <v>6</v>
      </c>
      <c r="B100" s="7" t="s">
        <v>1481</v>
      </c>
      <c r="C100" s="7" t="s">
        <v>1482</v>
      </c>
      <c r="D100" s="7" t="s">
        <v>1483</v>
      </c>
      <c r="E100" s="6" t="s">
        <v>1484</v>
      </c>
      <c r="F100" s="8"/>
      <c r="G100" s="8"/>
      <c r="H100" s="8"/>
    </row>
    <row r="101" spans="1:8">
      <c r="A101" s="6" t="s">
        <v>6</v>
      </c>
      <c r="B101" s="7" t="s">
        <v>1089</v>
      </c>
      <c r="C101" s="7" t="s">
        <v>1089</v>
      </c>
      <c r="D101" s="7" t="s">
        <v>1520</v>
      </c>
      <c r="E101" s="6" t="s">
        <v>1521</v>
      </c>
      <c r="F101" s="8" t="s">
        <v>6957</v>
      </c>
      <c r="G101" s="8" t="s">
        <v>7018</v>
      </c>
      <c r="H101" s="8" t="s">
        <v>7019</v>
      </c>
    </row>
    <row r="102" spans="1:8">
      <c r="A102" s="6" t="s">
        <v>6</v>
      </c>
      <c r="B102" s="7" t="s">
        <v>712</v>
      </c>
      <c r="C102" s="7" t="s">
        <v>1586</v>
      </c>
      <c r="D102" s="7" t="s">
        <v>1587</v>
      </c>
      <c r="E102" s="6" t="s">
        <v>1588</v>
      </c>
      <c r="F102" s="8"/>
      <c r="G102" s="8"/>
      <c r="H102" s="8"/>
    </row>
    <row r="103" spans="1:8">
      <c r="A103" s="6" t="s">
        <v>6</v>
      </c>
      <c r="B103" s="7" t="s">
        <v>443</v>
      </c>
      <c r="C103" s="7" t="s">
        <v>443</v>
      </c>
      <c r="D103" s="7" t="s">
        <v>1666</v>
      </c>
      <c r="E103" s="6" t="s">
        <v>1667</v>
      </c>
      <c r="F103" s="8" t="s">
        <v>3334</v>
      </c>
      <c r="G103" s="8" t="s">
        <v>6929</v>
      </c>
      <c r="H103" s="8" t="s">
        <v>6970</v>
      </c>
    </row>
    <row r="104" spans="1:8">
      <c r="A104" s="6" t="s">
        <v>6</v>
      </c>
      <c r="B104" s="7" t="s">
        <v>1481</v>
      </c>
      <c r="C104" s="7" t="s">
        <v>1482</v>
      </c>
      <c r="D104" s="7" t="s">
        <v>1682</v>
      </c>
      <c r="E104" s="6" t="s">
        <v>1683</v>
      </c>
      <c r="F104" s="8" t="s">
        <v>6931</v>
      </c>
      <c r="G104" s="8" t="s">
        <v>7011</v>
      </c>
      <c r="H104" s="8" t="s">
        <v>7029</v>
      </c>
    </row>
    <row r="105" spans="1:8">
      <c r="A105" s="6" t="s">
        <v>6</v>
      </c>
      <c r="B105" s="7" t="s">
        <v>1481</v>
      </c>
      <c r="C105" s="7" t="s">
        <v>1482</v>
      </c>
      <c r="D105" s="7" t="s">
        <v>1789</v>
      </c>
      <c r="E105" s="6" t="s">
        <v>1790</v>
      </c>
      <c r="F105" s="8" t="s">
        <v>6931</v>
      </c>
      <c r="G105" s="8" t="s">
        <v>7011</v>
      </c>
      <c r="H105" s="8" t="s">
        <v>7029</v>
      </c>
    </row>
    <row r="106" spans="1:8">
      <c r="A106" s="6" t="s">
        <v>6</v>
      </c>
      <c r="B106" s="7" t="s">
        <v>1794</v>
      </c>
      <c r="C106" s="7" t="s">
        <v>1794</v>
      </c>
      <c r="D106" s="7" t="s">
        <v>1795</v>
      </c>
      <c r="E106" s="6" t="s">
        <v>1796</v>
      </c>
      <c r="F106" s="8"/>
      <c r="G106" s="8"/>
      <c r="H106" s="8"/>
    </row>
    <row r="107" spans="1:8">
      <c r="A107" s="6" t="s">
        <v>6</v>
      </c>
      <c r="B107" s="7" t="s">
        <v>1671</v>
      </c>
      <c r="C107" s="7" t="s">
        <v>1671</v>
      </c>
      <c r="D107" s="7" t="s">
        <v>1825</v>
      </c>
      <c r="E107" s="6" t="s">
        <v>1826</v>
      </c>
      <c r="F107" s="8"/>
      <c r="G107" s="8"/>
      <c r="H107" s="8"/>
    </row>
    <row r="108" spans="1:8">
      <c r="A108" s="6" t="s">
        <v>6</v>
      </c>
      <c r="B108" s="7" t="s">
        <v>112</v>
      </c>
      <c r="C108" s="7" t="s">
        <v>112</v>
      </c>
      <c r="D108" s="7" t="s">
        <v>1844</v>
      </c>
      <c r="E108" s="6" t="s">
        <v>1845</v>
      </c>
      <c r="F108" s="8"/>
      <c r="G108" s="8"/>
      <c r="H108" s="8"/>
    </row>
    <row r="109" spans="1:8">
      <c r="A109" s="6" t="s">
        <v>6</v>
      </c>
      <c r="B109" s="7" t="s">
        <v>606</v>
      </c>
      <c r="C109" s="7" t="s">
        <v>606</v>
      </c>
      <c r="D109" s="7" t="s">
        <v>1869</v>
      </c>
      <c r="E109" s="6" t="s">
        <v>1870</v>
      </c>
      <c r="F109" s="8"/>
      <c r="G109" s="8"/>
      <c r="H109" s="8"/>
    </row>
    <row r="110" spans="1:8">
      <c r="A110" s="6" t="s">
        <v>6</v>
      </c>
      <c r="B110" s="7" t="s">
        <v>606</v>
      </c>
      <c r="C110" s="7" t="s">
        <v>606</v>
      </c>
      <c r="D110" s="7" t="s">
        <v>1871</v>
      </c>
      <c r="E110" s="6" t="s">
        <v>1872</v>
      </c>
      <c r="F110" s="8"/>
      <c r="G110" s="8"/>
      <c r="H110" s="8"/>
    </row>
    <row r="111" spans="1:8">
      <c r="A111" s="6" t="s">
        <v>6</v>
      </c>
      <c r="B111" s="7" t="s">
        <v>443</v>
      </c>
      <c r="C111" s="7" t="s">
        <v>443</v>
      </c>
      <c r="D111" s="7" t="s">
        <v>1944</v>
      </c>
      <c r="E111" s="6" t="s">
        <v>1945</v>
      </c>
      <c r="F111" s="8"/>
      <c r="G111" s="8"/>
      <c r="H111" s="8"/>
    </row>
    <row r="112" spans="1:8">
      <c r="A112" s="6" t="s">
        <v>6</v>
      </c>
      <c r="B112" s="7" t="s">
        <v>5311</v>
      </c>
      <c r="C112" s="7" t="s">
        <v>5311</v>
      </c>
      <c r="D112" s="7" t="s">
        <v>5312</v>
      </c>
      <c r="E112" s="6" t="s">
        <v>5313</v>
      </c>
      <c r="F112" s="8"/>
      <c r="G112" s="8"/>
      <c r="H112" s="8"/>
    </row>
    <row r="113" spans="1:8">
      <c r="A113" s="6" t="s">
        <v>6</v>
      </c>
      <c r="B113" s="7" t="s">
        <v>613</v>
      </c>
      <c r="C113" s="7" t="s">
        <v>613</v>
      </c>
      <c r="D113" s="7" t="s">
        <v>5314</v>
      </c>
      <c r="E113" s="6" t="s">
        <v>5315</v>
      </c>
      <c r="F113" s="8" t="s">
        <v>3334</v>
      </c>
      <c r="G113" s="8" t="s">
        <v>6953</v>
      </c>
      <c r="H113" s="8" t="s">
        <v>6951</v>
      </c>
    </row>
    <row r="114" spans="1:8">
      <c r="A114" s="6" t="s">
        <v>6</v>
      </c>
      <c r="B114" s="7" t="s">
        <v>5316</v>
      </c>
      <c r="C114" s="7" t="s">
        <v>5316</v>
      </c>
      <c r="D114" s="7" t="s">
        <v>5317</v>
      </c>
      <c r="E114" s="6" t="s">
        <v>5318</v>
      </c>
      <c r="F114" s="8"/>
      <c r="G114" s="8"/>
      <c r="H114" s="8"/>
    </row>
    <row r="115" spans="1:8">
      <c r="A115" s="6" t="s">
        <v>6</v>
      </c>
      <c r="B115" s="7" t="s">
        <v>112</v>
      </c>
      <c r="C115" s="7" t="s">
        <v>112</v>
      </c>
      <c r="D115" s="7" t="s">
        <v>5319</v>
      </c>
      <c r="E115" s="6" t="s">
        <v>5320</v>
      </c>
      <c r="F115" s="8" t="s">
        <v>7023</v>
      </c>
      <c r="G115" s="8" t="s">
        <v>7018</v>
      </c>
      <c r="H115" s="8" t="s">
        <v>7024</v>
      </c>
    </row>
    <row r="116" spans="1:8">
      <c r="A116" s="6" t="s">
        <v>6</v>
      </c>
      <c r="B116" s="7" t="s">
        <v>112</v>
      </c>
      <c r="C116" s="7" t="s">
        <v>112</v>
      </c>
      <c r="D116" s="7" t="s">
        <v>5321</v>
      </c>
      <c r="E116" s="6" t="s">
        <v>5322</v>
      </c>
      <c r="F116" s="8" t="s">
        <v>7023</v>
      </c>
      <c r="G116" s="8" t="s">
        <v>7018</v>
      </c>
      <c r="H116" s="8" t="s">
        <v>7024</v>
      </c>
    </row>
    <row r="117" spans="1:8">
      <c r="A117" s="6" t="s">
        <v>6</v>
      </c>
      <c r="B117" s="7" t="s">
        <v>112</v>
      </c>
      <c r="C117" s="7" t="s">
        <v>112</v>
      </c>
      <c r="D117" s="7" t="s">
        <v>5323</v>
      </c>
      <c r="E117" s="6" t="s">
        <v>5324</v>
      </c>
      <c r="F117" s="8"/>
      <c r="G117" s="8"/>
      <c r="H117" s="8"/>
    </row>
    <row r="118" spans="1:8">
      <c r="A118" s="6" t="s">
        <v>6</v>
      </c>
      <c r="B118" s="7" t="s">
        <v>665</v>
      </c>
      <c r="C118" s="7" t="s">
        <v>666</v>
      </c>
      <c r="D118" s="7" t="s">
        <v>5325</v>
      </c>
      <c r="E118" s="6" t="s">
        <v>5326</v>
      </c>
      <c r="F118" s="8"/>
      <c r="G118" s="8"/>
      <c r="H118" s="8"/>
    </row>
    <row r="119" spans="1:8">
      <c r="A119" s="6" t="s">
        <v>6</v>
      </c>
      <c r="B119" s="7" t="s">
        <v>112</v>
      </c>
      <c r="C119" s="7" t="s">
        <v>112</v>
      </c>
      <c r="D119" s="7" t="s">
        <v>5327</v>
      </c>
      <c r="E119" s="6" t="s">
        <v>3358</v>
      </c>
      <c r="F119" s="8"/>
      <c r="G119" s="8"/>
      <c r="H119" s="8"/>
    </row>
    <row r="120" spans="1:8">
      <c r="A120" s="6" t="s">
        <v>6</v>
      </c>
      <c r="B120" s="7" t="s">
        <v>112</v>
      </c>
      <c r="C120" s="7" t="s">
        <v>112</v>
      </c>
      <c r="D120" s="7" t="s">
        <v>5328</v>
      </c>
      <c r="E120" s="6" t="s">
        <v>5329</v>
      </c>
      <c r="F120" s="8"/>
      <c r="G120" s="8"/>
      <c r="H120" s="8"/>
    </row>
    <row r="121" spans="1:8">
      <c r="A121" s="6" t="s">
        <v>6</v>
      </c>
      <c r="B121" s="7" t="s">
        <v>1145</v>
      </c>
      <c r="C121" s="7" t="s">
        <v>1145</v>
      </c>
      <c r="D121" s="7" t="s">
        <v>5330</v>
      </c>
      <c r="E121" s="6" t="s">
        <v>5331</v>
      </c>
      <c r="F121" s="8"/>
      <c r="G121" s="8"/>
      <c r="H121" s="8"/>
    </row>
    <row r="122" spans="1:8">
      <c r="A122" s="6" t="s">
        <v>6</v>
      </c>
      <c r="B122" s="7" t="s">
        <v>1794</v>
      </c>
      <c r="C122" s="7" t="s">
        <v>1794</v>
      </c>
      <c r="D122" s="7" t="s">
        <v>5332</v>
      </c>
      <c r="E122" s="6" t="s">
        <v>5333</v>
      </c>
      <c r="F122" s="8"/>
      <c r="G122" s="8"/>
      <c r="H122" s="8"/>
    </row>
    <row r="123" spans="1:8">
      <c r="A123" s="6" t="s">
        <v>6</v>
      </c>
      <c r="B123" s="7" t="s">
        <v>1794</v>
      </c>
      <c r="C123" s="7" t="s">
        <v>1794</v>
      </c>
      <c r="D123" s="7" t="s">
        <v>5334</v>
      </c>
      <c r="E123" s="6" t="s">
        <v>5335</v>
      </c>
      <c r="F123" s="8"/>
      <c r="G123" s="8"/>
      <c r="H123" s="8"/>
    </row>
    <row r="124" spans="1:8">
      <c r="A124" s="6" t="s">
        <v>6</v>
      </c>
      <c r="B124" s="7" t="s">
        <v>1794</v>
      </c>
      <c r="C124" s="7" t="s">
        <v>1794</v>
      </c>
      <c r="D124" s="7" t="s">
        <v>5336</v>
      </c>
      <c r="E124" s="6" t="s">
        <v>5337</v>
      </c>
      <c r="F124" s="8" t="s">
        <v>3334</v>
      </c>
      <c r="G124" s="8" t="s">
        <v>6929</v>
      </c>
      <c r="H124" s="8" t="s">
        <v>7025</v>
      </c>
    </row>
    <row r="125" spans="1:8">
      <c r="A125" s="6" t="s">
        <v>6</v>
      </c>
      <c r="B125" s="7" t="s">
        <v>443</v>
      </c>
      <c r="C125" s="7" t="s">
        <v>443</v>
      </c>
      <c r="D125" s="7" t="s">
        <v>5338</v>
      </c>
      <c r="E125" s="6" t="s">
        <v>5339</v>
      </c>
      <c r="F125" s="8"/>
      <c r="G125" s="8"/>
      <c r="H125" s="8"/>
    </row>
    <row r="126" spans="1:8">
      <c r="A126" s="6" t="s">
        <v>6</v>
      </c>
      <c r="B126" s="7" t="s">
        <v>443</v>
      </c>
      <c r="C126" s="7" t="s">
        <v>443</v>
      </c>
      <c r="D126" s="7" t="s">
        <v>5340</v>
      </c>
      <c r="E126" s="6" t="s">
        <v>5341</v>
      </c>
      <c r="F126" s="8" t="s">
        <v>3334</v>
      </c>
      <c r="G126" s="8" t="s">
        <v>7011</v>
      </c>
      <c r="H126" s="8" t="s">
        <v>7032</v>
      </c>
    </row>
    <row r="127" spans="1:8">
      <c r="A127" s="6" t="s">
        <v>6</v>
      </c>
      <c r="B127" s="7" t="s">
        <v>650</v>
      </c>
      <c r="C127" s="7" t="s">
        <v>650</v>
      </c>
      <c r="D127" s="7" t="s">
        <v>5342</v>
      </c>
      <c r="E127" s="6" t="s">
        <v>5343</v>
      </c>
      <c r="F127" s="8"/>
      <c r="G127" s="8"/>
      <c r="H127" s="8"/>
    </row>
    <row r="128" spans="1:8">
      <c r="A128" s="6" t="s">
        <v>6</v>
      </c>
      <c r="B128" s="7" t="s">
        <v>5344</v>
      </c>
      <c r="C128" s="7" t="s">
        <v>5344</v>
      </c>
      <c r="D128" s="7" t="s">
        <v>5345</v>
      </c>
      <c r="E128" s="6" t="s">
        <v>3012</v>
      </c>
      <c r="F128" s="8" t="s">
        <v>6939</v>
      </c>
      <c r="G128" s="8" t="s">
        <v>6929</v>
      </c>
      <c r="H128" s="8" t="s">
        <v>6954</v>
      </c>
    </row>
    <row r="129" spans="1:8">
      <c r="A129" s="6" t="s">
        <v>6</v>
      </c>
      <c r="B129" s="7" t="s">
        <v>623</v>
      </c>
      <c r="C129" s="7" t="s">
        <v>623</v>
      </c>
      <c r="D129" s="7" t="s">
        <v>6049</v>
      </c>
      <c r="E129" s="6" t="s">
        <v>6050</v>
      </c>
      <c r="F129" s="8" t="s">
        <v>7021</v>
      </c>
      <c r="G129" s="8" t="s">
        <v>6953</v>
      </c>
      <c r="H129" s="8" t="s">
        <v>6951</v>
      </c>
    </row>
    <row r="130" spans="1:8">
      <c r="A130" s="6" t="s">
        <v>6</v>
      </c>
      <c r="B130" s="7" t="s">
        <v>623</v>
      </c>
      <c r="C130" s="7" t="s">
        <v>623</v>
      </c>
      <c r="D130" s="7" t="s">
        <v>6051</v>
      </c>
      <c r="E130" s="6" t="s">
        <v>813</v>
      </c>
      <c r="F130" s="8" t="s">
        <v>3334</v>
      </c>
      <c r="G130" s="8" t="s">
        <v>6999</v>
      </c>
      <c r="H130" s="8" t="s">
        <v>7013</v>
      </c>
    </row>
    <row r="131" spans="1:8">
      <c r="A131" s="6" t="s">
        <v>6</v>
      </c>
      <c r="B131" s="7" t="s">
        <v>1794</v>
      </c>
      <c r="C131" s="7" t="s">
        <v>1794</v>
      </c>
      <c r="D131" s="7" t="s">
        <v>6052</v>
      </c>
      <c r="E131" s="6" t="s">
        <v>6053</v>
      </c>
      <c r="F131" s="8"/>
      <c r="G131" s="8"/>
      <c r="H131" s="8"/>
    </row>
    <row r="132" spans="1:8">
      <c r="A132" s="6" t="s">
        <v>6</v>
      </c>
      <c r="B132" s="7" t="s">
        <v>1145</v>
      </c>
      <c r="C132" s="7" t="s">
        <v>1145</v>
      </c>
      <c r="D132" s="7" t="s">
        <v>6054</v>
      </c>
      <c r="E132" s="6" t="s">
        <v>6055</v>
      </c>
      <c r="F132" s="8"/>
      <c r="G132" s="8"/>
      <c r="H132" s="8"/>
    </row>
    <row r="133" spans="1:8">
      <c r="A133" s="6" t="s">
        <v>6</v>
      </c>
      <c r="B133" s="7" t="s">
        <v>112</v>
      </c>
      <c r="C133" s="7" t="s">
        <v>112</v>
      </c>
      <c r="D133" s="7" t="s">
        <v>6056</v>
      </c>
      <c r="E133" s="6" t="s">
        <v>6057</v>
      </c>
      <c r="F133" s="8" t="s">
        <v>7023</v>
      </c>
      <c r="G133" s="8" t="s">
        <v>7018</v>
      </c>
      <c r="H133" s="8" t="s">
        <v>7024</v>
      </c>
    </row>
    <row r="134" spans="1:8">
      <c r="A134" s="6" t="s">
        <v>6</v>
      </c>
      <c r="B134" s="7" t="s">
        <v>112</v>
      </c>
      <c r="C134" s="7" t="s">
        <v>112</v>
      </c>
      <c r="D134" s="7" t="s">
        <v>6058</v>
      </c>
      <c r="E134" s="6" t="s">
        <v>6059</v>
      </c>
      <c r="F134" s="8" t="s">
        <v>7023</v>
      </c>
      <c r="G134" s="8" t="s">
        <v>7018</v>
      </c>
      <c r="H134" s="8" t="s">
        <v>7024</v>
      </c>
    </row>
    <row r="135" spans="1:8">
      <c r="A135" s="6" t="s">
        <v>6</v>
      </c>
      <c r="B135" s="7" t="s">
        <v>1089</v>
      </c>
      <c r="C135" s="7" t="s">
        <v>1089</v>
      </c>
      <c r="D135" s="7" t="s">
        <v>6060</v>
      </c>
      <c r="E135" s="6" t="s">
        <v>6061</v>
      </c>
      <c r="F135" s="8"/>
      <c r="G135" s="8"/>
      <c r="H135" s="8"/>
    </row>
    <row r="136" spans="1:8">
      <c r="A136" s="6" t="s">
        <v>6</v>
      </c>
      <c r="B136" s="7" t="s">
        <v>665</v>
      </c>
      <c r="C136" s="7" t="s">
        <v>666</v>
      </c>
      <c r="D136" s="7" t="s">
        <v>6062</v>
      </c>
      <c r="E136" s="6" t="s">
        <v>6063</v>
      </c>
      <c r="F136" s="8"/>
      <c r="G136" s="8"/>
      <c r="H136" s="8"/>
    </row>
    <row r="137" spans="1:8">
      <c r="A137" s="6" t="s">
        <v>6</v>
      </c>
      <c r="B137" s="7" t="s">
        <v>1049</v>
      </c>
      <c r="C137" s="7" t="s">
        <v>1049</v>
      </c>
      <c r="D137" s="7" t="s">
        <v>6064</v>
      </c>
      <c r="E137" s="6" t="s">
        <v>6065</v>
      </c>
      <c r="F137" s="8"/>
      <c r="G137" s="8"/>
      <c r="H137" s="8"/>
    </row>
    <row r="138" spans="1:8">
      <c r="A138" s="6" t="s">
        <v>6</v>
      </c>
      <c r="B138" s="7" t="s">
        <v>1066</v>
      </c>
      <c r="C138" s="7" t="s">
        <v>1066</v>
      </c>
      <c r="D138" s="7" t="s">
        <v>6066</v>
      </c>
      <c r="E138" s="6" t="s">
        <v>6067</v>
      </c>
      <c r="F138" s="8" t="s">
        <v>6957</v>
      </c>
      <c r="G138" s="8" t="s">
        <v>7018</v>
      </c>
      <c r="H138" s="8" t="s">
        <v>7022</v>
      </c>
    </row>
    <row r="139" spans="1:8">
      <c r="A139" s="6" t="s">
        <v>6</v>
      </c>
      <c r="B139" s="7" t="s">
        <v>1066</v>
      </c>
      <c r="C139" s="7" t="s">
        <v>1066</v>
      </c>
      <c r="D139" s="7" t="s">
        <v>6068</v>
      </c>
      <c r="E139" s="6" t="s">
        <v>6069</v>
      </c>
      <c r="F139" s="8"/>
      <c r="G139" s="8"/>
      <c r="H139" s="8"/>
    </row>
    <row r="140" spans="1:8">
      <c r="A140" s="6" t="s">
        <v>6</v>
      </c>
      <c r="B140" s="7" t="s">
        <v>1066</v>
      </c>
      <c r="C140" s="7" t="s">
        <v>1066</v>
      </c>
      <c r="D140" s="7" t="s">
        <v>6070</v>
      </c>
      <c r="E140" s="6" t="s">
        <v>6071</v>
      </c>
      <c r="F140" s="8"/>
      <c r="G140" s="8"/>
      <c r="H140" s="8"/>
    </row>
    <row r="141" spans="1:8">
      <c r="A141" s="6" t="s">
        <v>6</v>
      </c>
      <c r="B141" s="7" t="s">
        <v>1066</v>
      </c>
      <c r="C141" s="7" t="s">
        <v>1066</v>
      </c>
      <c r="D141" s="7" t="s">
        <v>6072</v>
      </c>
      <c r="E141" s="6" t="s">
        <v>6073</v>
      </c>
      <c r="F141" s="8" t="s">
        <v>7014</v>
      </c>
      <c r="G141" s="8" t="s">
        <v>6929</v>
      </c>
      <c r="H141" s="8" t="s">
        <v>7015</v>
      </c>
    </row>
    <row r="142" spans="1:8">
      <c r="A142" s="6" t="s">
        <v>6</v>
      </c>
      <c r="B142" s="7" t="s">
        <v>6074</v>
      </c>
      <c r="C142" s="7" t="s">
        <v>6074</v>
      </c>
      <c r="D142" s="7" t="s">
        <v>6075</v>
      </c>
      <c r="E142" s="6" t="s">
        <v>6076</v>
      </c>
      <c r="F142" s="8"/>
      <c r="G142" s="8"/>
      <c r="H142" s="8"/>
    </row>
    <row r="143" spans="1:8">
      <c r="A143" s="6" t="s">
        <v>6</v>
      </c>
      <c r="B143" s="7" t="s">
        <v>6077</v>
      </c>
      <c r="C143" s="7" t="s">
        <v>6077</v>
      </c>
      <c r="D143" s="7" t="s">
        <v>6078</v>
      </c>
      <c r="E143" s="6" t="s">
        <v>6079</v>
      </c>
      <c r="F143" s="8"/>
      <c r="G143" s="8"/>
      <c r="H143" s="8"/>
    </row>
    <row r="144" spans="1:8">
      <c r="A144" s="6" t="s">
        <v>6</v>
      </c>
      <c r="B144" s="7" t="s">
        <v>5311</v>
      </c>
      <c r="C144" s="7" t="s">
        <v>5311</v>
      </c>
      <c r="D144" s="7" t="s">
        <v>6080</v>
      </c>
      <c r="E144" s="6" t="s">
        <v>6081</v>
      </c>
      <c r="F144" s="8"/>
      <c r="G144" s="8"/>
      <c r="H144" s="8"/>
    </row>
    <row r="145" spans="1:8">
      <c r="A145" s="6" t="s">
        <v>6</v>
      </c>
      <c r="B145" s="7" t="s">
        <v>162</v>
      </c>
      <c r="C145" s="7" t="s">
        <v>6082</v>
      </c>
      <c r="D145" s="7" t="s">
        <v>6083</v>
      </c>
      <c r="E145" s="6" t="s">
        <v>6084</v>
      </c>
      <c r="F145" s="8"/>
      <c r="G145" s="8"/>
      <c r="H145" s="8"/>
    </row>
    <row r="146" spans="1:8">
      <c r="A146" s="6" t="s">
        <v>6</v>
      </c>
      <c r="B146" s="7" t="s">
        <v>162</v>
      </c>
      <c r="C146" s="7" t="s">
        <v>6082</v>
      </c>
      <c r="D146" s="7" t="s">
        <v>6085</v>
      </c>
      <c r="E146" s="6" t="s">
        <v>6086</v>
      </c>
      <c r="F146" s="8"/>
      <c r="G146" s="8"/>
      <c r="H146" s="8"/>
    </row>
    <row r="147" spans="1:8">
      <c r="A147" s="6" t="s">
        <v>6</v>
      </c>
      <c r="B147" s="7" t="s">
        <v>162</v>
      </c>
      <c r="C147" s="7" t="s">
        <v>6082</v>
      </c>
      <c r="D147" s="7" t="s">
        <v>6087</v>
      </c>
      <c r="E147" s="6" t="s">
        <v>6088</v>
      </c>
      <c r="F147" s="8"/>
      <c r="G147" s="8"/>
      <c r="H147" s="8"/>
    </row>
    <row r="148" spans="1:8">
      <c r="A148" s="6" t="s">
        <v>6</v>
      </c>
      <c r="B148" s="7" t="s">
        <v>162</v>
      </c>
      <c r="C148" s="7" t="s">
        <v>6082</v>
      </c>
      <c r="D148" s="7" t="s">
        <v>6089</v>
      </c>
      <c r="E148" s="6" t="s">
        <v>6090</v>
      </c>
      <c r="F148" s="8"/>
      <c r="G148" s="8"/>
      <c r="H148" s="8"/>
    </row>
    <row r="149" spans="1:8">
      <c r="A149" s="6" t="s">
        <v>6</v>
      </c>
      <c r="B149" s="7" t="s">
        <v>1089</v>
      </c>
      <c r="C149" s="7" t="s">
        <v>1089</v>
      </c>
      <c r="D149" s="7" t="s">
        <v>6091</v>
      </c>
      <c r="E149" s="6" t="s">
        <v>6092</v>
      </c>
      <c r="F149" s="8"/>
      <c r="G149" s="8"/>
      <c r="H149" s="8"/>
    </row>
    <row r="150" spans="1:8">
      <c r="A150" s="6" t="s">
        <v>6</v>
      </c>
      <c r="B150" s="7" t="s">
        <v>112</v>
      </c>
      <c r="C150" s="7" t="s">
        <v>112</v>
      </c>
      <c r="D150" s="7" t="s">
        <v>6093</v>
      </c>
      <c r="E150" s="6" t="s">
        <v>6094</v>
      </c>
      <c r="F150" s="8"/>
      <c r="G150" s="8"/>
      <c r="H150" s="8"/>
    </row>
    <row r="151" spans="1:8">
      <c r="A151" s="6" t="s">
        <v>6</v>
      </c>
      <c r="B151" s="7" t="s">
        <v>6095</v>
      </c>
      <c r="C151" s="7" t="s">
        <v>6095</v>
      </c>
      <c r="D151" s="7" t="s">
        <v>6096</v>
      </c>
      <c r="E151" s="6" t="s">
        <v>6097</v>
      </c>
      <c r="F151" s="8" t="s">
        <v>3334</v>
      </c>
      <c r="G151" s="8" t="s">
        <v>6929</v>
      </c>
      <c r="H151" s="8" t="s">
        <v>6967</v>
      </c>
    </row>
    <row r="152" spans="1:8">
      <c r="A152" s="6" t="s">
        <v>6</v>
      </c>
      <c r="B152" s="7" t="s">
        <v>112</v>
      </c>
      <c r="C152" s="7" t="s">
        <v>112</v>
      </c>
      <c r="D152" s="7" t="s">
        <v>6098</v>
      </c>
      <c r="E152" s="6" t="s">
        <v>6099</v>
      </c>
      <c r="F152" s="8"/>
      <c r="G152" s="8"/>
      <c r="H152" s="8"/>
    </row>
    <row r="153" spans="1:8">
      <c r="A153" s="6" t="s">
        <v>6</v>
      </c>
      <c r="B153" s="7" t="s">
        <v>1089</v>
      </c>
      <c r="C153" s="7" t="s">
        <v>1089</v>
      </c>
      <c r="D153" s="7" t="s">
        <v>6100</v>
      </c>
      <c r="E153" s="6" t="s">
        <v>6101</v>
      </c>
      <c r="F153" s="8"/>
      <c r="G153" s="8"/>
      <c r="H153" s="8"/>
    </row>
    <row r="154" spans="1:8">
      <c r="A154" s="6" t="s">
        <v>6</v>
      </c>
      <c r="B154" s="7" t="s">
        <v>112</v>
      </c>
      <c r="C154" s="7" t="s">
        <v>112</v>
      </c>
      <c r="D154" s="7" t="s">
        <v>6102</v>
      </c>
      <c r="E154" s="6" t="s">
        <v>6103</v>
      </c>
      <c r="F154" s="8"/>
      <c r="G154" s="8"/>
      <c r="H154" s="8"/>
    </row>
    <row r="155" spans="1:8">
      <c r="A155" s="6" t="s">
        <v>6</v>
      </c>
      <c r="B155" s="7" t="s">
        <v>665</v>
      </c>
      <c r="C155" s="7" t="s">
        <v>666</v>
      </c>
      <c r="D155" s="7" t="s">
        <v>6104</v>
      </c>
      <c r="E155" s="6" t="s">
        <v>6105</v>
      </c>
      <c r="F155" s="8" t="s">
        <v>6982</v>
      </c>
      <c r="G155" s="8" t="s">
        <v>6987</v>
      </c>
      <c r="H155" s="8" t="s">
        <v>7020</v>
      </c>
    </row>
    <row r="156" spans="1:8">
      <c r="A156" s="6" t="s">
        <v>6</v>
      </c>
      <c r="B156" s="7" t="s">
        <v>665</v>
      </c>
      <c r="C156" s="7" t="s">
        <v>666</v>
      </c>
      <c r="D156" s="7" t="s">
        <v>6106</v>
      </c>
      <c r="E156" s="6" t="s">
        <v>6107</v>
      </c>
      <c r="F156" s="8" t="s">
        <v>6943</v>
      </c>
      <c r="G156" s="8" t="s">
        <v>6929</v>
      </c>
      <c r="H156" s="8" t="s">
        <v>7020</v>
      </c>
    </row>
    <row r="157" spans="1:8">
      <c r="A157" s="6" t="s">
        <v>6</v>
      </c>
      <c r="B157" s="7" t="s">
        <v>635</v>
      </c>
      <c r="C157" s="7" t="s">
        <v>635</v>
      </c>
      <c r="D157" s="7" t="s">
        <v>6108</v>
      </c>
      <c r="E157" s="6" t="s">
        <v>6109</v>
      </c>
      <c r="F157" s="8"/>
      <c r="G157" s="8"/>
      <c r="H157" s="8"/>
    </row>
    <row r="158" spans="1:8">
      <c r="A158" s="6" t="s">
        <v>6</v>
      </c>
      <c r="B158" s="7" t="s">
        <v>665</v>
      </c>
      <c r="C158" s="7" t="s">
        <v>666</v>
      </c>
      <c r="D158" s="7" t="s">
        <v>6110</v>
      </c>
      <c r="E158" s="6" t="s">
        <v>6111</v>
      </c>
      <c r="F158" s="8"/>
      <c r="G158" s="8"/>
      <c r="H158" s="8"/>
    </row>
    <row r="159" spans="1:8">
      <c r="A159" s="6" t="s">
        <v>6</v>
      </c>
      <c r="B159" s="7" t="s">
        <v>635</v>
      </c>
      <c r="C159" s="7" t="s">
        <v>635</v>
      </c>
      <c r="D159" s="7" t="s">
        <v>6112</v>
      </c>
      <c r="E159" s="6" t="s">
        <v>6113</v>
      </c>
      <c r="F159" s="8"/>
      <c r="G159" s="8"/>
      <c r="H159" s="8"/>
    </row>
    <row r="160" spans="1:8">
      <c r="A160" s="6" t="s">
        <v>6</v>
      </c>
      <c r="B160" s="7" t="s">
        <v>606</v>
      </c>
      <c r="C160" s="7" t="s">
        <v>606</v>
      </c>
      <c r="D160" s="7" t="s">
        <v>6114</v>
      </c>
      <c r="E160" s="10" t="s">
        <v>7301</v>
      </c>
      <c r="F160" s="8" t="s">
        <v>7030</v>
      </c>
      <c r="G160" s="8" t="s">
        <v>6987</v>
      </c>
      <c r="H160" s="8" t="s">
        <v>6966</v>
      </c>
    </row>
    <row r="161" spans="1:8">
      <c r="A161" s="6" t="s">
        <v>6</v>
      </c>
      <c r="B161" s="7" t="s">
        <v>606</v>
      </c>
      <c r="C161" s="7" t="s">
        <v>606</v>
      </c>
      <c r="D161" s="7" t="s">
        <v>6116</v>
      </c>
      <c r="E161" s="6" t="s">
        <v>6117</v>
      </c>
      <c r="F161" s="8" t="s">
        <v>7030</v>
      </c>
      <c r="G161" s="8" t="s">
        <v>6987</v>
      </c>
      <c r="H161" s="8" t="s">
        <v>6966</v>
      </c>
    </row>
    <row r="162" spans="1:8">
      <c r="A162" s="6" t="s">
        <v>6</v>
      </c>
      <c r="B162" s="7" t="s">
        <v>2329</v>
      </c>
      <c r="C162" s="7" t="s">
        <v>6118</v>
      </c>
      <c r="D162" s="7" t="s">
        <v>6119</v>
      </c>
      <c r="E162" s="6" t="s">
        <v>6120</v>
      </c>
      <c r="F162" s="8"/>
      <c r="G162" s="8"/>
      <c r="H162" s="8"/>
    </row>
    <row r="163" spans="1:8">
      <c r="A163" s="6" t="s">
        <v>6</v>
      </c>
      <c r="B163" s="7" t="s">
        <v>613</v>
      </c>
      <c r="C163" s="7" t="s">
        <v>613</v>
      </c>
      <c r="D163" s="7" t="s">
        <v>6121</v>
      </c>
      <c r="E163" s="6" t="s">
        <v>6122</v>
      </c>
      <c r="F163" s="8"/>
      <c r="G163" s="8"/>
      <c r="H163" s="8"/>
    </row>
    <row r="164" spans="1:8">
      <c r="A164" s="6" t="s">
        <v>6</v>
      </c>
      <c r="B164" s="7" t="s">
        <v>1481</v>
      </c>
      <c r="C164" s="7" t="s">
        <v>1482</v>
      </c>
      <c r="D164" s="7" t="s">
        <v>6123</v>
      </c>
      <c r="E164" s="6" t="s">
        <v>6124</v>
      </c>
      <c r="F164" s="8"/>
      <c r="G164" s="8"/>
      <c r="H164" s="8"/>
    </row>
    <row r="165" spans="1:8">
      <c r="A165" s="6" t="s">
        <v>6</v>
      </c>
      <c r="B165" s="7" t="s">
        <v>1481</v>
      </c>
      <c r="C165" s="7" t="s">
        <v>1482</v>
      </c>
      <c r="D165" s="7" t="s">
        <v>6125</v>
      </c>
      <c r="E165" s="6" t="s">
        <v>6126</v>
      </c>
      <c r="F165" s="8"/>
      <c r="G165" s="8"/>
      <c r="H165" s="8"/>
    </row>
    <row r="166" spans="1:8">
      <c r="A166" s="6" t="s">
        <v>6</v>
      </c>
      <c r="B166" s="7" t="s">
        <v>6127</v>
      </c>
      <c r="C166" s="7" t="s">
        <v>6127</v>
      </c>
      <c r="D166" s="7" t="s">
        <v>6128</v>
      </c>
      <c r="E166" s="6" t="s">
        <v>6129</v>
      </c>
      <c r="F166" s="8"/>
      <c r="G166" s="8"/>
      <c r="H166" s="8"/>
    </row>
    <row r="167" spans="1:8">
      <c r="A167" s="6" t="s">
        <v>6</v>
      </c>
      <c r="B167" s="7" t="s">
        <v>5344</v>
      </c>
      <c r="C167" s="7" t="s">
        <v>5344</v>
      </c>
      <c r="D167" s="7" t="s">
        <v>6130</v>
      </c>
      <c r="E167" s="6" t="s">
        <v>259</v>
      </c>
      <c r="F167" s="8"/>
      <c r="G167" s="8"/>
      <c r="H167" s="8"/>
    </row>
    <row r="168" spans="1:8">
      <c r="A168" s="6" t="s">
        <v>6</v>
      </c>
      <c r="B168" s="7" t="s">
        <v>6127</v>
      </c>
      <c r="C168" s="7" t="s">
        <v>6127</v>
      </c>
      <c r="D168" s="7" t="s">
        <v>6131</v>
      </c>
      <c r="E168" s="6" t="s">
        <v>6132</v>
      </c>
      <c r="F168" s="8" t="s">
        <v>6939</v>
      </c>
      <c r="G168" s="8" t="s">
        <v>6929</v>
      </c>
      <c r="H168" s="8" t="s">
        <v>7026</v>
      </c>
    </row>
    <row r="169" spans="1:8">
      <c r="A169" s="6" t="s">
        <v>6</v>
      </c>
      <c r="B169" s="7" t="s">
        <v>316</v>
      </c>
      <c r="C169" s="7" t="s">
        <v>316</v>
      </c>
      <c r="D169" s="7" t="s">
        <v>6133</v>
      </c>
      <c r="E169" s="6" t="s">
        <v>6134</v>
      </c>
      <c r="F169" s="8" t="s">
        <v>6939</v>
      </c>
      <c r="G169" s="8" t="s">
        <v>6929</v>
      </c>
      <c r="H169" s="8" t="s">
        <v>7026</v>
      </c>
    </row>
    <row r="170" spans="1:8">
      <c r="A170" s="6" t="s">
        <v>6</v>
      </c>
      <c r="B170" s="7" t="s">
        <v>316</v>
      </c>
      <c r="C170" s="7" t="s">
        <v>316</v>
      </c>
      <c r="D170" s="7" t="s">
        <v>6135</v>
      </c>
      <c r="E170" s="6" t="s">
        <v>1351</v>
      </c>
      <c r="F170" s="8" t="s">
        <v>6939</v>
      </c>
      <c r="G170" s="8" t="s">
        <v>6929</v>
      </c>
      <c r="H170" s="8" t="s">
        <v>7026</v>
      </c>
    </row>
    <row r="171" spans="1:8">
      <c r="A171" s="6" t="s">
        <v>1963</v>
      </c>
      <c r="B171" s="7" t="s">
        <v>1798</v>
      </c>
      <c r="C171" s="7" t="s">
        <v>9</v>
      </c>
      <c r="D171" s="7" t="s">
        <v>1964</v>
      </c>
      <c r="E171" s="6" t="s">
        <v>1965</v>
      </c>
      <c r="F171" s="8"/>
      <c r="G171" s="8"/>
      <c r="H171" s="8"/>
    </row>
    <row r="172" spans="1:8">
      <c r="A172" s="6" t="s">
        <v>267</v>
      </c>
      <c r="B172" s="7" t="s">
        <v>78</v>
      </c>
      <c r="C172" s="7" t="s">
        <v>78</v>
      </c>
      <c r="D172" s="7" t="s">
        <v>268</v>
      </c>
      <c r="E172" s="6" t="s">
        <v>269</v>
      </c>
      <c r="F172" s="8" t="s">
        <v>7041</v>
      </c>
      <c r="G172" s="8" t="s">
        <v>6953</v>
      </c>
      <c r="H172" s="8" t="s">
        <v>7042</v>
      </c>
    </row>
    <row r="173" spans="1:8">
      <c r="A173" s="6" t="s">
        <v>267</v>
      </c>
      <c r="B173" s="7" t="s">
        <v>508</v>
      </c>
      <c r="C173" s="7" t="s">
        <v>508</v>
      </c>
      <c r="D173" s="7" t="s">
        <v>1837</v>
      </c>
      <c r="E173" s="6" t="s">
        <v>616</v>
      </c>
      <c r="F173" s="8"/>
      <c r="G173" s="8"/>
      <c r="H173" s="8"/>
    </row>
    <row r="174" spans="1:8">
      <c r="A174" s="6" t="s">
        <v>267</v>
      </c>
      <c r="B174" s="7" t="s">
        <v>78</v>
      </c>
      <c r="C174" s="7" t="s">
        <v>78</v>
      </c>
      <c r="D174" s="7" t="s">
        <v>2215</v>
      </c>
      <c r="E174" s="6" t="s">
        <v>2216</v>
      </c>
      <c r="F174" s="8"/>
      <c r="G174" s="8"/>
      <c r="H174" s="8"/>
    </row>
    <row r="175" spans="1:8">
      <c r="A175" s="6" t="s">
        <v>242</v>
      </c>
      <c r="B175" s="7" t="s">
        <v>9</v>
      </c>
      <c r="C175" s="7" t="s">
        <v>9</v>
      </c>
      <c r="D175" s="7" t="s">
        <v>243</v>
      </c>
      <c r="E175" s="6" t="s">
        <v>244</v>
      </c>
      <c r="F175" s="8"/>
      <c r="G175" s="8"/>
      <c r="H175" s="8"/>
    </row>
    <row r="176" spans="1:8">
      <c r="A176" s="6" t="s">
        <v>554</v>
      </c>
      <c r="B176" s="7" t="s">
        <v>149</v>
      </c>
      <c r="C176" s="7" t="s">
        <v>149</v>
      </c>
      <c r="D176" s="7" t="s">
        <v>555</v>
      </c>
      <c r="E176" s="6" t="s">
        <v>556</v>
      </c>
      <c r="F176" s="8" t="s">
        <v>7069</v>
      </c>
      <c r="G176" s="8" t="s">
        <v>7056</v>
      </c>
      <c r="H176" s="8" t="s">
        <v>7070</v>
      </c>
    </row>
    <row r="177" spans="1:8">
      <c r="A177" s="6" t="s">
        <v>554</v>
      </c>
      <c r="B177" s="7" t="s">
        <v>362</v>
      </c>
      <c r="C177" s="7" t="s">
        <v>362</v>
      </c>
      <c r="D177" s="7" t="s">
        <v>557</v>
      </c>
      <c r="E177" s="6" t="s">
        <v>558</v>
      </c>
      <c r="F177" s="8"/>
      <c r="G177" s="8"/>
      <c r="H177" s="8"/>
    </row>
    <row r="178" spans="1:8">
      <c r="A178" s="6" t="s">
        <v>554</v>
      </c>
      <c r="B178" s="7" t="s">
        <v>9</v>
      </c>
      <c r="C178" s="7" t="s">
        <v>1017</v>
      </c>
      <c r="D178" s="7" t="s">
        <v>1018</v>
      </c>
      <c r="E178" s="6" t="s">
        <v>1019</v>
      </c>
      <c r="F178" s="8"/>
      <c r="G178" s="8"/>
      <c r="H178" s="8"/>
    </row>
    <row r="179" spans="1:8">
      <c r="A179" s="6" t="s">
        <v>554</v>
      </c>
      <c r="B179" s="7" t="s">
        <v>9</v>
      </c>
      <c r="C179" s="7" t="s">
        <v>1104</v>
      </c>
      <c r="D179" s="7" t="s">
        <v>1105</v>
      </c>
      <c r="E179" s="6" t="s">
        <v>1106</v>
      </c>
      <c r="F179" s="8"/>
      <c r="G179" s="8"/>
      <c r="H179" s="8"/>
    </row>
    <row r="180" spans="1:8">
      <c r="A180" s="6" t="s">
        <v>554</v>
      </c>
      <c r="B180" s="7" t="s">
        <v>9</v>
      </c>
      <c r="C180" s="7" t="s">
        <v>1104</v>
      </c>
      <c r="D180" s="7" t="s">
        <v>1107</v>
      </c>
      <c r="E180" s="6" t="s">
        <v>1108</v>
      </c>
      <c r="F180" s="8"/>
      <c r="G180" s="8"/>
      <c r="H180" s="8"/>
    </row>
    <row r="181" spans="1:8">
      <c r="A181" s="6" t="s">
        <v>554</v>
      </c>
      <c r="B181" s="7" t="s">
        <v>9</v>
      </c>
      <c r="C181" s="7" t="s">
        <v>1104</v>
      </c>
      <c r="D181" s="7" t="s">
        <v>1109</v>
      </c>
      <c r="E181" s="6" t="s">
        <v>1110</v>
      </c>
      <c r="F181" s="8"/>
      <c r="G181" s="8"/>
      <c r="H181" s="8"/>
    </row>
    <row r="182" spans="1:8">
      <c r="A182" s="6" t="s">
        <v>554</v>
      </c>
      <c r="B182" s="7" t="s">
        <v>149</v>
      </c>
      <c r="C182" s="7" t="s">
        <v>149</v>
      </c>
      <c r="D182" s="7" t="s">
        <v>1251</v>
      </c>
      <c r="E182" s="6" t="s">
        <v>1252</v>
      </c>
      <c r="F182" s="8" t="s">
        <v>7069</v>
      </c>
      <c r="G182" s="8" t="s">
        <v>7056</v>
      </c>
      <c r="H182" s="8" t="s">
        <v>7070</v>
      </c>
    </row>
    <row r="183" spans="1:8">
      <c r="A183" s="6" t="s">
        <v>554</v>
      </c>
      <c r="B183" s="7" t="s">
        <v>149</v>
      </c>
      <c r="C183" s="7" t="s">
        <v>149</v>
      </c>
      <c r="D183" s="7" t="s">
        <v>1409</v>
      </c>
      <c r="E183" s="6" t="s">
        <v>1410</v>
      </c>
      <c r="F183" s="8" t="s">
        <v>7069</v>
      </c>
      <c r="G183" s="8" t="s">
        <v>7056</v>
      </c>
      <c r="H183" s="8" t="s">
        <v>7070</v>
      </c>
    </row>
    <row r="184" spans="1:8">
      <c r="A184" s="6" t="s">
        <v>554</v>
      </c>
      <c r="B184" s="7" t="s">
        <v>227</v>
      </c>
      <c r="C184" s="7" t="s">
        <v>227</v>
      </c>
      <c r="D184" s="7" t="s">
        <v>1573</v>
      </c>
      <c r="E184" s="6" t="s">
        <v>1574</v>
      </c>
      <c r="F184" s="8"/>
      <c r="G184" s="8"/>
      <c r="H184" s="8"/>
    </row>
    <row r="185" spans="1:8">
      <c r="A185" s="6" t="s">
        <v>554</v>
      </c>
      <c r="B185" s="7" t="s">
        <v>227</v>
      </c>
      <c r="C185" s="7" t="s">
        <v>227</v>
      </c>
      <c r="D185" s="7" t="s">
        <v>1575</v>
      </c>
      <c r="E185" s="6" t="s">
        <v>1576</v>
      </c>
      <c r="F185" s="8"/>
      <c r="G185" s="8"/>
      <c r="H185" s="8"/>
    </row>
    <row r="186" spans="1:8">
      <c r="A186" s="6" t="s">
        <v>554</v>
      </c>
      <c r="B186" s="7" t="s">
        <v>9</v>
      </c>
      <c r="C186" s="7" t="s">
        <v>1632</v>
      </c>
      <c r="D186" s="7" t="s">
        <v>1633</v>
      </c>
      <c r="E186" s="6" t="s">
        <v>1634</v>
      </c>
      <c r="F186" s="8"/>
      <c r="G186" s="8"/>
      <c r="H186" s="8"/>
    </row>
    <row r="187" spans="1:8">
      <c r="A187" s="6" t="s">
        <v>554</v>
      </c>
      <c r="B187" s="7" t="s">
        <v>898</v>
      </c>
      <c r="C187" s="7" t="s">
        <v>898</v>
      </c>
      <c r="D187" s="7" t="s">
        <v>1720</v>
      </c>
      <c r="E187" s="6" t="s">
        <v>558</v>
      </c>
      <c r="F187" s="8"/>
      <c r="G187" s="8"/>
      <c r="H187" s="8"/>
    </row>
    <row r="188" spans="1:8">
      <c r="A188" s="6" t="s">
        <v>554</v>
      </c>
      <c r="B188" s="7" t="s">
        <v>5808</v>
      </c>
      <c r="C188" s="7" t="s">
        <v>9</v>
      </c>
      <c r="D188" s="7" t="s">
        <v>5809</v>
      </c>
      <c r="E188" s="6" t="s">
        <v>5810</v>
      </c>
      <c r="F188" s="8"/>
      <c r="G188" s="8"/>
      <c r="H188" s="8"/>
    </row>
    <row r="189" spans="1:8">
      <c r="A189" s="6" t="s">
        <v>554</v>
      </c>
      <c r="B189" s="7" t="s">
        <v>2077</v>
      </c>
      <c r="C189" s="7" t="s">
        <v>2077</v>
      </c>
      <c r="D189" s="7" t="s">
        <v>5811</v>
      </c>
      <c r="E189" s="6" t="s">
        <v>5812</v>
      </c>
      <c r="F189" s="8"/>
      <c r="G189" s="8"/>
      <c r="H189" s="8"/>
    </row>
    <row r="190" spans="1:8">
      <c r="A190" s="6" t="s">
        <v>554</v>
      </c>
      <c r="B190" s="7" t="s">
        <v>1600</v>
      </c>
      <c r="C190" s="7" t="s">
        <v>5813</v>
      </c>
      <c r="D190" s="7" t="s">
        <v>5814</v>
      </c>
      <c r="E190" s="6" t="s">
        <v>5815</v>
      </c>
      <c r="F190" s="8"/>
      <c r="G190" s="8"/>
      <c r="H190" s="8"/>
    </row>
    <row r="191" spans="1:8">
      <c r="A191" s="6" t="s">
        <v>554</v>
      </c>
      <c r="B191" s="7" t="s">
        <v>74</v>
      </c>
      <c r="C191" s="7" t="s">
        <v>74</v>
      </c>
      <c r="D191" s="7" t="s">
        <v>5816</v>
      </c>
      <c r="E191" s="6" t="s">
        <v>5817</v>
      </c>
      <c r="F191" s="8"/>
      <c r="G191" s="8"/>
      <c r="H191" s="8"/>
    </row>
    <row r="192" spans="1:8">
      <c r="A192" s="6" t="s">
        <v>554</v>
      </c>
      <c r="B192" s="7" t="s">
        <v>108</v>
      </c>
      <c r="C192" s="7" t="s">
        <v>108</v>
      </c>
      <c r="D192" s="7" t="s">
        <v>5818</v>
      </c>
      <c r="E192" s="6" t="s">
        <v>818</v>
      </c>
      <c r="F192" s="8"/>
      <c r="G192" s="8"/>
      <c r="H192" s="8"/>
    </row>
    <row r="193" spans="1:8">
      <c r="A193" s="6" t="s">
        <v>554</v>
      </c>
      <c r="B193" s="7" t="s">
        <v>162</v>
      </c>
      <c r="C193" s="7" t="s">
        <v>162</v>
      </c>
      <c r="D193" s="7" t="s">
        <v>5819</v>
      </c>
      <c r="E193" s="6" t="s">
        <v>5820</v>
      </c>
      <c r="F193" s="8"/>
      <c r="G193" s="8"/>
      <c r="H193" s="8"/>
    </row>
    <row r="194" spans="1:8">
      <c r="A194" s="6" t="s">
        <v>554</v>
      </c>
      <c r="B194" s="7" t="s">
        <v>4727</v>
      </c>
      <c r="C194" s="7" t="s">
        <v>5821</v>
      </c>
      <c r="D194" s="7" t="s">
        <v>5822</v>
      </c>
      <c r="E194" s="6" t="s">
        <v>5823</v>
      </c>
      <c r="F194" s="8"/>
      <c r="G194" s="8"/>
      <c r="H194" s="8"/>
    </row>
    <row r="195" spans="1:8">
      <c r="A195" s="6" t="s">
        <v>554</v>
      </c>
      <c r="B195" s="7" t="s">
        <v>4727</v>
      </c>
      <c r="C195" s="7" t="s">
        <v>365</v>
      </c>
      <c r="D195" s="7" t="s">
        <v>5824</v>
      </c>
      <c r="E195" s="6" t="s">
        <v>5825</v>
      </c>
      <c r="F195" s="8"/>
      <c r="G195" s="8"/>
      <c r="H195" s="8"/>
    </row>
    <row r="196" spans="1:8">
      <c r="A196" s="6" t="s">
        <v>554</v>
      </c>
      <c r="B196" s="7" t="s">
        <v>1017</v>
      </c>
      <c r="C196" s="7" t="s">
        <v>1017</v>
      </c>
      <c r="D196" s="7" t="s">
        <v>5826</v>
      </c>
      <c r="E196" s="6" t="s">
        <v>5827</v>
      </c>
      <c r="F196" s="8" t="s">
        <v>3334</v>
      </c>
      <c r="G196" s="8" t="s">
        <v>6929</v>
      </c>
      <c r="H196" s="8" t="s">
        <v>7073</v>
      </c>
    </row>
    <row r="197" spans="1:8">
      <c r="A197" s="6" t="s">
        <v>554</v>
      </c>
      <c r="B197" s="7" t="s">
        <v>1017</v>
      </c>
      <c r="C197" s="7" t="s">
        <v>1017</v>
      </c>
      <c r="D197" s="7" t="s">
        <v>5828</v>
      </c>
      <c r="E197" s="6" t="s">
        <v>1777</v>
      </c>
      <c r="F197" s="8"/>
      <c r="G197" s="8"/>
      <c r="H197" s="8"/>
    </row>
    <row r="198" spans="1:8">
      <c r="A198" s="6" t="s">
        <v>554</v>
      </c>
      <c r="B198" s="7" t="s">
        <v>264</v>
      </c>
      <c r="C198" s="7" t="s">
        <v>5829</v>
      </c>
      <c r="D198" s="7" t="s">
        <v>5830</v>
      </c>
      <c r="E198" s="6" t="s">
        <v>5831</v>
      </c>
      <c r="F198" s="8"/>
      <c r="G198" s="8"/>
      <c r="H198" s="8"/>
    </row>
    <row r="199" spans="1:8">
      <c r="A199" s="6" t="s">
        <v>554</v>
      </c>
      <c r="B199" s="7" t="s">
        <v>264</v>
      </c>
      <c r="C199" s="7" t="s">
        <v>5832</v>
      </c>
      <c r="D199" s="7" t="s">
        <v>5833</v>
      </c>
      <c r="E199" s="6" t="s">
        <v>5834</v>
      </c>
      <c r="F199" s="8"/>
      <c r="G199" s="8"/>
      <c r="H199" s="8"/>
    </row>
    <row r="200" spans="1:8">
      <c r="A200" s="6" t="s">
        <v>554</v>
      </c>
      <c r="B200" s="7" t="s">
        <v>898</v>
      </c>
      <c r="C200" s="7" t="s">
        <v>898</v>
      </c>
      <c r="D200" s="7" t="s">
        <v>5835</v>
      </c>
      <c r="E200" s="6" t="s">
        <v>5836</v>
      </c>
      <c r="F200" s="8" t="s">
        <v>6939</v>
      </c>
      <c r="G200" s="8" t="s">
        <v>6929</v>
      </c>
      <c r="H200" s="8" t="s">
        <v>6951</v>
      </c>
    </row>
    <row r="201" spans="1:8">
      <c r="A201" s="6" t="s">
        <v>554</v>
      </c>
      <c r="B201" s="7" t="s">
        <v>898</v>
      </c>
      <c r="C201" s="7" t="s">
        <v>898</v>
      </c>
      <c r="D201" s="7" t="s">
        <v>5837</v>
      </c>
      <c r="E201" s="6" t="s">
        <v>5838</v>
      </c>
      <c r="F201" s="8"/>
      <c r="G201" s="8"/>
      <c r="H201" s="8"/>
    </row>
    <row r="202" spans="1:8">
      <c r="A202" s="6" t="s">
        <v>554</v>
      </c>
      <c r="B202" s="7" t="s">
        <v>898</v>
      </c>
      <c r="C202" s="7" t="s">
        <v>898</v>
      </c>
      <c r="D202" s="7" t="s">
        <v>5839</v>
      </c>
      <c r="E202" s="6" t="s">
        <v>5840</v>
      </c>
      <c r="F202" s="8"/>
      <c r="G202" s="8"/>
      <c r="H202" s="8"/>
    </row>
    <row r="203" spans="1:8">
      <c r="A203" s="6" t="s">
        <v>554</v>
      </c>
      <c r="B203" s="7" t="s">
        <v>5841</v>
      </c>
      <c r="C203" s="7" t="s">
        <v>74</v>
      </c>
      <c r="D203" s="7" t="s">
        <v>5842</v>
      </c>
      <c r="E203" s="6" t="s">
        <v>738</v>
      </c>
      <c r="F203" s="8"/>
      <c r="G203" s="8"/>
      <c r="H203" s="8"/>
    </row>
    <row r="204" spans="1:8">
      <c r="A204" s="6" t="s">
        <v>554</v>
      </c>
      <c r="B204" s="7" t="s">
        <v>5841</v>
      </c>
      <c r="C204" s="7" t="s">
        <v>202</v>
      </c>
      <c r="D204" s="7" t="s">
        <v>5843</v>
      </c>
      <c r="E204" s="6" t="s">
        <v>5844</v>
      </c>
      <c r="F204" s="8"/>
      <c r="G204" s="8"/>
      <c r="H204" s="8"/>
    </row>
    <row r="205" spans="1:8">
      <c r="A205" s="6" t="s">
        <v>554</v>
      </c>
      <c r="B205" s="7" t="s">
        <v>5845</v>
      </c>
      <c r="C205" s="7" t="s">
        <v>5643</v>
      </c>
      <c r="D205" s="7" t="s">
        <v>5846</v>
      </c>
      <c r="E205" s="6" t="s">
        <v>5847</v>
      </c>
      <c r="F205" s="8"/>
      <c r="G205" s="8"/>
      <c r="H205" s="8"/>
    </row>
    <row r="206" spans="1:8">
      <c r="A206" s="6" t="s">
        <v>554</v>
      </c>
      <c r="B206" s="7" t="s">
        <v>5845</v>
      </c>
      <c r="C206" s="7" t="s">
        <v>5643</v>
      </c>
      <c r="D206" s="7" t="s">
        <v>5848</v>
      </c>
      <c r="E206" s="6" t="s">
        <v>1511</v>
      </c>
      <c r="F206" s="8"/>
      <c r="G206" s="8"/>
      <c r="H206" s="8"/>
    </row>
    <row r="207" spans="1:8">
      <c r="A207" s="6" t="s">
        <v>554</v>
      </c>
      <c r="B207" s="7" t="s">
        <v>5849</v>
      </c>
      <c r="C207" s="7" t="s">
        <v>5849</v>
      </c>
      <c r="D207" s="7" t="s">
        <v>5850</v>
      </c>
      <c r="E207" s="6" t="s">
        <v>5851</v>
      </c>
      <c r="F207" s="8"/>
      <c r="G207" s="8"/>
      <c r="H207" s="8"/>
    </row>
    <row r="208" spans="1:8">
      <c r="A208" s="6" t="s">
        <v>554</v>
      </c>
      <c r="B208" s="7" t="s">
        <v>5852</v>
      </c>
      <c r="C208" s="7" t="s">
        <v>1104</v>
      </c>
      <c r="D208" s="7" t="s">
        <v>5853</v>
      </c>
      <c r="E208" s="6" t="s">
        <v>5854</v>
      </c>
      <c r="F208" s="8" t="s">
        <v>7071</v>
      </c>
      <c r="G208" s="8" t="s">
        <v>6944</v>
      </c>
      <c r="H208" s="8" t="s">
        <v>7072</v>
      </c>
    </row>
    <row r="209" spans="1:8">
      <c r="A209" s="6" t="s">
        <v>554</v>
      </c>
      <c r="B209" s="7" t="s">
        <v>5852</v>
      </c>
      <c r="C209" s="7" t="s">
        <v>1104</v>
      </c>
      <c r="D209" s="7" t="s">
        <v>5855</v>
      </c>
      <c r="E209" s="6" t="s">
        <v>2266</v>
      </c>
      <c r="F209" s="8" t="s">
        <v>7071</v>
      </c>
      <c r="G209" s="8" t="s">
        <v>6944</v>
      </c>
      <c r="H209" s="8" t="s">
        <v>7072</v>
      </c>
    </row>
    <row r="210" spans="1:8">
      <c r="A210" s="6" t="s">
        <v>554</v>
      </c>
      <c r="B210" s="7" t="s">
        <v>149</v>
      </c>
      <c r="C210" s="7" t="s">
        <v>149</v>
      </c>
      <c r="D210" s="7" t="s">
        <v>5856</v>
      </c>
      <c r="E210" s="6" t="s">
        <v>5857</v>
      </c>
      <c r="F210" s="8"/>
      <c r="G210" s="8"/>
      <c r="H210" s="8"/>
    </row>
    <row r="211" spans="1:8">
      <c r="A211" s="6" t="s">
        <v>554</v>
      </c>
      <c r="B211" s="7" t="s">
        <v>149</v>
      </c>
      <c r="C211" s="7" t="s">
        <v>149</v>
      </c>
      <c r="D211" s="7" t="s">
        <v>5858</v>
      </c>
      <c r="E211" s="6" t="s">
        <v>5859</v>
      </c>
      <c r="F211" s="8"/>
      <c r="G211" s="8"/>
      <c r="H211" s="8"/>
    </row>
    <row r="212" spans="1:8">
      <c r="A212" s="6" t="s">
        <v>554</v>
      </c>
      <c r="B212" s="7" t="s">
        <v>149</v>
      </c>
      <c r="C212" s="7" t="s">
        <v>149</v>
      </c>
      <c r="D212" s="7" t="s">
        <v>5860</v>
      </c>
      <c r="E212" s="6" t="s">
        <v>5861</v>
      </c>
      <c r="F212" s="8"/>
      <c r="G212" s="8"/>
      <c r="H212" s="8"/>
    </row>
    <row r="213" spans="1:8">
      <c r="A213" s="6" t="s">
        <v>554</v>
      </c>
      <c r="B213" s="7" t="s">
        <v>149</v>
      </c>
      <c r="C213" s="7" t="s">
        <v>149</v>
      </c>
      <c r="D213" s="7" t="s">
        <v>5862</v>
      </c>
      <c r="E213" s="6" t="s">
        <v>5863</v>
      </c>
      <c r="F213" s="8"/>
      <c r="G213" s="8"/>
      <c r="H213" s="8"/>
    </row>
    <row r="214" spans="1:8">
      <c r="A214" s="6" t="s">
        <v>554</v>
      </c>
      <c r="B214" s="7" t="s">
        <v>5864</v>
      </c>
      <c r="C214" s="7" t="s">
        <v>5864</v>
      </c>
      <c r="D214" s="7" t="s">
        <v>5865</v>
      </c>
      <c r="E214" s="6" t="s">
        <v>5866</v>
      </c>
      <c r="F214" s="8"/>
      <c r="G214" s="8"/>
      <c r="H214" s="8"/>
    </row>
    <row r="215" spans="1:8">
      <c r="A215" s="6" t="s">
        <v>554</v>
      </c>
      <c r="B215" s="7" t="s">
        <v>5867</v>
      </c>
      <c r="C215" s="7" t="s">
        <v>5868</v>
      </c>
      <c r="D215" s="7" t="s">
        <v>5869</v>
      </c>
      <c r="E215" s="6" t="s">
        <v>5870</v>
      </c>
      <c r="F215" s="8"/>
      <c r="G215" s="8"/>
      <c r="H215" s="8"/>
    </row>
    <row r="216" spans="1:8">
      <c r="A216" s="6" t="s">
        <v>4956</v>
      </c>
      <c r="B216" s="7" t="s">
        <v>4957</v>
      </c>
      <c r="C216" s="7" t="s">
        <v>1798</v>
      </c>
      <c r="D216" s="7" t="s">
        <v>4958</v>
      </c>
      <c r="E216" s="6" t="s">
        <v>4959</v>
      </c>
      <c r="F216" s="8"/>
      <c r="G216" s="8"/>
      <c r="H216" s="8"/>
    </row>
    <row r="217" spans="1:8">
      <c r="A217" s="6" t="s">
        <v>4956</v>
      </c>
      <c r="B217" s="7" t="s">
        <v>4957</v>
      </c>
      <c r="C217" s="7" t="s">
        <v>1798</v>
      </c>
      <c r="D217" s="7" t="s">
        <v>4960</v>
      </c>
      <c r="E217" s="6" t="s">
        <v>4961</v>
      </c>
      <c r="F217" s="8"/>
      <c r="G217" s="8"/>
      <c r="H217" s="8"/>
    </row>
    <row r="218" spans="1:8">
      <c r="A218" s="6" t="s">
        <v>4956</v>
      </c>
      <c r="B218" s="7" t="s">
        <v>4962</v>
      </c>
      <c r="C218" s="7" t="s">
        <v>1798</v>
      </c>
      <c r="D218" s="7" t="s">
        <v>4963</v>
      </c>
      <c r="E218" s="6" t="s">
        <v>4964</v>
      </c>
      <c r="F218" s="8"/>
      <c r="G218" s="8"/>
      <c r="H218" s="8"/>
    </row>
    <row r="219" spans="1:8">
      <c r="A219" s="6" t="s">
        <v>66</v>
      </c>
      <c r="B219" s="7" t="s">
        <v>9</v>
      </c>
      <c r="C219" s="7" t="s">
        <v>9</v>
      </c>
      <c r="D219" s="7" t="s">
        <v>67</v>
      </c>
      <c r="E219" s="6" t="s">
        <v>62</v>
      </c>
      <c r="F219" s="8"/>
      <c r="G219" s="8"/>
      <c r="H219" s="8"/>
    </row>
    <row r="220" spans="1:8">
      <c r="A220" s="6" t="s">
        <v>66</v>
      </c>
      <c r="B220" s="7" t="s">
        <v>9</v>
      </c>
      <c r="C220" s="7" t="s">
        <v>9</v>
      </c>
      <c r="D220" s="7" t="s">
        <v>1404</v>
      </c>
      <c r="E220" s="6" t="s">
        <v>1405</v>
      </c>
      <c r="F220" s="8"/>
      <c r="G220" s="8"/>
      <c r="H220" s="8"/>
    </row>
    <row r="221" spans="1:8">
      <c r="A221" s="6" t="s">
        <v>66</v>
      </c>
      <c r="B221" s="7" t="s">
        <v>9</v>
      </c>
      <c r="C221" s="7" t="s">
        <v>9</v>
      </c>
      <c r="D221" s="7" t="s">
        <v>1406</v>
      </c>
      <c r="E221" s="6" t="s">
        <v>62</v>
      </c>
      <c r="F221" s="8"/>
      <c r="G221" s="8"/>
      <c r="H221" s="8"/>
    </row>
    <row r="222" spans="1:8">
      <c r="A222" s="6" t="s">
        <v>66</v>
      </c>
      <c r="B222" s="7" t="s">
        <v>9</v>
      </c>
      <c r="C222" s="7" t="s">
        <v>9</v>
      </c>
      <c r="D222" s="7" t="s">
        <v>2064</v>
      </c>
      <c r="E222" s="6" t="s">
        <v>2065</v>
      </c>
      <c r="F222" s="8"/>
      <c r="G222" s="8"/>
      <c r="H222" s="8"/>
    </row>
    <row r="223" spans="1:8">
      <c r="A223" s="6" t="s">
        <v>85</v>
      </c>
      <c r="B223" s="7" t="s">
        <v>86</v>
      </c>
      <c r="C223" s="7" t="s">
        <v>87</v>
      </c>
      <c r="D223" s="7" t="s">
        <v>88</v>
      </c>
      <c r="E223" s="6" t="s">
        <v>89</v>
      </c>
      <c r="F223" s="8"/>
      <c r="G223" s="8"/>
      <c r="H223" s="8"/>
    </row>
    <row r="224" spans="1:8">
      <c r="A224" s="6" t="s">
        <v>85</v>
      </c>
      <c r="B224" s="7" t="s">
        <v>86</v>
      </c>
      <c r="C224" s="7" t="s">
        <v>87</v>
      </c>
      <c r="D224" s="7" t="s">
        <v>90</v>
      </c>
      <c r="E224" s="6" t="s">
        <v>91</v>
      </c>
      <c r="F224" s="8"/>
      <c r="G224" s="8"/>
      <c r="H224" s="8"/>
    </row>
    <row r="225" spans="1:8">
      <c r="A225" s="6" t="s">
        <v>85</v>
      </c>
      <c r="B225" s="7" t="s">
        <v>3910</v>
      </c>
      <c r="C225" s="7" t="s">
        <v>3910</v>
      </c>
      <c r="D225" s="7" t="s">
        <v>3911</v>
      </c>
      <c r="E225" s="6" t="s">
        <v>3912</v>
      </c>
      <c r="F225" s="8"/>
      <c r="G225" s="8"/>
      <c r="H225" s="8"/>
    </row>
    <row r="226" spans="1:8">
      <c r="A226" s="6" t="s">
        <v>85</v>
      </c>
      <c r="B226" s="7" t="s">
        <v>935</v>
      </c>
      <c r="C226" s="7" t="s">
        <v>414</v>
      </c>
      <c r="D226" s="7" t="s">
        <v>3913</v>
      </c>
      <c r="E226" s="6" t="s">
        <v>3914</v>
      </c>
      <c r="F226" s="8" t="s">
        <v>6982</v>
      </c>
      <c r="G226" s="8" t="s">
        <v>6929</v>
      </c>
      <c r="H226" s="8" t="s">
        <v>7075</v>
      </c>
    </row>
    <row r="227" spans="1:8">
      <c r="A227" s="6" t="s">
        <v>85</v>
      </c>
      <c r="B227" s="7" t="s">
        <v>935</v>
      </c>
      <c r="C227" s="7" t="s">
        <v>414</v>
      </c>
      <c r="D227" s="7" t="s">
        <v>3915</v>
      </c>
      <c r="E227" s="6" t="s">
        <v>3916</v>
      </c>
      <c r="F227" s="8" t="s">
        <v>6982</v>
      </c>
      <c r="G227" s="8" t="s">
        <v>6929</v>
      </c>
      <c r="H227" s="8" t="s">
        <v>7075</v>
      </c>
    </row>
    <row r="228" spans="1:8">
      <c r="A228" s="6" t="s">
        <v>85</v>
      </c>
      <c r="B228" s="7" t="s">
        <v>86</v>
      </c>
      <c r="C228" s="7" t="s">
        <v>86</v>
      </c>
      <c r="D228" s="7" t="s">
        <v>3917</v>
      </c>
      <c r="E228" s="6" t="s">
        <v>3831</v>
      </c>
      <c r="F228" s="8"/>
      <c r="G228" s="8"/>
      <c r="H228" s="8"/>
    </row>
    <row r="229" spans="1:8">
      <c r="A229" s="6" t="s">
        <v>85</v>
      </c>
      <c r="B229" s="7" t="s">
        <v>86</v>
      </c>
      <c r="C229" s="7" t="s">
        <v>86</v>
      </c>
      <c r="D229" s="7" t="s">
        <v>3918</v>
      </c>
      <c r="E229" s="6" t="s">
        <v>3919</v>
      </c>
      <c r="F229" s="8" t="s">
        <v>5162</v>
      </c>
      <c r="G229" s="8" t="s">
        <v>6929</v>
      </c>
      <c r="H229" s="8" t="s">
        <v>6927</v>
      </c>
    </row>
    <row r="230" spans="1:8">
      <c r="A230" s="6" t="s">
        <v>85</v>
      </c>
      <c r="B230" s="7" t="s">
        <v>86</v>
      </c>
      <c r="C230" s="7" t="s">
        <v>86</v>
      </c>
      <c r="D230" s="7" t="s">
        <v>3920</v>
      </c>
      <c r="E230" s="6" t="s">
        <v>3921</v>
      </c>
      <c r="F230" s="8"/>
      <c r="G230" s="8"/>
      <c r="H230" s="8"/>
    </row>
    <row r="231" spans="1:8">
      <c r="A231" s="6" t="s">
        <v>85</v>
      </c>
      <c r="B231" s="7" t="s">
        <v>86</v>
      </c>
      <c r="C231" s="7" t="s">
        <v>86</v>
      </c>
      <c r="D231" s="7" t="s">
        <v>3922</v>
      </c>
      <c r="E231" s="6" t="s">
        <v>3923</v>
      </c>
      <c r="F231" s="8"/>
      <c r="G231" s="8"/>
      <c r="H231" s="8"/>
    </row>
    <row r="232" spans="1:8">
      <c r="A232" s="6" t="s">
        <v>85</v>
      </c>
      <c r="B232" s="7" t="s">
        <v>86</v>
      </c>
      <c r="C232" s="7" t="s">
        <v>86</v>
      </c>
      <c r="D232" s="7" t="s">
        <v>3924</v>
      </c>
      <c r="E232" s="6" t="s">
        <v>3925</v>
      </c>
      <c r="F232" s="8" t="s">
        <v>5162</v>
      </c>
      <c r="G232" s="8" t="s">
        <v>6929</v>
      </c>
      <c r="H232" s="8" t="s">
        <v>7074</v>
      </c>
    </row>
    <row r="233" spans="1:8">
      <c r="A233" s="6" t="s">
        <v>85</v>
      </c>
      <c r="B233" s="7" t="s">
        <v>86</v>
      </c>
      <c r="C233" s="7" t="s">
        <v>86</v>
      </c>
      <c r="D233" s="7" t="s">
        <v>3926</v>
      </c>
      <c r="E233" s="6" t="s">
        <v>3927</v>
      </c>
      <c r="F233" s="8"/>
      <c r="G233" s="8"/>
      <c r="H233" s="8"/>
    </row>
    <row r="234" spans="1:8">
      <c r="A234" s="6" t="s">
        <v>85</v>
      </c>
      <c r="B234" s="7" t="s">
        <v>3928</v>
      </c>
      <c r="C234" s="7" t="s">
        <v>3928</v>
      </c>
      <c r="D234" s="7" t="s">
        <v>3929</v>
      </c>
      <c r="E234" s="6" t="s">
        <v>3930</v>
      </c>
      <c r="F234" s="8"/>
      <c r="G234" s="8"/>
      <c r="H234" s="8"/>
    </row>
    <row r="235" spans="1:8">
      <c r="A235" s="6" t="s">
        <v>85</v>
      </c>
      <c r="B235" s="7" t="s">
        <v>3931</v>
      </c>
      <c r="C235" s="7" t="s">
        <v>3931</v>
      </c>
      <c r="D235" s="7" t="s">
        <v>3932</v>
      </c>
      <c r="E235" s="6" t="s">
        <v>3933</v>
      </c>
      <c r="F235" s="8" t="s">
        <v>6982</v>
      </c>
      <c r="G235" s="8" t="s">
        <v>7056</v>
      </c>
      <c r="H235" s="8" t="s">
        <v>6967</v>
      </c>
    </row>
    <row r="236" spans="1:8">
      <c r="A236" s="6" t="s">
        <v>423</v>
      </c>
      <c r="B236" s="7" t="s">
        <v>395</v>
      </c>
      <c r="C236" s="7" t="s">
        <v>9</v>
      </c>
      <c r="D236" s="7" t="s">
        <v>424</v>
      </c>
      <c r="E236" s="6" t="s">
        <v>425</v>
      </c>
      <c r="F236" s="8"/>
      <c r="G236" s="8"/>
      <c r="H236" s="8"/>
    </row>
    <row r="237" spans="1:8">
      <c r="A237" s="6" t="s">
        <v>423</v>
      </c>
      <c r="B237" s="7" t="s">
        <v>395</v>
      </c>
      <c r="C237" s="7" t="s">
        <v>9</v>
      </c>
      <c r="D237" s="7" t="s">
        <v>426</v>
      </c>
      <c r="E237" s="6" t="s">
        <v>425</v>
      </c>
      <c r="F237" s="8"/>
      <c r="G237" s="8"/>
      <c r="H237" s="8"/>
    </row>
    <row r="238" spans="1:8">
      <c r="A238" s="6" t="s">
        <v>423</v>
      </c>
      <c r="B238" s="7" t="s">
        <v>395</v>
      </c>
      <c r="C238" s="7" t="s">
        <v>9</v>
      </c>
      <c r="D238" s="7" t="s">
        <v>594</v>
      </c>
      <c r="E238" s="6" t="s">
        <v>595</v>
      </c>
      <c r="F238" s="8"/>
      <c r="G238" s="8"/>
      <c r="H238" s="8"/>
    </row>
    <row r="239" spans="1:8">
      <c r="A239" s="6" t="s">
        <v>423</v>
      </c>
      <c r="B239" s="7" t="s">
        <v>395</v>
      </c>
      <c r="C239" s="7" t="s">
        <v>9</v>
      </c>
      <c r="D239" s="7" t="s">
        <v>641</v>
      </c>
      <c r="E239" s="6" t="s">
        <v>642</v>
      </c>
      <c r="F239" s="8"/>
      <c r="G239" s="8"/>
      <c r="H239" s="8"/>
    </row>
    <row r="240" spans="1:8">
      <c r="A240" s="6" t="s">
        <v>423</v>
      </c>
      <c r="B240" s="7" t="s">
        <v>395</v>
      </c>
      <c r="C240" s="7" t="s">
        <v>9</v>
      </c>
      <c r="D240" s="7" t="s">
        <v>1864</v>
      </c>
      <c r="E240" s="6" t="s">
        <v>1865</v>
      </c>
      <c r="F240" s="8"/>
      <c r="G240" s="8"/>
      <c r="H240" s="8"/>
    </row>
    <row r="241" spans="1:8">
      <c r="A241" s="6" t="s">
        <v>423</v>
      </c>
      <c r="B241" s="7" t="s">
        <v>5006</v>
      </c>
      <c r="C241" s="7" t="s">
        <v>5007</v>
      </c>
      <c r="D241" s="7" t="s">
        <v>5008</v>
      </c>
      <c r="E241" s="6" t="s">
        <v>5009</v>
      </c>
      <c r="F241" s="8"/>
      <c r="G241" s="8"/>
      <c r="H241" s="8"/>
    </row>
    <row r="242" spans="1:8">
      <c r="A242" s="6" t="s">
        <v>423</v>
      </c>
      <c r="B242" s="7" t="s">
        <v>5006</v>
      </c>
      <c r="C242" s="7" t="s">
        <v>5007</v>
      </c>
      <c r="D242" s="7" t="s">
        <v>5010</v>
      </c>
      <c r="E242" s="6" t="s">
        <v>5011</v>
      </c>
      <c r="F242" s="8"/>
      <c r="G242" s="8"/>
      <c r="H242" s="8"/>
    </row>
    <row r="243" spans="1:8">
      <c r="A243" s="6" t="s">
        <v>423</v>
      </c>
      <c r="B243" s="7" t="s">
        <v>5006</v>
      </c>
      <c r="C243" s="7" t="s">
        <v>5007</v>
      </c>
      <c r="D243" s="7" t="s">
        <v>5012</v>
      </c>
      <c r="E243" s="6" t="s">
        <v>5011</v>
      </c>
      <c r="F243" s="8"/>
      <c r="G243" s="8"/>
      <c r="H243" s="8"/>
    </row>
    <row r="244" spans="1:8">
      <c r="A244" s="6" t="s">
        <v>423</v>
      </c>
      <c r="B244" s="7" t="s">
        <v>5006</v>
      </c>
      <c r="C244" s="7" t="s">
        <v>5007</v>
      </c>
      <c r="D244" s="7" t="s">
        <v>5013</v>
      </c>
      <c r="E244" s="6" t="s">
        <v>5011</v>
      </c>
      <c r="F244" s="8"/>
      <c r="G244" s="8"/>
      <c r="H244" s="8"/>
    </row>
    <row r="245" spans="1:8">
      <c r="A245" s="6" t="s">
        <v>423</v>
      </c>
      <c r="B245" s="7" t="s">
        <v>5014</v>
      </c>
      <c r="C245" s="7" t="s">
        <v>5014</v>
      </c>
      <c r="D245" s="7" t="s">
        <v>5015</v>
      </c>
      <c r="E245" s="6" t="s">
        <v>5016</v>
      </c>
      <c r="F245" s="8"/>
      <c r="G245" s="8"/>
      <c r="H245" s="8"/>
    </row>
    <row r="246" spans="1:8">
      <c r="A246" s="6" t="s">
        <v>423</v>
      </c>
      <c r="B246" s="7" t="s">
        <v>395</v>
      </c>
      <c r="C246" s="7" t="s">
        <v>9</v>
      </c>
      <c r="D246" s="7" t="s">
        <v>5017</v>
      </c>
      <c r="E246" s="6" t="s">
        <v>5018</v>
      </c>
      <c r="F246" s="8"/>
      <c r="G246" s="8"/>
      <c r="H246" s="8"/>
    </row>
    <row r="247" spans="1:8">
      <c r="A247" s="6" t="s">
        <v>423</v>
      </c>
      <c r="B247" s="7" t="s">
        <v>2783</v>
      </c>
      <c r="C247" s="7" t="s">
        <v>9</v>
      </c>
      <c r="D247" s="7" t="s">
        <v>5019</v>
      </c>
      <c r="E247" s="6" t="s">
        <v>5020</v>
      </c>
      <c r="F247" s="8"/>
      <c r="G247" s="8"/>
      <c r="H247" s="8"/>
    </row>
    <row r="248" spans="1:8">
      <c r="A248" s="6" t="s">
        <v>423</v>
      </c>
      <c r="B248" s="7" t="s">
        <v>2783</v>
      </c>
      <c r="C248" s="7" t="s">
        <v>9</v>
      </c>
      <c r="D248" s="7" t="s">
        <v>5021</v>
      </c>
      <c r="E248" s="6" t="s">
        <v>5022</v>
      </c>
      <c r="F248" s="8"/>
      <c r="G248" s="8"/>
      <c r="H248" s="8"/>
    </row>
    <row r="249" spans="1:8">
      <c r="A249" s="6" t="s">
        <v>423</v>
      </c>
      <c r="B249" s="7" t="s">
        <v>2783</v>
      </c>
      <c r="C249" s="7" t="s">
        <v>9</v>
      </c>
      <c r="D249" s="7" t="s">
        <v>5023</v>
      </c>
      <c r="E249" s="6" t="s">
        <v>5024</v>
      </c>
      <c r="F249" s="8"/>
      <c r="G249" s="8"/>
      <c r="H249" s="8"/>
    </row>
    <row r="250" spans="1:8">
      <c r="A250" s="6" t="s">
        <v>423</v>
      </c>
      <c r="B250" s="7" t="s">
        <v>5025</v>
      </c>
      <c r="C250" s="7" t="s">
        <v>5025</v>
      </c>
      <c r="D250" s="7" t="s">
        <v>5026</v>
      </c>
      <c r="E250" s="6" t="s">
        <v>5027</v>
      </c>
      <c r="F250" s="8"/>
      <c r="G250" s="8"/>
      <c r="H250" s="8"/>
    </row>
    <row r="251" spans="1:8">
      <c r="A251" s="6" t="s">
        <v>423</v>
      </c>
      <c r="B251" s="7" t="s">
        <v>395</v>
      </c>
      <c r="C251" s="7" t="s">
        <v>9</v>
      </c>
      <c r="D251" s="7" t="s">
        <v>5028</v>
      </c>
      <c r="E251" s="6" t="s">
        <v>5029</v>
      </c>
      <c r="F251" s="8"/>
      <c r="G251" s="8"/>
      <c r="H251" s="8"/>
    </row>
    <row r="252" spans="1:8">
      <c r="A252" s="6" t="s">
        <v>423</v>
      </c>
      <c r="B252" s="7" t="s">
        <v>395</v>
      </c>
      <c r="C252" s="7" t="s">
        <v>9</v>
      </c>
      <c r="D252" s="7" t="s">
        <v>5030</v>
      </c>
      <c r="E252" s="6" t="s">
        <v>5031</v>
      </c>
      <c r="F252" s="8"/>
      <c r="G252" s="8"/>
      <c r="H252" s="8"/>
    </row>
    <row r="253" spans="1:8">
      <c r="A253" s="6" t="s">
        <v>423</v>
      </c>
      <c r="B253" s="7" t="s">
        <v>395</v>
      </c>
      <c r="C253" s="7" t="s">
        <v>9</v>
      </c>
      <c r="D253" s="7" t="s">
        <v>5032</v>
      </c>
      <c r="E253" s="6" t="s">
        <v>5033</v>
      </c>
      <c r="F253" s="8"/>
      <c r="G253" s="8"/>
      <c r="H253" s="8"/>
    </row>
    <row r="254" spans="1:8">
      <c r="A254" s="6" t="s">
        <v>423</v>
      </c>
      <c r="B254" s="7" t="s">
        <v>395</v>
      </c>
      <c r="C254" s="7" t="s">
        <v>9</v>
      </c>
      <c r="D254" s="7" t="s">
        <v>5034</v>
      </c>
      <c r="E254" s="6" t="s">
        <v>5035</v>
      </c>
      <c r="F254" s="8"/>
      <c r="G254" s="8"/>
      <c r="H254" s="8"/>
    </row>
    <row r="255" spans="1:8">
      <c r="A255" s="6" t="s">
        <v>423</v>
      </c>
      <c r="B255" s="7" t="s">
        <v>395</v>
      </c>
      <c r="C255" s="7" t="s">
        <v>9</v>
      </c>
      <c r="D255" s="7" t="s">
        <v>5036</v>
      </c>
      <c r="E255" s="6" t="s">
        <v>5037</v>
      </c>
      <c r="F255" s="8"/>
      <c r="G255" s="8"/>
      <c r="H255" s="8"/>
    </row>
    <row r="256" spans="1:8">
      <c r="A256" s="6" t="s">
        <v>423</v>
      </c>
      <c r="B256" s="7" t="s">
        <v>395</v>
      </c>
      <c r="C256" s="7" t="s">
        <v>9</v>
      </c>
      <c r="D256" s="7" t="s">
        <v>5038</v>
      </c>
      <c r="E256" s="6" t="s">
        <v>5039</v>
      </c>
      <c r="F256" s="8"/>
      <c r="G256" s="8"/>
      <c r="H256" s="8"/>
    </row>
    <row r="257" spans="1:8">
      <c r="A257" s="6" t="s">
        <v>423</v>
      </c>
      <c r="B257" s="7" t="s">
        <v>395</v>
      </c>
      <c r="C257" s="7" t="s">
        <v>5040</v>
      </c>
      <c r="D257" s="7" t="s">
        <v>5041</v>
      </c>
      <c r="E257" s="6" t="s">
        <v>5042</v>
      </c>
      <c r="F257" s="8"/>
      <c r="G257" s="8"/>
      <c r="H257" s="8"/>
    </row>
    <row r="258" spans="1:8">
      <c r="A258" s="6" t="s">
        <v>423</v>
      </c>
      <c r="B258" s="7" t="s">
        <v>395</v>
      </c>
      <c r="C258" s="7" t="s">
        <v>9</v>
      </c>
      <c r="D258" s="7" t="s">
        <v>5043</v>
      </c>
      <c r="E258" s="6" t="s">
        <v>5044</v>
      </c>
      <c r="F258" s="8"/>
      <c r="G258" s="8"/>
      <c r="H258" s="8"/>
    </row>
    <row r="259" spans="1:8">
      <c r="A259" s="6" t="s">
        <v>423</v>
      </c>
      <c r="B259" s="7" t="s">
        <v>395</v>
      </c>
      <c r="C259" s="7" t="s">
        <v>202</v>
      </c>
      <c r="D259" s="7" t="s">
        <v>5045</v>
      </c>
      <c r="E259" s="6" t="s">
        <v>5046</v>
      </c>
      <c r="F259" s="8"/>
      <c r="G259" s="8"/>
      <c r="H259" s="8"/>
    </row>
    <row r="260" spans="1:8">
      <c r="A260" s="6" t="s">
        <v>423</v>
      </c>
      <c r="B260" s="7" t="s">
        <v>395</v>
      </c>
      <c r="C260" s="7" t="s">
        <v>202</v>
      </c>
      <c r="D260" s="7" t="s">
        <v>5047</v>
      </c>
      <c r="E260" s="6" t="s">
        <v>5048</v>
      </c>
      <c r="F260" s="8"/>
      <c r="G260" s="8"/>
      <c r="H260" s="8"/>
    </row>
    <row r="261" spans="1:8">
      <c r="A261" s="6" t="s">
        <v>423</v>
      </c>
      <c r="B261" s="7" t="s">
        <v>395</v>
      </c>
      <c r="C261" s="7" t="s">
        <v>202</v>
      </c>
      <c r="D261" s="7" t="s">
        <v>5049</v>
      </c>
      <c r="E261" s="6" t="s">
        <v>5050</v>
      </c>
      <c r="F261" s="8"/>
      <c r="G261" s="8"/>
      <c r="H261" s="8"/>
    </row>
    <row r="262" spans="1:8">
      <c r="A262" s="6" t="s">
        <v>423</v>
      </c>
      <c r="B262" s="7" t="s">
        <v>5051</v>
      </c>
      <c r="C262" s="7" t="s">
        <v>5051</v>
      </c>
      <c r="D262" s="7" t="s">
        <v>5052</v>
      </c>
      <c r="E262" s="6" t="s">
        <v>5053</v>
      </c>
      <c r="F262" s="8"/>
      <c r="G262" s="8"/>
      <c r="H262" s="8"/>
    </row>
    <row r="263" spans="1:8">
      <c r="A263" s="6" t="s">
        <v>534</v>
      </c>
      <c r="B263" s="7" t="s">
        <v>149</v>
      </c>
      <c r="C263" s="7" t="s">
        <v>108</v>
      </c>
      <c r="D263" s="7" t="s">
        <v>535</v>
      </c>
      <c r="E263" s="6" t="s">
        <v>536</v>
      </c>
      <c r="F263" s="8" t="s">
        <v>6939</v>
      </c>
      <c r="G263" s="8" t="s">
        <v>6929</v>
      </c>
      <c r="H263" s="8" t="s">
        <v>6927</v>
      </c>
    </row>
    <row r="264" spans="1:8">
      <c r="A264" s="6" t="s">
        <v>534</v>
      </c>
      <c r="B264" s="7" t="s">
        <v>1057</v>
      </c>
      <c r="C264" s="7" t="s">
        <v>108</v>
      </c>
      <c r="D264" s="7" t="s">
        <v>5796</v>
      </c>
      <c r="E264" s="6" t="s">
        <v>5797</v>
      </c>
      <c r="F264" s="8" t="s">
        <v>7078</v>
      </c>
      <c r="G264" s="8" t="s">
        <v>6929</v>
      </c>
      <c r="H264" s="8" t="s">
        <v>6967</v>
      </c>
    </row>
    <row r="265" spans="1:8">
      <c r="A265" s="6" t="s">
        <v>534</v>
      </c>
      <c r="B265" s="7" t="s">
        <v>1057</v>
      </c>
      <c r="C265" s="7" t="s">
        <v>108</v>
      </c>
      <c r="D265" s="7" t="s">
        <v>5798</v>
      </c>
      <c r="E265" s="6" t="s">
        <v>5799</v>
      </c>
      <c r="F265" s="8"/>
      <c r="G265" s="8"/>
      <c r="H265" s="8"/>
    </row>
    <row r="266" spans="1:8">
      <c r="A266" s="6" t="s">
        <v>534</v>
      </c>
      <c r="B266" s="7" t="s">
        <v>149</v>
      </c>
      <c r="C266" s="7" t="s">
        <v>108</v>
      </c>
      <c r="D266" s="7" t="s">
        <v>5800</v>
      </c>
      <c r="E266" s="6" t="s">
        <v>5801</v>
      </c>
      <c r="F266" s="8"/>
      <c r="G266" s="8"/>
      <c r="H266" s="8"/>
    </row>
    <row r="267" spans="1:8">
      <c r="A267" s="6" t="s">
        <v>534</v>
      </c>
      <c r="B267" s="7" t="s">
        <v>108</v>
      </c>
      <c r="C267" s="7" t="s">
        <v>108</v>
      </c>
      <c r="D267" s="7" t="s">
        <v>5802</v>
      </c>
      <c r="E267" s="6" t="s">
        <v>5803</v>
      </c>
      <c r="F267" s="8"/>
      <c r="G267" s="8"/>
      <c r="H267" s="8"/>
    </row>
    <row r="268" spans="1:8">
      <c r="A268" s="6" t="s">
        <v>534</v>
      </c>
      <c r="B268" s="7" t="s">
        <v>227</v>
      </c>
      <c r="C268" s="7" t="s">
        <v>227</v>
      </c>
      <c r="D268" s="7" t="s">
        <v>5804</v>
      </c>
      <c r="E268" s="6" t="s">
        <v>5805</v>
      </c>
      <c r="F268" s="8"/>
      <c r="G268" s="8"/>
      <c r="H268" s="8"/>
    </row>
    <row r="269" spans="1:8">
      <c r="A269" s="6" t="s">
        <v>534</v>
      </c>
      <c r="B269" s="7" t="s">
        <v>227</v>
      </c>
      <c r="C269" s="7" t="s">
        <v>227</v>
      </c>
      <c r="D269" s="7" t="s">
        <v>5806</v>
      </c>
      <c r="E269" s="6" t="s">
        <v>5807</v>
      </c>
      <c r="F269" s="8" t="s">
        <v>6939</v>
      </c>
      <c r="G269" s="8" t="s">
        <v>6929</v>
      </c>
      <c r="H269" s="8" t="s">
        <v>7026</v>
      </c>
    </row>
    <row r="270" spans="1:8">
      <c r="A270" s="6" t="s">
        <v>401</v>
      </c>
      <c r="B270" s="7" t="s">
        <v>402</v>
      </c>
      <c r="C270" s="7" t="s">
        <v>402</v>
      </c>
      <c r="D270" s="7" t="s">
        <v>403</v>
      </c>
      <c r="E270" s="6" t="s">
        <v>404</v>
      </c>
      <c r="F270" s="8" t="s">
        <v>6931</v>
      </c>
      <c r="G270" s="8" t="s">
        <v>6953</v>
      </c>
      <c r="H270" s="8" t="s">
        <v>7068</v>
      </c>
    </row>
    <row r="271" spans="1:8">
      <c r="A271" s="6" t="s">
        <v>401</v>
      </c>
      <c r="B271" s="7" t="s">
        <v>414</v>
      </c>
      <c r="C271" s="7" t="s">
        <v>414</v>
      </c>
      <c r="D271" s="7" t="s">
        <v>415</v>
      </c>
      <c r="E271" s="6" t="s">
        <v>416</v>
      </c>
      <c r="F271" s="8" t="s">
        <v>6982</v>
      </c>
      <c r="G271" s="8" t="s">
        <v>7056</v>
      </c>
      <c r="H271" s="8" t="s">
        <v>7079</v>
      </c>
    </row>
    <row r="272" spans="1:8">
      <c r="A272" s="6" t="s">
        <v>401</v>
      </c>
      <c r="B272" s="7" t="s">
        <v>414</v>
      </c>
      <c r="C272" s="7" t="s">
        <v>414</v>
      </c>
      <c r="D272" s="7" t="s">
        <v>2921</v>
      </c>
      <c r="E272" s="6" t="s">
        <v>2922</v>
      </c>
      <c r="F272" s="8" t="s">
        <v>6982</v>
      </c>
      <c r="G272" s="8" t="s">
        <v>7056</v>
      </c>
      <c r="H272" s="8" t="s">
        <v>7079</v>
      </c>
    </row>
    <row r="273" spans="1:8">
      <c r="A273" s="6" t="s">
        <v>401</v>
      </c>
      <c r="B273" s="7" t="s">
        <v>414</v>
      </c>
      <c r="C273" s="7" t="s">
        <v>414</v>
      </c>
      <c r="D273" s="7" t="s">
        <v>2924</v>
      </c>
      <c r="E273" s="6" t="s">
        <v>2925</v>
      </c>
      <c r="F273" s="8" t="s">
        <v>6982</v>
      </c>
      <c r="G273" s="8" t="s">
        <v>7056</v>
      </c>
      <c r="H273" s="8" t="s">
        <v>7079</v>
      </c>
    </row>
    <row r="274" spans="1:8">
      <c r="A274" s="6" t="s">
        <v>401</v>
      </c>
      <c r="B274" s="7" t="s">
        <v>414</v>
      </c>
      <c r="C274" s="7" t="s">
        <v>414</v>
      </c>
      <c r="D274" s="7" t="s">
        <v>2926</v>
      </c>
      <c r="E274" s="6" t="s">
        <v>2927</v>
      </c>
      <c r="F274" s="8" t="s">
        <v>6982</v>
      </c>
      <c r="G274" s="8" t="s">
        <v>7056</v>
      </c>
      <c r="H274" s="8" t="s">
        <v>7079</v>
      </c>
    </row>
    <row r="275" spans="1:8">
      <c r="A275" s="6" t="s">
        <v>401</v>
      </c>
      <c r="B275" s="7" t="s">
        <v>414</v>
      </c>
      <c r="C275" s="7" t="s">
        <v>414</v>
      </c>
      <c r="D275" s="7" t="s">
        <v>2928</v>
      </c>
      <c r="E275" s="6" t="s">
        <v>2929</v>
      </c>
      <c r="F275" s="8" t="s">
        <v>6982</v>
      </c>
      <c r="G275" s="8" t="s">
        <v>7056</v>
      </c>
      <c r="H275" s="8" t="s">
        <v>7079</v>
      </c>
    </row>
    <row r="276" spans="1:8">
      <c r="A276" s="6" t="s">
        <v>401</v>
      </c>
      <c r="B276" s="7" t="s">
        <v>414</v>
      </c>
      <c r="C276" s="7" t="s">
        <v>414</v>
      </c>
      <c r="D276" s="7" t="s">
        <v>2930</v>
      </c>
      <c r="E276" s="6" t="s">
        <v>2931</v>
      </c>
      <c r="F276" s="8" t="s">
        <v>6982</v>
      </c>
      <c r="G276" s="8" t="s">
        <v>7056</v>
      </c>
      <c r="H276" s="8" t="s">
        <v>7079</v>
      </c>
    </row>
    <row r="277" spans="1:8">
      <c r="A277" s="6" t="s">
        <v>401</v>
      </c>
      <c r="B277" s="7" t="s">
        <v>414</v>
      </c>
      <c r="C277" s="7" t="s">
        <v>414</v>
      </c>
      <c r="D277" s="7" t="s">
        <v>2932</v>
      </c>
      <c r="E277" s="6" t="s">
        <v>2933</v>
      </c>
      <c r="F277" s="8" t="s">
        <v>6982</v>
      </c>
      <c r="G277" s="8" t="s">
        <v>7056</v>
      </c>
      <c r="H277" s="8" t="s">
        <v>7079</v>
      </c>
    </row>
    <row r="278" spans="1:8">
      <c r="A278" s="6" t="s">
        <v>401</v>
      </c>
      <c r="B278" s="7" t="s">
        <v>78</v>
      </c>
      <c r="C278" s="7" t="s">
        <v>2934</v>
      </c>
      <c r="D278" s="7" t="s">
        <v>2935</v>
      </c>
      <c r="E278" s="6" t="s">
        <v>2936</v>
      </c>
      <c r="F278" s="8"/>
      <c r="G278" s="8"/>
      <c r="H278" s="8"/>
    </row>
    <row r="279" spans="1:8">
      <c r="A279" s="6" t="s">
        <v>401</v>
      </c>
      <c r="B279" s="7" t="s">
        <v>2538</v>
      </c>
      <c r="C279" s="7" t="s">
        <v>2934</v>
      </c>
      <c r="D279" s="7" t="s">
        <v>2937</v>
      </c>
      <c r="E279" s="6" t="s">
        <v>2938</v>
      </c>
      <c r="F279" s="8"/>
      <c r="G279" s="8"/>
      <c r="H279" s="8"/>
    </row>
    <row r="280" spans="1:8">
      <c r="A280" s="6" t="s">
        <v>401</v>
      </c>
      <c r="B280" s="7" t="s">
        <v>116</v>
      </c>
      <c r="C280" s="7" t="s">
        <v>2934</v>
      </c>
      <c r="D280" s="7" t="s">
        <v>2939</v>
      </c>
      <c r="E280" s="6" t="s">
        <v>2940</v>
      </c>
      <c r="F280" s="8"/>
      <c r="G280" s="8"/>
      <c r="H280" s="8"/>
    </row>
    <row r="281" spans="1:8">
      <c r="A281" s="6" t="s">
        <v>401</v>
      </c>
      <c r="B281" s="7" t="s">
        <v>116</v>
      </c>
      <c r="C281" s="7" t="s">
        <v>2934</v>
      </c>
      <c r="D281" s="7" t="s">
        <v>2941</v>
      </c>
      <c r="E281" s="6" t="s">
        <v>2942</v>
      </c>
      <c r="F281" s="8"/>
      <c r="G281" s="8"/>
      <c r="H281" s="8"/>
    </row>
    <row r="282" spans="1:8">
      <c r="A282" s="6" t="s">
        <v>401</v>
      </c>
      <c r="B282" s="7" t="s">
        <v>78</v>
      </c>
      <c r="C282" s="7" t="s">
        <v>2934</v>
      </c>
      <c r="D282" s="7" t="s">
        <v>2943</v>
      </c>
      <c r="E282" s="6" t="s">
        <v>2944</v>
      </c>
      <c r="F282" s="8"/>
      <c r="G282" s="8"/>
      <c r="H282" s="8"/>
    </row>
    <row r="283" spans="1:8">
      <c r="A283" s="6" t="s">
        <v>401</v>
      </c>
      <c r="B283" s="7" t="s">
        <v>116</v>
      </c>
      <c r="C283" s="7" t="s">
        <v>2934</v>
      </c>
      <c r="D283" s="7" t="s">
        <v>2945</v>
      </c>
      <c r="E283" s="6" t="s">
        <v>2946</v>
      </c>
      <c r="F283" s="8" t="s">
        <v>6931</v>
      </c>
      <c r="G283" s="8" t="s">
        <v>6929</v>
      </c>
      <c r="H283" s="8" t="s">
        <v>7068</v>
      </c>
    </row>
    <row r="284" spans="1:8">
      <c r="A284" s="6" t="s">
        <v>401</v>
      </c>
      <c r="B284" s="7" t="s">
        <v>78</v>
      </c>
      <c r="C284" s="7" t="s">
        <v>2934</v>
      </c>
      <c r="D284" s="7" t="s">
        <v>2947</v>
      </c>
      <c r="E284" s="6" t="s">
        <v>2948</v>
      </c>
      <c r="F284" s="8"/>
      <c r="G284" s="8"/>
      <c r="H284" s="8"/>
    </row>
    <row r="285" spans="1:8">
      <c r="A285" s="6" t="s">
        <v>401</v>
      </c>
      <c r="B285" s="7" t="s">
        <v>2934</v>
      </c>
      <c r="C285" s="7" t="s">
        <v>2934</v>
      </c>
      <c r="D285" s="7" t="s">
        <v>2949</v>
      </c>
      <c r="E285" s="6" t="s">
        <v>2950</v>
      </c>
      <c r="F285" s="8"/>
      <c r="G285" s="8"/>
      <c r="H285" s="8"/>
    </row>
    <row r="286" spans="1:8">
      <c r="A286" s="6" t="s">
        <v>401</v>
      </c>
      <c r="B286" s="7" t="s">
        <v>116</v>
      </c>
      <c r="C286" s="7" t="s">
        <v>2934</v>
      </c>
      <c r="D286" s="7" t="s">
        <v>2951</v>
      </c>
      <c r="E286" s="6" t="s">
        <v>2952</v>
      </c>
      <c r="F286" s="8"/>
      <c r="G286" s="8"/>
      <c r="H286" s="8"/>
    </row>
    <row r="287" spans="1:8">
      <c r="A287" s="6" t="s">
        <v>401</v>
      </c>
      <c r="B287" s="7" t="s">
        <v>2953</v>
      </c>
      <c r="C287" s="7" t="s">
        <v>2934</v>
      </c>
      <c r="D287" s="7" t="s">
        <v>2954</v>
      </c>
      <c r="E287" s="6" t="s">
        <v>2955</v>
      </c>
      <c r="F287" s="8"/>
      <c r="G287" s="8"/>
      <c r="H287" s="8"/>
    </row>
    <row r="288" spans="1:8">
      <c r="A288" s="6" t="s">
        <v>401</v>
      </c>
      <c r="B288" s="7" t="s">
        <v>2956</v>
      </c>
      <c r="C288" s="7" t="s">
        <v>2934</v>
      </c>
      <c r="D288" s="7" t="s">
        <v>2957</v>
      </c>
      <c r="E288" s="6" t="s">
        <v>2958</v>
      </c>
      <c r="F288" s="8"/>
      <c r="G288" s="8"/>
      <c r="H288" s="8"/>
    </row>
    <row r="289" spans="1:8">
      <c r="A289" s="6" t="s">
        <v>401</v>
      </c>
      <c r="B289" s="7" t="s">
        <v>2956</v>
      </c>
      <c r="C289" s="7" t="s">
        <v>2934</v>
      </c>
      <c r="D289" s="7" t="s">
        <v>2959</v>
      </c>
      <c r="E289" s="6" t="s">
        <v>2960</v>
      </c>
      <c r="F289" s="8"/>
      <c r="G289" s="8"/>
      <c r="H289" s="8"/>
    </row>
    <row r="290" spans="1:8">
      <c r="A290" s="6" t="s">
        <v>3934</v>
      </c>
      <c r="B290" s="7" t="s">
        <v>3935</v>
      </c>
      <c r="C290" s="7" t="s">
        <v>606</v>
      </c>
      <c r="D290" s="7" t="s">
        <v>3936</v>
      </c>
      <c r="E290" s="6" t="s">
        <v>3937</v>
      </c>
      <c r="F290" s="8"/>
      <c r="G290" s="8"/>
      <c r="H290" s="8"/>
    </row>
    <row r="291" spans="1:8">
      <c r="A291" s="6" t="s">
        <v>3934</v>
      </c>
      <c r="B291" s="7" t="s">
        <v>3938</v>
      </c>
      <c r="C291" s="7" t="s">
        <v>3939</v>
      </c>
      <c r="D291" s="7" t="s">
        <v>3940</v>
      </c>
      <c r="E291" s="6" t="s">
        <v>3941</v>
      </c>
      <c r="F291" s="8"/>
      <c r="G291" s="8"/>
      <c r="H291" s="8"/>
    </row>
    <row r="292" spans="1:8">
      <c r="A292" s="6" t="s">
        <v>599</v>
      </c>
      <c r="B292" s="7" t="s">
        <v>600</v>
      </c>
      <c r="C292" s="7" t="s">
        <v>600</v>
      </c>
      <c r="D292" s="7" t="s">
        <v>601</v>
      </c>
      <c r="E292" s="6" t="s">
        <v>602</v>
      </c>
      <c r="F292" s="8" t="s">
        <v>6982</v>
      </c>
      <c r="G292" s="8" t="s">
        <v>6961</v>
      </c>
      <c r="H292" s="8" t="s">
        <v>7082</v>
      </c>
    </row>
    <row r="293" spans="1:8">
      <c r="A293" s="6" t="s">
        <v>599</v>
      </c>
      <c r="B293" s="7" t="s">
        <v>1292</v>
      </c>
      <c r="C293" s="7" t="s">
        <v>1293</v>
      </c>
      <c r="D293" s="7" t="s">
        <v>1294</v>
      </c>
      <c r="E293" s="6" t="s">
        <v>1295</v>
      </c>
      <c r="F293" s="8"/>
      <c r="G293" s="8"/>
      <c r="H293" s="8"/>
    </row>
    <row r="294" spans="1:8">
      <c r="A294" s="6" t="s">
        <v>599</v>
      </c>
      <c r="B294" s="7" t="s">
        <v>2512</v>
      </c>
      <c r="C294" s="7" t="s">
        <v>2513</v>
      </c>
      <c r="D294" s="7" t="s">
        <v>2514</v>
      </c>
      <c r="E294" s="6" t="s">
        <v>2515</v>
      </c>
      <c r="F294" s="8"/>
      <c r="G294" s="8"/>
      <c r="H294" s="8"/>
    </row>
    <row r="295" spans="1:8">
      <c r="A295" s="6" t="s">
        <v>599</v>
      </c>
      <c r="B295" s="7" t="s">
        <v>2516</v>
      </c>
      <c r="C295" s="7" t="s">
        <v>2516</v>
      </c>
      <c r="D295" s="7" t="s">
        <v>2517</v>
      </c>
      <c r="E295" s="6" t="s">
        <v>2518</v>
      </c>
      <c r="F295" s="8"/>
      <c r="G295" s="8"/>
      <c r="H295" s="8"/>
    </row>
    <row r="296" spans="1:8">
      <c r="A296" s="6" t="s">
        <v>599</v>
      </c>
      <c r="B296" s="7" t="s">
        <v>2519</v>
      </c>
      <c r="C296" s="7" t="s">
        <v>2520</v>
      </c>
      <c r="D296" s="7" t="s">
        <v>2521</v>
      </c>
      <c r="E296" s="6" t="s">
        <v>2522</v>
      </c>
      <c r="F296" s="8" t="s">
        <v>6944</v>
      </c>
      <c r="G296" s="8" t="s">
        <v>6929</v>
      </c>
      <c r="H296" s="8" t="s">
        <v>7084</v>
      </c>
    </row>
    <row r="297" spans="1:8">
      <c r="A297" s="6" t="s">
        <v>599</v>
      </c>
      <c r="B297" s="7" t="s">
        <v>2523</v>
      </c>
      <c r="C297" s="7" t="s">
        <v>2524</v>
      </c>
      <c r="D297" s="7" t="s">
        <v>2525</v>
      </c>
      <c r="E297" s="6" t="s">
        <v>2526</v>
      </c>
      <c r="F297" s="8"/>
      <c r="G297" s="8"/>
      <c r="H297" s="8"/>
    </row>
    <row r="298" spans="1:8">
      <c r="A298" s="6" t="s">
        <v>599</v>
      </c>
      <c r="B298" s="7" t="s">
        <v>2527</v>
      </c>
      <c r="C298" s="7" t="s">
        <v>2527</v>
      </c>
      <c r="D298" s="7" t="s">
        <v>2528</v>
      </c>
      <c r="E298" s="6" t="s">
        <v>2529</v>
      </c>
      <c r="F298" s="8" t="s">
        <v>6934</v>
      </c>
      <c r="G298" s="8" t="s">
        <v>6953</v>
      </c>
      <c r="H298" s="8" t="s">
        <v>7019</v>
      </c>
    </row>
    <row r="299" spans="1:8">
      <c r="A299" s="6" t="s">
        <v>599</v>
      </c>
      <c r="B299" s="7" t="s">
        <v>2530</v>
      </c>
      <c r="C299" s="7" t="s">
        <v>2530</v>
      </c>
      <c r="D299" s="7" t="s">
        <v>2531</v>
      </c>
      <c r="E299" s="6" t="s">
        <v>2532</v>
      </c>
      <c r="F299" s="8"/>
      <c r="G299" s="8"/>
      <c r="H299" s="8"/>
    </row>
    <row r="300" spans="1:8">
      <c r="A300" s="6" t="s">
        <v>599</v>
      </c>
      <c r="B300" s="7" t="s">
        <v>2527</v>
      </c>
      <c r="C300" s="7" t="s">
        <v>2527</v>
      </c>
      <c r="D300" s="7" t="s">
        <v>2533</v>
      </c>
      <c r="E300" s="6" t="s">
        <v>2188</v>
      </c>
      <c r="F300" s="8" t="s">
        <v>6934</v>
      </c>
      <c r="G300" s="8" t="s">
        <v>6953</v>
      </c>
      <c r="H300" s="8" t="s">
        <v>7019</v>
      </c>
    </row>
    <row r="301" spans="1:8">
      <c r="A301" s="6" t="s">
        <v>599</v>
      </c>
      <c r="B301" s="7" t="s">
        <v>2516</v>
      </c>
      <c r="C301" s="7" t="s">
        <v>2516</v>
      </c>
      <c r="D301" s="7" t="s">
        <v>2534</v>
      </c>
      <c r="E301" s="6" t="s">
        <v>2535</v>
      </c>
      <c r="F301" s="8"/>
      <c r="G301" s="8"/>
      <c r="H301" s="8"/>
    </row>
    <row r="302" spans="1:8">
      <c r="A302" s="6" t="s">
        <v>599</v>
      </c>
      <c r="B302" s="7" t="s">
        <v>2516</v>
      </c>
      <c r="C302" s="7" t="s">
        <v>2516</v>
      </c>
      <c r="D302" s="7" t="s">
        <v>2536</v>
      </c>
      <c r="E302" s="6" t="s">
        <v>2537</v>
      </c>
      <c r="F302" s="8"/>
      <c r="G302" s="8"/>
      <c r="H302" s="8"/>
    </row>
    <row r="303" spans="1:8">
      <c r="A303" s="6" t="s">
        <v>599</v>
      </c>
      <c r="B303" s="7" t="s">
        <v>2530</v>
      </c>
      <c r="C303" s="7" t="s">
        <v>2538</v>
      </c>
      <c r="D303" s="7" t="s">
        <v>2539</v>
      </c>
      <c r="E303" s="6" t="s">
        <v>2540</v>
      </c>
      <c r="F303" s="8"/>
      <c r="G303" s="8"/>
      <c r="H303" s="8"/>
    </row>
    <row r="304" spans="1:8">
      <c r="A304" s="6" t="s">
        <v>599</v>
      </c>
      <c r="B304" s="7" t="s">
        <v>2530</v>
      </c>
      <c r="C304" s="7" t="s">
        <v>2530</v>
      </c>
      <c r="D304" s="7" t="s">
        <v>2541</v>
      </c>
      <c r="E304" s="6" t="s">
        <v>2542</v>
      </c>
      <c r="F304" s="8" t="s">
        <v>7067</v>
      </c>
      <c r="G304" s="8" t="s">
        <v>6929</v>
      </c>
      <c r="H304" s="8" t="s">
        <v>6951</v>
      </c>
    </row>
    <row r="305" spans="1:8">
      <c r="A305" s="6" t="s">
        <v>599</v>
      </c>
      <c r="B305" s="7" t="s">
        <v>2530</v>
      </c>
      <c r="C305" s="7" t="s">
        <v>2530</v>
      </c>
      <c r="D305" s="7" t="s">
        <v>2543</v>
      </c>
      <c r="E305" s="6" t="s">
        <v>2544</v>
      </c>
      <c r="F305" s="8"/>
      <c r="G305" s="8"/>
      <c r="H305" s="8"/>
    </row>
    <row r="306" spans="1:8">
      <c r="A306" s="6" t="s">
        <v>599</v>
      </c>
      <c r="B306" s="7" t="s">
        <v>2545</v>
      </c>
      <c r="C306" s="7" t="s">
        <v>2545</v>
      </c>
      <c r="D306" s="7" t="s">
        <v>2546</v>
      </c>
      <c r="E306" s="6" t="s">
        <v>2547</v>
      </c>
      <c r="F306" s="8" t="s">
        <v>6982</v>
      </c>
      <c r="G306" s="8" t="s">
        <v>6961</v>
      </c>
      <c r="H306" s="8" t="s">
        <v>7085</v>
      </c>
    </row>
    <row r="307" spans="1:8">
      <c r="A307" s="6" t="s">
        <v>599</v>
      </c>
      <c r="B307" s="7" t="s">
        <v>2545</v>
      </c>
      <c r="C307" s="7" t="s">
        <v>2545</v>
      </c>
      <c r="D307" s="7" t="s">
        <v>2548</v>
      </c>
      <c r="E307" s="6" t="s">
        <v>2547</v>
      </c>
      <c r="F307" s="8" t="s">
        <v>6982</v>
      </c>
      <c r="G307" s="8" t="s">
        <v>6961</v>
      </c>
      <c r="H307" s="8" t="s">
        <v>7085</v>
      </c>
    </row>
    <row r="308" spans="1:8">
      <c r="A308" s="6" t="s">
        <v>599</v>
      </c>
      <c r="B308" s="7" t="s">
        <v>2530</v>
      </c>
      <c r="C308" s="7" t="s">
        <v>2530</v>
      </c>
      <c r="D308" s="7" t="s">
        <v>2549</v>
      </c>
      <c r="E308" s="6" t="s">
        <v>2550</v>
      </c>
      <c r="F308" s="8"/>
      <c r="G308" s="8"/>
      <c r="H308" s="8"/>
    </row>
    <row r="309" spans="1:8">
      <c r="A309" s="6" t="s">
        <v>599</v>
      </c>
      <c r="B309" s="7" t="s">
        <v>2551</v>
      </c>
      <c r="C309" s="7" t="s">
        <v>2551</v>
      </c>
      <c r="D309" s="7" t="s">
        <v>2552</v>
      </c>
      <c r="E309" s="6" t="s">
        <v>2553</v>
      </c>
      <c r="F309" s="8" t="s">
        <v>6943</v>
      </c>
      <c r="G309" s="8" t="s">
        <v>6929</v>
      </c>
      <c r="H309" s="8" t="s">
        <v>7081</v>
      </c>
    </row>
    <row r="310" spans="1:8">
      <c r="A310" s="6" t="s">
        <v>599</v>
      </c>
      <c r="B310" s="7" t="s">
        <v>2551</v>
      </c>
      <c r="C310" s="7" t="s">
        <v>2551</v>
      </c>
      <c r="D310" s="7" t="s">
        <v>2554</v>
      </c>
      <c r="E310" s="6" t="s">
        <v>2555</v>
      </c>
      <c r="F310" s="8" t="s">
        <v>6943</v>
      </c>
      <c r="G310" s="8" t="s">
        <v>6929</v>
      </c>
      <c r="H310" s="8" t="s">
        <v>7081</v>
      </c>
    </row>
    <row r="311" spans="1:8">
      <c r="A311" s="6" t="s">
        <v>599</v>
      </c>
      <c r="B311" s="7" t="s">
        <v>2551</v>
      </c>
      <c r="C311" s="7" t="s">
        <v>2551</v>
      </c>
      <c r="D311" s="7" t="s">
        <v>2556</v>
      </c>
      <c r="E311" s="6" t="s">
        <v>2557</v>
      </c>
      <c r="F311" s="8" t="s">
        <v>6943</v>
      </c>
      <c r="G311" s="8" t="s">
        <v>6929</v>
      </c>
      <c r="H311" s="8" t="s">
        <v>7081</v>
      </c>
    </row>
    <row r="312" spans="1:8">
      <c r="A312" s="6" t="s">
        <v>599</v>
      </c>
      <c r="B312" s="7" t="s">
        <v>2551</v>
      </c>
      <c r="C312" s="7" t="s">
        <v>2551</v>
      </c>
      <c r="D312" s="7" t="s">
        <v>2558</v>
      </c>
      <c r="E312" s="6" t="s">
        <v>2218</v>
      </c>
      <c r="F312" s="8" t="s">
        <v>6943</v>
      </c>
      <c r="G312" s="8" t="s">
        <v>6929</v>
      </c>
      <c r="H312" s="8" t="s">
        <v>7081</v>
      </c>
    </row>
    <row r="313" spans="1:8">
      <c r="A313" s="6" t="s">
        <v>599</v>
      </c>
      <c r="B313" s="7" t="s">
        <v>2551</v>
      </c>
      <c r="C313" s="7" t="s">
        <v>2560</v>
      </c>
      <c r="D313" s="7" t="s">
        <v>2561</v>
      </c>
      <c r="E313" s="6" t="s">
        <v>2562</v>
      </c>
      <c r="F313" s="8"/>
      <c r="G313" s="8"/>
      <c r="H313" s="8"/>
    </row>
    <row r="314" spans="1:8">
      <c r="A314" s="6" t="s">
        <v>599</v>
      </c>
      <c r="B314" s="7" t="s">
        <v>2551</v>
      </c>
      <c r="C314" s="7" t="s">
        <v>2551</v>
      </c>
      <c r="D314" s="7" t="s">
        <v>2563</v>
      </c>
      <c r="E314" s="6" t="s">
        <v>2564</v>
      </c>
      <c r="F314" s="8" t="s">
        <v>6943</v>
      </c>
      <c r="G314" s="8" t="s">
        <v>6929</v>
      </c>
      <c r="H314" s="8" t="s">
        <v>7081</v>
      </c>
    </row>
    <row r="315" spans="1:8">
      <c r="A315" s="6" t="s">
        <v>599</v>
      </c>
      <c r="B315" s="7" t="s">
        <v>2516</v>
      </c>
      <c r="C315" s="7" t="s">
        <v>2516</v>
      </c>
      <c r="D315" s="7" t="s">
        <v>2565</v>
      </c>
      <c r="E315" s="6" t="s">
        <v>2566</v>
      </c>
      <c r="F315" s="8"/>
      <c r="G315" s="8"/>
      <c r="H315" s="8"/>
    </row>
    <row r="316" spans="1:8">
      <c r="A316" s="6" t="s">
        <v>599</v>
      </c>
      <c r="B316" s="7" t="s">
        <v>2551</v>
      </c>
      <c r="C316" s="7" t="s">
        <v>2551</v>
      </c>
      <c r="D316" s="7" t="s">
        <v>2567</v>
      </c>
      <c r="E316" s="6" t="s">
        <v>801</v>
      </c>
      <c r="F316" s="8" t="s">
        <v>6943</v>
      </c>
      <c r="G316" s="8" t="s">
        <v>6929</v>
      </c>
      <c r="H316" s="8" t="s">
        <v>7081</v>
      </c>
    </row>
    <row r="317" spans="1:8">
      <c r="A317" s="6" t="s">
        <v>599</v>
      </c>
      <c r="B317" s="7" t="s">
        <v>2551</v>
      </c>
      <c r="C317" s="7" t="s">
        <v>2551</v>
      </c>
      <c r="D317" s="7" t="s">
        <v>2568</v>
      </c>
      <c r="E317" s="6" t="s">
        <v>2569</v>
      </c>
      <c r="F317" s="8" t="s">
        <v>6943</v>
      </c>
      <c r="G317" s="8" t="s">
        <v>6929</v>
      </c>
      <c r="H317" s="8" t="s">
        <v>7081</v>
      </c>
    </row>
    <row r="318" spans="1:8">
      <c r="A318" s="6" t="s">
        <v>599</v>
      </c>
      <c r="B318" s="7" t="s">
        <v>2527</v>
      </c>
      <c r="C318" s="7" t="s">
        <v>2516</v>
      </c>
      <c r="D318" s="7" t="s">
        <v>2570</v>
      </c>
      <c r="E318" s="6" t="s">
        <v>2571</v>
      </c>
      <c r="F318" s="8"/>
      <c r="G318" s="8"/>
      <c r="H318" s="8"/>
    </row>
    <row r="319" spans="1:8">
      <c r="A319" s="6" t="s">
        <v>599</v>
      </c>
      <c r="B319" s="7" t="s">
        <v>2551</v>
      </c>
      <c r="C319" s="7" t="s">
        <v>2551</v>
      </c>
      <c r="D319" s="7" t="s">
        <v>2572</v>
      </c>
      <c r="E319" s="6" t="s">
        <v>2559</v>
      </c>
      <c r="F319" s="8" t="s">
        <v>6943</v>
      </c>
      <c r="G319" s="8" t="s">
        <v>6929</v>
      </c>
      <c r="H319" s="8" t="s">
        <v>7081</v>
      </c>
    </row>
    <row r="320" spans="1:8">
      <c r="A320" s="6" t="s">
        <v>599</v>
      </c>
      <c r="B320" s="7" t="s">
        <v>2527</v>
      </c>
      <c r="C320" s="7" t="s">
        <v>2527</v>
      </c>
      <c r="D320" s="7" t="s">
        <v>2573</v>
      </c>
      <c r="E320" s="6" t="s">
        <v>2574</v>
      </c>
      <c r="F320" s="8"/>
      <c r="G320" s="8"/>
      <c r="H320" s="8"/>
    </row>
    <row r="321" spans="1:8">
      <c r="A321" s="6" t="s">
        <v>599</v>
      </c>
      <c r="B321" s="7" t="s">
        <v>2538</v>
      </c>
      <c r="C321" s="7" t="s">
        <v>2538</v>
      </c>
      <c r="D321" s="7" t="s">
        <v>2575</v>
      </c>
      <c r="E321" s="6" t="s">
        <v>2576</v>
      </c>
      <c r="F321" s="8"/>
      <c r="G321" s="8"/>
      <c r="H321" s="8"/>
    </row>
    <row r="322" spans="1:8">
      <c r="A322" s="6" t="s">
        <v>599</v>
      </c>
      <c r="B322" s="7" t="s">
        <v>2527</v>
      </c>
      <c r="C322" s="7" t="s">
        <v>2527</v>
      </c>
      <c r="D322" s="7" t="s">
        <v>2577</v>
      </c>
      <c r="E322" s="6" t="s">
        <v>2578</v>
      </c>
      <c r="F322" s="8"/>
      <c r="G322" s="8"/>
      <c r="H322" s="8"/>
    </row>
    <row r="323" spans="1:8">
      <c r="A323" s="6" t="s">
        <v>599</v>
      </c>
      <c r="B323" s="7" t="s">
        <v>2579</v>
      </c>
      <c r="C323" s="7" t="s">
        <v>2579</v>
      </c>
      <c r="D323" s="7" t="s">
        <v>2580</v>
      </c>
      <c r="E323" s="6" t="s">
        <v>2581</v>
      </c>
      <c r="F323" s="8"/>
      <c r="G323" s="8"/>
      <c r="H323" s="8"/>
    </row>
    <row r="324" spans="1:8">
      <c r="A324" s="6" t="s">
        <v>599</v>
      </c>
      <c r="B324" s="7" t="s">
        <v>2530</v>
      </c>
      <c r="C324" s="7" t="s">
        <v>2530</v>
      </c>
      <c r="D324" s="7" t="s">
        <v>2582</v>
      </c>
      <c r="E324" s="6" t="s">
        <v>2583</v>
      </c>
      <c r="F324" s="8"/>
      <c r="G324" s="8"/>
      <c r="H324" s="8"/>
    </row>
    <row r="325" spans="1:8">
      <c r="A325" s="6" t="s">
        <v>599</v>
      </c>
      <c r="B325" s="7" t="s">
        <v>2516</v>
      </c>
      <c r="C325" s="7" t="s">
        <v>2516</v>
      </c>
      <c r="D325" s="7" t="s">
        <v>2584</v>
      </c>
      <c r="E325" s="6" t="s">
        <v>2585</v>
      </c>
      <c r="F325" s="8"/>
      <c r="G325" s="8"/>
      <c r="H325" s="8"/>
    </row>
    <row r="326" spans="1:8">
      <c r="A326" s="6" t="s">
        <v>599</v>
      </c>
      <c r="B326" s="7" t="s">
        <v>2516</v>
      </c>
      <c r="C326" s="7" t="s">
        <v>2516</v>
      </c>
      <c r="D326" s="7" t="s">
        <v>2586</v>
      </c>
      <c r="E326" s="6" t="s">
        <v>2587</v>
      </c>
      <c r="F326" s="8"/>
      <c r="G326" s="8"/>
      <c r="H326" s="8"/>
    </row>
    <row r="327" spans="1:8">
      <c r="A327" s="6" t="s">
        <v>599</v>
      </c>
      <c r="B327" s="7" t="s">
        <v>600</v>
      </c>
      <c r="C327" s="7" t="s">
        <v>600</v>
      </c>
      <c r="D327" s="7" t="s">
        <v>2588</v>
      </c>
      <c r="E327" s="6" t="s">
        <v>2589</v>
      </c>
      <c r="F327" s="8" t="s">
        <v>6982</v>
      </c>
      <c r="G327" s="8" t="s">
        <v>6961</v>
      </c>
      <c r="H327" s="8" t="s">
        <v>7082</v>
      </c>
    </row>
    <row r="328" spans="1:8">
      <c r="A328" s="6" t="s">
        <v>599</v>
      </c>
      <c r="B328" s="7" t="s">
        <v>2590</v>
      </c>
      <c r="C328" s="7" t="s">
        <v>2590</v>
      </c>
      <c r="D328" s="7" t="s">
        <v>2591</v>
      </c>
      <c r="E328" s="6" t="s">
        <v>2592</v>
      </c>
      <c r="F328" s="8"/>
      <c r="G328" s="8"/>
      <c r="H328" s="8"/>
    </row>
    <row r="329" spans="1:8">
      <c r="A329" s="6" t="s">
        <v>599</v>
      </c>
      <c r="B329" s="7" t="s">
        <v>2538</v>
      </c>
      <c r="C329" s="7" t="s">
        <v>2538</v>
      </c>
      <c r="D329" s="7" t="s">
        <v>2593</v>
      </c>
      <c r="E329" s="6" t="s">
        <v>2594</v>
      </c>
      <c r="F329" s="8"/>
      <c r="G329" s="8"/>
      <c r="H329" s="8"/>
    </row>
    <row r="330" spans="1:8">
      <c r="A330" s="6" t="s">
        <v>599</v>
      </c>
      <c r="B330" s="7" t="s">
        <v>2551</v>
      </c>
      <c r="C330" s="7" t="s">
        <v>2551</v>
      </c>
      <c r="D330" s="7" t="s">
        <v>2595</v>
      </c>
      <c r="E330" s="6" t="s">
        <v>2596</v>
      </c>
      <c r="F330" s="8" t="s">
        <v>6943</v>
      </c>
      <c r="G330" s="8" t="s">
        <v>6929</v>
      </c>
      <c r="H330" s="8" t="s">
        <v>7081</v>
      </c>
    </row>
    <row r="331" spans="1:8">
      <c r="A331" s="6" t="s">
        <v>599</v>
      </c>
      <c r="B331" s="7" t="s">
        <v>2513</v>
      </c>
      <c r="C331" s="7" t="s">
        <v>2513</v>
      </c>
      <c r="D331" s="7" t="s">
        <v>2597</v>
      </c>
      <c r="E331" s="6" t="s">
        <v>2598</v>
      </c>
      <c r="F331" s="8"/>
      <c r="G331" s="8"/>
      <c r="H331" s="8"/>
    </row>
    <row r="332" spans="1:8">
      <c r="A332" s="6" t="s">
        <v>599</v>
      </c>
      <c r="B332" s="7" t="s">
        <v>2527</v>
      </c>
      <c r="C332" s="7" t="s">
        <v>2527</v>
      </c>
      <c r="D332" s="7" t="s">
        <v>2599</v>
      </c>
      <c r="E332" s="6" t="s">
        <v>2390</v>
      </c>
      <c r="F332" s="8"/>
      <c r="G332" s="8"/>
      <c r="H332" s="8"/>
    </row>
    <row r="333" spans="1:8">
      <c r="A333" s="6" t="s">
        <v>599</v>
      </c>
      <c r="B333" s="7" t="s">
        <v>2516</v>
      </c>
      <c r="C333" s="7" t="s">
        <v>2516</v>
      </c>
      <c r="D333" s="7" t="s">
        <v>2600</v>
      </c>
      <c r="E333" s="6" t="s">
        <v>2601</v>
      </c>
      <c r="F333" s="8"/>
      <c r="G333" s="8"/>
      <c r="H333" s="8"/>
    </row>
    <row r="334" spans="1:8">
      <c r="A334" s="6" t="s">
        <v>599</v>
      </c>
      <c r="B334" s="7" t="s">
        <v>2551</v>
      </c>
      <c r="C334" s="7" t="s">
        <v>2551</v>
      </c>
      <c r="D334" s="7" t="s">
        <v>2602</v>
      </c>
      <c r="E334" s="6" t="s">
        <v>2603</v>
      </c>
      <c r="F334" s="8" t="s">
        <v>6943</v>
      </c>
      <c r="G334" s="8" t="s">
        <v>6929</v>
      </c>
      <c r="H334" s="8" t="s">
        <v>7081</v>
      </c>
    </row>
    <row r="335" spans="1:8">
      <c r="A335" s="6" t="s">
        <v>599</v>
      </c>
      <c r="B335" s="7" t="s">
        <v>2527</v>
      </c>
      <c r="C335" s="7" t="s">
        <v>2604</v>
      </c>
      <c r="D335" s="7" t="s">
        <v>2605</v>
      </c>
      <c r="E335" s="6" t="s">
        <v>2606</v>
      </c>
      <c r="F335" s="8"/>
      <c r="G335" s="8"/>
      <c r="H335" s="8"/>
    </row>
    <row r="336" spans="1:8">
      <c r="A336" s="6" t="s">
        <v>599</v>
      </c>
      <c r="B336" s="7" t="s">
        <v>2516</v>
      </c>
      <c r="C336" s="7" t="s">
        <v>2516</v>
      </c>
      <c r="D336" s="7" t="s">
        <v>2607</v>
      </c>
      <c r="E336" s="6" t="s">
        <v>2608</v>
      </c>
      <c r="F336" s="8"/>
      <c r="G336" s="8"/>
      <c r="H336" s="8"/>
    </row>
    <row r="337" spans="1:8">
      <c r="A337" s="6" t="s">
        <v>599</v>
      </c>
      <c r="B337" s="7" t="s">
        <v>2516</v>
      </c>
      <c r="C337" s="7" t="s">
        <v>2516</v>
      </c>
      <c r="D337" s="7" t="s">
        <v>2609</v>
      </c>
      <c r="E337" s="6" t="s">
        <v>2071</v>
      </c>
      <c r="F337" s="8"/>
      <c r="G337" s="8"/>
      <c r="H337" s="8"/>
    </row>
    <row r="338" spans="1:8">
      <c r="A338" s="6" t="s">
        <v>599</v>
      </c>
      <c r="B338" s="7" t="s">
        <v>2530</v>
      </c>
      <c r="C338" s="7" t="s">
        <v>2530</v>
      </c>
      <c r="D338" s="7" t="s">
        <v>2610</v>
      </c>
      <c r="E338" s="6" t="s">
        <v>2611</v>
      </c>
      <c r="F338" s="8"/>
      <c r="G338" s="8"/>
      <c r="H338" s="8"/>
    </row>
    <row r="339" spans="1:8">
      <c r="A339" s="6" t="s">
        <v>599</v>
      </c>
      <c r="B339" s="7" t="s">
        <v>2516</v>
      </c>
      <c r="C339" s="7" t="s">
        <v>2516</v>
      </c>
      <c r="D339" s="7" t="s">
        <v>2612</v>
      </c>
      <c r="E339" s="6" t="s">
        <v>251</v>
      </c>
      <c r="F339" s="8" t="s">
        <v>6934</v>
      </c>
      <c r="G339" s="8" t="s">
        <v>7018</v>
      </c>
      <c r="H339" s="8" t="s">
        <v>6951</v>
      </c>
    </row>
    <row r="340" spans="1:8">
      <c r="A340" s="6" t="s">
        <v>599</v>
      </c>
      <c r="B340" s="7" t="s">
        <v>2579</v>
      </c>
      <c r="C340" s="7" t="s">
        <v>2579</v>
      </c>
      <c r="D340" s="7" t="s">
        <v>2613</v>
      </c>
      <c r="E340" s="6" t="s">
        <v>2614</v>
      </c>
      <c r="F340" s="8" t="s">
        <v>6944</v>
      </c>
      <c r="G340" s="8" t="s">
        <v>6953</v>
      </c>
      <c r="H340" s="8" t="s">
        <v>7083</v>
      </c>
    </row>
    <row r="341" spans="1:8">
      <c r="A341" s="6" t="s">
        <v>372</v>
      </c>
      <c r="B341" s="7" t="s">
        <v>373</v>
      </c>
      <c r="C341" s="7" t="s">
        <v>374</v>
      </c>
      <c r="D341" s="7" t="s">
        <v>375</v>
      </c>
      <c r="E341" s="6" t="s">
        <v>376</v>
      </c>
      <c r="F341" s="8"/>
      <c r="G341" s="8"/>
      <c r="H341" s="8"/>
    </row>
    <row r="342" spans="1:8">
      <c r="A342" s="6" t="s">
        <v>372</v>
      </c>
      <c r="B342" s="7" t="s">
        <v>789</v>
      </c>
      <c r="C342" s="7" t="s">
        <v>9</v>
      </c>
      <c r="D342" s="7" t="s">
        <v>790</v>
      </c>
      <c r="E342" s="6" t="s">
        <v>791</v>
      </c>
      <c r="F342" s="8" t="s">
        <v>6931</v>
      </c>
      <c r="G342" s="8" t="s">
        <v>6929</v>
      </c>
      <c r="H342" s="8" t="s">
        <v>6927</v>
      </c>
    </row>
    <row r="343" spans="1:8">
      <c r="A343" s="6" t="s">
        <v>372</v>
      </c>
      <c r="B343" s="7" t="s">
        <v>789</v>
      </c>
      <c r="C343" s="7" t="s">
        <v>789</v>
      </c>
      <c r="D343" s="7" t="s">
        <v>1032</v>
      </c>
      <c r="E343" s="6" t="s">
        <v>1033</v>
      </c>
      <c r="F343" s="8" t="s">
        <v>6931</v>
      </c>
      <c r="G343" s="8" t="s">
        <v>6929</v>
      </c>
      <c r="H343" s="8" t="s">
        <v>6927</v>
      </c>
    </row>
    <row r="344" spans="1:8">
      <c r="A344" s="6" t="s">
        <v>372</v>
      </c>
      <c r="B344" s="7" t="s">
        <v>9</v>
      </c>
      <c r="C344" s="7" t="s">
        <v>374</v>
      </c>
      <c r="D344" s="7" t="s">
        <v>1212</v>
      </c>
      <c r="E344" s="6" t="s">
        <v>1213</v>
      </c>
      <c r="F344" s="8"/>
      <c r="G344" s="8"/>
      <c r="H344" s="8"/>
    </row>
    <row r="345" spans="1:8">
      <c r="A345" s="6" t="s">
        <v>372</v>
      </c>
      <c r="B345" s="7" t="s">
        <v>1431</v>
      </c>
      <c r="C345" s="7" t="s">
        <v>1431</v>
      </c>
      <c r="D345" s="7" t="s">
        <v>1432</v>
      </c>
      <c r="E345" s="6" t="s">
        <v>1433</v>
      </c>
      <c r="F345" s="8"/>
      <c r="G345" s="8"/>
      <c r="H345" s="8"/>
    </row>
    <row r="346" spans="1:8">
      <c r="A346" s="6" t="s">
        <v>372</v>
      </c>
      <c r="B346" s="7" t="s">
        <v>796</v>
      </c>
      <c r="C346" s="7" t="s">
        <v>1560</v>
      </c>
      <c r="D346" s="7" t="s">
        <v>1561</v>
      </c>
      <c r="E346" s="6" t="s">
        <v>1562</v>
      </c>
      <c r="F346" s="8"/>
      <c r="G346" s="8"/>
      <c r="H346" s="8"/>
    </row>
    <row r="347" spans="1:8">
      <c r="A347" s="6" t="s">
        <v>372</v>
      </c>
      <c r="B347" s="7" t="s">
        <v>374</v>
      </c>
      <c r="C347" s="7" t="s">
        <v>374</v>
      </c>
      <c r="D347" s="7" t="s">
        <v>1812</v>
      </c>
      <c r="E347" s="6" t="s">
        <v>1813</v>
      </c>
      <c r="F347" s="8"/>
      <c r="G347" s="8"/>
      <c r="H347" s="8"/>
    </row>
    <row r="348" spans="1:8">
      <c r="A348" s="6" t="s">
        <v>372</v>
      </c>
      <c r="B348" s="7" t="s">
        <v>508</v>
      </c>
      <c r="C348" s="7" t="s">
        <v>508</v>
      </c>
      <c r="D348" s="7" t="s">
        <v>1838</v>
      </c>
      <c r="E348" s="6" t="s">
        <v>106</v>
      </c>
      <c r="F348" s="8"/>
      <c r="G348" s="8"/>
      <c r="H348" s="8"/>
    </row>
    <row r="349" spans="1:8">
      <c r="A349" s="6" t="s">
        <v>372</v>
      </c>
      <c r="B349" s="7" t="s">
        <v>1431</v>
      </c>
      <c r="C349" s="7" t="s">
        <v>1431</v>
      </c>
      <c r="D349" s="7" t="s">
        <v>1883</v>
      </c>
      <c r="E349" s="6" t="s">
        <v>1884</v>
      </c>
      <c r="F349" s="8"/>
      <c r="G349" s="8"/>
      <c r="H349" s="8"/>
    </row>
    <row r="350" spans="1:8">
      <c r="A350" s="6" t="s">
        <v>372</v>
      </c>
      <c r="B350" s="7" t="s">
        <v>1431</v>
      </c>
      <c r="C350" s="7" t="s">
        <v>1431</v>
      </c>
      <c r="D350" s="7" t="s">
        <v>1905</v>
      </c>
      <c r="E350" s="6" t="s">
        <v>1906</v>
      </c>
      <c r="F350" s="8" t="s">
        <v>3334</v>
      </c>
      <c r="G350" s="8" t="s">
        <v>6953</v>
      </c>
      <c r="H350" s="8" t="s">
        <v>6951</v>
      </c>
    </row>
    <row r="351" spans="1:8">
      <c r="A351" s="6" t="s">
        <v>372</v>
      </c>
      <c r="B351" s="7" t="s">
        <v>1916</v>
      </c>
      <c r="C351" s="7" t="s">
        <v>1916</v>
      </c>
      <c r="D351" s="7" t="s">
        <v>1917</v>
      </c>
      <c r="E351" s="6" t="s">
        <v>1918</v>
      </c>
      <c r="F351" s="8"/>
      <c r="G351" s="8"/>
      <c r="H351" s="8"/>
    </row>
    <row r="352" spans="1:8">
      <c r="A352" s="6" t="s">
        <v>372</v>
      </c>
      <c r="B352" s="7" t="s">
        <v>1937</v>
      </c>
      <c r="C352" s="7" t="s">
        <v>1937</v>
      </c>
      <c r="D352" s="7" t="s">
        <v>1938</v>
      </c>
      <c r="E352" s="6" t="s">
        <v>1939</v>
      </c>
      <c r="F352" s="8" t="s">
        <v>6931</v>
      </c>
      <c r="G352" s="8" t="s">
        <v>7086</v>
      </c>
      <c r="H352" s="8" t="s">
        <v>6954</v>
      </c>
    </row>
    <row r="353" spans="1:8">
      <c r="A353" s="6" t="s">
        <v>372</v>
      </c>
      <c r="B353" s="7" t="s">
        <v>1937</v>
      </c>
      <c r="C353" s="7" t="s">
        <v>1937</v>
      </c>
      <c r="D353" s="7" t="s">
        <v>3387</v>
      </c>
      <c r="E353" s="6" t="s">
        <v>1939</v>
      </c>
      <c r="F353" s="8" t="s">
        <v>6931</v>
      </c>
      <c r="G353" s="8" t="s">
        <v>7086</v>
      </c>
      <c r="H353" s="8" t="s">
        <v>6954</v>
      </c>
    </row>
    <row r="354" spans="1:8">
      <c r="A354" s="6" t="s">
        <v>372</v>
      </c>
      <c r="B354" s="7" t="s">
        <v>1937</v>
      </c>
      <c r="C354" s="7" t="s">
        <v>1937</v>
      </c>
      <c r="D354" s="7" t="s">
        <v>3388</v>
      </c>
      <c r="E354" s="6" t="s">
        <v>3048</v>
      </c>
      <c r="F354" s="8" t="s">
        <v>6931</v>
      </c>
      <c r="G354" s="8" t="s">
        <v>7086</v>
      </c>
      <c r="H354" s="8" t="s">
        <v>6954</v>
      </c>
    </row>
    <row r="355" spans="1:8">
      <c r="A355" s="6" t="s">
        <v>372</v>
      </c>
      <c r="B355" s="7" t="s">
        <v>3389</v>
      </c>
      <c r="C355" s="7" t="s">
        <v>3390</v>
      </c>
      <c r="D355" s="7" t="s">
        <v>3391</v>
      </c>
      <c r="E355" s="6" t="s">
        <v>3392</v>
      </c>
      <c r="F355" s="8" t="s">
        <v>6931</v>
      </c>
      <c r="G355" s="8" t="s">
        <v>7086</v>
      </c>
      <c r="H355" s="8" t="s">
        <v>6954</v>
      </c>
    </row>
    <row r="356" spans="1:8">
      <c r="A356" s="6" t="s">
        <v>372</v>
      </c>
      <c r="B356" s="7" t="s">
        <v>3389</v>
      </c>
      <c r="C356" s="7" t="s">
        <v>3389</v>
      </c>
      <c r="D356" s="7" t="s">
        <v>3393</v>
      </c>
      <c r="E356" s="6" t="s">
        <v>3394</v>
      </c>
      <c r="F356" s="8" t="s">
        <v>6931</v>
      </c>
      <c r="G356" s="8" t="s">
        <v>7086</v>
      </c>
      <c r="H356" s="8" t="s">
        <v>6954</v>
      </c>
    </row>
    <row r="357" spans="1:8">
      <c r="A357" s="6" t="s">
        <v>372</v>
      </c>
      <c r="B357" s="7" t="s">
        <v>3389</v>
      </c>
      <c r="C357" s="7" t="s">
        <v>3389</v>
      </c>
      <c r="D357" s="7" t="s">
        <v>3395</v>
      </c>
      <c r="E357" s="6" t="s">
        <v>3396</v>
      </c>
      <c r="F357" s="8"/>
      <c r="G357" s="8"/>
      <c r="H357" s="8"/>
    </row>
    <row r="358" spans="1:8">
      <c r="A358" s="6" t="s">
        <v>372</v>
      </c>
      <c r="B358" s="7" t="s">
        <v>3389</v>
      </c>
      <c r="C358" s="7" t="s">
        <v>3389</v>
      </c>
      <c r="D358" s="7" t="s">
        <v>3397</v>
      </c>
      <c r="E358" s="6" t="s">
        <v>3398</v>
      </c>
      <c r="F358" s="8"/>
      <c r="G358" s="8"/>
      <c r="H358" s="8"/>
    </row>
    <row r="359" spans="1:8">
      <c r="A359" s="6" t="s">
        <v>372</v>
      </c>
      <c r="B359" s="7" t="s">
        <v>374</v>
      </c>
      <c r="C359" s="7" t="s">
        <v>374</v>
      </c>
      <c r="D359" s="7" t="s">
        <v>3399</v>
      </c>
      <c r="E359" s="6" t="s">
        <v>3400</v>
      </c>
      <c r="F359" s="8"/>
      <c r="G359" s="8"/>
      <c r="H359" s="8"/>
    </row>
    <row r="360" spans="1:8">
      <c r="A360" s="6" t="s">
        <v>372</v>
      </c>
      <c r="B360" s="7" t="s">
        <v>789</v>
      </c>
      <c r="C360" s="7" t="s">
        <v>1431</v>
      </c>
      <c r="D360" s="7" t="s">
        <v>3401</v>
      </c>
      <c r="E360" s="6" t="s">
        <v>3402</v>
      </c>
      <c r="F360" s="8"/>
      <c r="G360" s="8"/>
      <c r="H360" s="8"/>
    </row>
    <row r="361" spans="1:8">
      <c r="A361" s="6" t="s">
        <v>372</v>
      </c>
      <c r="B361" s="7" t="s">
        <v>3403</v>
      </c>
      <c r="C361" s="7" t="s">
        <v>3404</v>
      </c>
      <c r="D361" s="7" t="s">
        <v>3405</v>
      </c>
      <c r="E361" s="6" t="s">
        <v>3406</v>
      </c>
      <c r="F361" s="8"/>
      <c r="G361" s="8"/>
      <c r="H361" s="8"/>
    </row>
    <row r="362" spans="1:8">
      <c r="A362" s="6" t="s">
        <v>372</v>
      </c>
      <c r="B362" s="7" t="s">
        <v>3407</v>
      </c>
      <c r="C362" s="7" t="s">
        <v>69</v>
      </c>
      <c r="D362" s="7" t="s">
        <v>3408</v>
      </c>
      <c r="E362" s="6" t="s">
        <v>3409</v>
      </c>
      <c r="F362" s="8"/>
      <c r="G362" s="8"/>
      <c r="H362" s="8"/>
    </row>
    <row r="363" spans="1:8">
      <c r="A363" s="6" t="s">
        <v>372</v>
      </c>
      <c r="B363" s="7" t="s">
        <v>566</v>
      </c>
      <c r="C363" s="7" t="s">
        <v>3329</v>
      </c>
      <c r="D363" s="7" t="s">
        <v>3410</v>
      </c>
      <c r="E363" s="6" t="s">
        <v>3000</v>
      </c>
      <c r="F363" s="8"/>
      <c r="G363" s="8"/>
      <c r="H363" s="8"/>
    </row>
    <row r="364" spans="1:8">
      <c r="A364" s="6" t="s">
        <v>372</v>
      </c>
      <c r="B364" s="7" t="s">
        <v>3407</v>
      </c>
      <c r="C364" s="7" t="s">
        <v>1560</v>
      </c>
      <c r="D364" s="7" t="s">
        <v>3411</v>
      </c>
      <c r="E364" s="6" t="s">
        <v>3412</v>
      </c>
      <c r="F364" s="8"/>
      <c r="G364" s="8"/>
      <c r="H364" s="8"/>
    </row>
    <row r="365" spans="1:8">
      <c r="A365" s="6" t="s">
        <v>372</v>
      </c>
      <c r="B365" s="7" t="s">
        <v>566</v>
      </c>
      <c r="C365" s="7" t="s">
        <v>3329</v>
      </c>
      <c r="D365" s="7" t="s">
        <v>3413</v>
      </c>
      <c r="E365" s="6" t="s">
        <v>3414</v>
      </c>
      <c r="F365" s="8"/>
      <c r="G365" s="8"/>
      <c r="H365" s="8"/>
    </row>
    <row r="366" spans="1:8">
      <c r="A366" s="6" t="s">
        <v>372</v>
      </c>
      <c r="B366" s="7" t="s">
        <v>1131</v>
      </c>
      <c r="C366" s="7" t="s">
        <v>1131</v>
      </c>
      <c r="D366" s="7" t="s">
        <v>3415</v>
      </c>
      <c r="E366" s="6" t="s">
        <v>3416</v>
      </c>
      <c r="F366" s="8"/>
      <c r="G366" s="8"/>
      <c r="H366" s="8"/>
    </row>
    <row r="367" spans="1:8">
      <c r="A367" s="6" t="s">
        <v>372</v>
      </c>
      <c r="B367" s="7" t="s">
        <v>3403</v>
      </c>
      <c r="C367" s="7" t="s">
        <v>3417</v>
      </c>
      <c r="D367" s="7" t="s">
        <v>3418</v>
      </c>
      <c r="E367" s="6" t="s">
        <v>3419</v>
      </c>
      <c r="F367" s="8"/>
      <c r="G367" s="8"/>
      <c r="H367" s="8"/>
    </row>
    <row r="368" spans="1:8">
      <c r="A368" s="6" t="s">
        <v>447</v>
      </c>
      <c r="B368" s="7" t="s">
        <v>448</v>
      </c>
      <c r="C368" s="7" t="s">
        <v>448</v>
      </c>
      <c r="D368" s="7" t="s">
        <v>449</v>
      </c>
      <c r="E368" s="6" t="s">
        <v>450</v>
      </c>
      <c r="F368" s="8" t="s">
        <v>6957</v>
      </c>
      <c r="G368" s="8" t="s">
        <v>7018</v>
      </c>
      <c r="H368" s="8" t="s">
        <v>7092</v>
      </c>
    </row>
    <row r="369" spans="1:8">
      <c r="A369" s="6" t="s">
        <v>447</v>
      </c>
      <c r="B369" s="7" t="s">
        <v>742</v>
      </c>
      <c r="C369" s="7" t="s">
        <v>742</v>
      </c>
      <c r="D369" s="7" t="s">
        <v>743</v>
      </c>
      <c r="E369" s="6" t="s">
        <v>744</v>
      </c>
      <c r="F369" s="8"/>
      <c r="G369" s="8"/>
      <c r="H369" s="8"/>
    </row>
    <row r="370" spans="1:8">
      <c r="A370" s="6" t="s">
        <v>447</v>
      </c>
      <c r="B370" s="7" t="s">
        <v>742</v>
      </c>
      <c r="C370" s="7" t="s">
        <v>742</v>
      </c>
      <c r="D370" s="7" t="s">
        <v>819</v>
      </c>
      <c r="E370" s="6" t="s">
        <v>820</v>
      </c>
      <c r="F370" s="8"/>
      <c r="G370" s="8"/>
      <c r="H370" s="8"/>
    </row>
    <row r="371" spans="1:8">
      <c r="A371" s="6" t="s">
        <v>447</v>
      </c>
      <c r="B371" s="7" t="s">
        <v>742</v>
      </c>
      <c r="C371" s="7" t="s">
        <v>742</v>
      </c>
      <c r="D371" s="7" t="s">
        <v>822</v>
      </c>
      <c r="E371" s="6" t="s">
        <v>823</v>
      </c>
      <c r="F371" s="8"/>
      <c r="G371" s="8"/>
      <c r="H371" s="8"/>
    </row>
    <row r="372" spans="1:8">
      <c r="A372" s="6" t="s">
        <v>447</v>
      </c>
      <c r="B372" s="7" t="s">
        <v>898</v>
      </c>
      <c r="C372" s="7" t="s">
        <v>119</v>
      </c>
      <c r="D372" s="7" t="s">
        <v>899</v>
      </c>
      <c r="E372" s="6" t="s">
        <v>900</v>
      </c>
      <c r="F372" s="8"/>
      <c r="G372" s="8"/>
      <c r="H372" s="8"/>
    </row>
    <row r="373" spans="1:8">
      <c r="A373" s="6" t="s">
        <v>447</v>
      </c>
      <c r="B373" s="7" t="s">
        <v>898</v>
      </c>
      <c r="C373" s="7" t="s">
        <v>119</v>
      </c>
      <c r="D373" s="7" t="s">
        <v>929</v>
      </c>
      <c r="E373" s="6" t="s">
        <v>930</v>
      </c>
      <c r="F373" s="8"/>
      <c r="G373" s="8"/>
      <c r="H373" s="8"/>
    </row>
    <row r="374" spans="1:8">
      <c r="A374" s="6" t="s">
        <v>447</v>
      </c>
      <c r="B374" s="7" t="s">
        <v>898</v>
      </c>
      <c r="C374" s="7" t="s">
        <v>119</v>
      </c>
      <c r="D374" s="7" t="s">
        <v>996</v>
      </c>
      <c r="E374" s="6" t="s">
        <v>640</v>
      </c>
      <c r="F374" s="8"/>
      <c r="G374" s="8"/>
      <c r="H374" s="8"/>
    </row>
    <row r="375" spans="1:8">
      <c r="A375" s="6" t="s">
        <v>447</v>
      </c>
      <c r="B375" s="7" t="s">
        <v>742</v>
      </c>
      <c r="C375" s="7" t="s">
        <v>1182</v>
      </c>
      <c r="D375" s="7" t="s">
        <v>1183</v>
      </c>
      <c r="E375" s="6" t="s">
        <v>1184</v>
      </c>
      <c r="F375" s="8"/>
      <c r="G375" s="8"/>
      <c r="H375" s="8"/>
    </row>
    <row r="376" spans="1:8">
      <c r="A376" s="6" t="s">
        <v>447</v>
      </c>
      <c r="B376" s="7" t="s">
        <v>1197</v>
      </c>
      <c r="C376" s="7" t="s">
        <v>1197</v>
      </c>
      <c r="D376" s="7" t="s">
        <v>1198</v>
      </c>
      <c r="E376" s="6" t="s">
        <v>1199</v>
      </c>
      <c r="F376" s="8"/>
      <c r="G376" s="8"/>
      <c r="H376" s="8"/>
    </row>
    <row r="377" spans="1:8">
      <c r="A377" s="6" t="s">
        <v>447</v>
      </c>
      <c r="B377" s="7" t="s">
        <v>898</v>
      </c>
      <c r="C377" s="7" t="s">
        <v>119</v>
      </c>
      <c r="D377" s="7" t="s">
        <v>1402</v>
      </c>
      <c r="E377" s="6" t="s">
        <v>1403</v>
      </c>
      <c r="F377" s="8"/>
      <c r="G377" s="8"/>
      <c r="H377" s="8"/>
    </row>
    <row r="378" spans="1:8">
      <c r="A378" s="6" t="s">
        <v>447</v>
      </c>
      <c r="B378" s="7" t="s">
        <v>365</v>
      </c>
      <c r="C378" s="7" t="s">
        <v>365</v>
      </c>
      <c r="D378" s="7" t="s">
        <v>1414</v>
      </c>
      <c r="E378" s="6" t="s">
        <v>1415</v>
      </c>
      <c r="F378" s="8"/>
      <c r="G378" s="8"/>
      <c r="H378" s="8"/>
    </row>
    <row r="379" spans="1:8">
      <c r="A379" s="6" t="s">
        <v>447</v>
      </c>
      <c r="B379" s="7" t="s">
        <v>1467</v>
      </c>
      <c r="C379" s="7" t="s">
        <v>1467</v>
      </c>
      <c r="D379" s="7" t="s">
        <v>1468</v>
      </c>
      <c r="E379" s="6" t="s">
        <v>1469</v>
      </c>
      <c r="F379" s="8"/>
      <c r="G379" s="8"/>
      <c r="H379" s="8"/>
    </row>
    <row r="380" spans="1:8">
      <c r="A380" s="6" t="s">
        <v>447</v>
      </c>
      <c r="B380" s="7" t="s">
        <v>1512</v>
      </c>
      <c r="C380" s="7" t="s">
        <v>1512</v>
      </c>
      <c r="D380" s="7" t="s">
        <v>1513</v>
      </c>
      <c r="E380" s="6" t="s">
        <v>1514</v>
      </c>
      <c r="F380" s="8"/>
      <c r="G380" s="8"/>
      <c r="H380" s="8"/>
    </row>
    <row r="381" spans="1:8">
      <c r="A381" s="6" t="s">
        <v>447</v>
      </c>
      <c r="B381" s="7" t="s">
        <v>898</v>
      </c>
      <c r="C381" s="7" t="s">
        <v>119</v>
      </c>
      <c r="D381" s="7" t="s">
        <v>1641</v>
      </c>
      <c r="E381" s="6" t="s">
        <v>1642</v>
      </c>
      <c r="F381" s="8"/>
      <c r="G381" s="8"/>
      <c r="H381" s="8"/>
    </row>
    <row r="382" spans="1:8">
      <c r="A382" s="6" t="s">
        <v>447</v>
      </c>
      <c r="B382" s="7" t="s">
        <v>898</v>
      </c>
      <c r="C382" s="7" t="s">
        <v>119</v>
      </c>
      <c r="D382" s="7" t="s">
        <v>1664</v>
      </c>
      <c r="E382" s="6" t="s">
        <v>1665</v>
      </c>
      <c r="F382" s="8"/>
      <c r="G382" s="8"/>
      <c r="H382" s="8"/>
    </row>
    <row r="383" spans="1:8">
      <c r="A383" s="6" t="s">
        <v>447</v>
      </c>
      <c r="B383" s="7" t="s">
        <v>365</v>
      </c>
      <c r="C383" s="7" t="s">
        <v>365</v>
      </c>
      <c r="D383" s="7" t="s">
        <v>1803</v>
      </c>
      <c r="E383" s="6" t="s">
        <v>1804</v>
      </c>
      <c r="F383" s="8"/>
      <c r="G383" s="8"/>
      <c r="H383" s="8"/>
    </row>
    <row r="384" spans="1:8">
      <c r="A384" s="6" t="s">
        <v>447</v>
      </c>
      <c r="B384" s="7" t="s">
        <v>1830</v>
      </c>
      <c r="C384" s="7" t="s">
        <v>1831</v>
      </c>
      <c r="D384" s="7" t="s">
        <v>1832</v>
      </c>
      <c r="E384" s="6" t="s">
        <v>1833</v>
      </c>
      <c r="F384" s="8"/>
      <c r="G384" s="8"/>
      <c r="H384" s="8"/>
    </row>
    <row r="385" spans="1:8">
      <c r="A385" s="6" t="s">
        <v>447</v>
      </c>
      <c r="B385" s="7" t="s">
        <v>6858</v>
      </c>
      <c r="C385" s="7" t="s">
        <v>6858</v>
      </c>
      <c r="D385" s="7" t="s">
        <v>6859</v>
      </c>
      <c r="E385" s="6" t="s">
        <v>62</v>
      </c>
      <c r="F385" s="8"/>
      <c r="G385" s="8"/>
      <c r="H385" s="8"/>
    </row>
    <row r="386" spans="1:8">
      <c r="A386" s="6" t="s">
        <v>447</v>
      </c>
      <c r="B386" s="7" t="s">
        <v>6860</v>
      </c>
      <c r="C386" s="7" t="s">
        <v>6861</v>
      </c>
      <c r="D386" s="7" t="s">
        <v>6862</v>
      </c>
      <c r="E386" s="6" t="s">
        <v>6863</v>
      </c>
      <c r="F386" s="8"/>
      <c r="G386" s="8"/>
      <c r="H386" s="8"/>
    </row>
    <row r="387" spans="1:8">
      <c r="A387" s="6" t="s">
        <v>447</v>
      </c>
      <c r="B387" s="7" t="s">
        <v>3032</v>
      </c>
      <c r="C387" s="7" t="s">
        <v>6864</v>
      </c>
      <c r="D387" s="7" t="s">
        <v>6865</v>
      </c>
      <c r="E387" s="6" t="s">
        <v>6449</v>
      </c>
      <c r="F387" s="8"/>
      <c r="G387" s="8"/>
      <c r="H387" s="8"/>
    </row>
    <row r="388" spans="1:8">
      <c r="A388" s="6" t="s">
        <v>447</v>
      </c>
      <c r="B388" s="7" t="s">
        <v>606</v>
      </c>
      <c r="C388" s="7" t="s">
        <v>606</v>
      </c>
      <c r="D388" s="7" t="s">
        <v>6866</v>
      </c>
      <c r="E388" s="6" t="s">
        <v>6867</v>
      </c>
      <c r="F388" s="8"/>
      <c r="G388" s="8"/>
      <c r="H388" s="8"/>
    </row>
    <row r="389" spans="1:8">
      <c r="A389" s="6" t="s">
        <v>447</v>
      </c>
      <c r="B389" s="7" t="s">
        <v>6868</v>
      </c>
      <c r="C389" s="7" t="s">
        <v>6868</v>
      </c>
      <c r="D389" s="7" t="s">
        <v>6869</v>
      </c>
      <c r="E389" s="6" t="s">
        <v>6870</v>
      </c>
      <c r="F389" s="8" t="s">
        <v>6931</v>
      </c>
      <c r="G389" s="8" t="s">
        <v>7008</v>
      </c>
      <c r="H389" s="8" t="s">
        <v>7089</v>
      </c>
    </row>
    <row r="390" spans="1:8">
      <c r="A390" s="6" t="s">
        <v>447</v>
      </c>
      <c r="B390" s="7" t="s">
        <v>6868</v>
      </c>
      <c r="C390" s="7" t="s">
        <v>6868</v>
      </c>
      <c r="D390" s="7" t="s">
        <v>6871</v>
      </c>
      <c r="E390" s="6" t="s">
        <v>6872</v>
      </c>
      <c r="F390" s="8" t="s">
        <v>6931</v>
      </c>
      <c r="G390" s="8" t="s">
        <v>7008</v>
      </c>
      <c r="H390" s="8" t="s">
        <v>7089</v>
      </c>
    </row>
    <row r="391" spans="1:8">
      <c r="A391" s="6" t="s">
        <v>447</v>
      </c>
      <c r="B391" s="7" t="s">
        <v>365</v>
      </c>
      <c r="C391" s="7" t="s">
        <v>6873</v>
      </c>
      <c r="D391" s="7" t="s">
        <v>6874</v>
      </c>
      <c r="E391" s="6" t="s">
        <v>6875</v>
      </c>
      <c r="F391" s="8"/>
      <c r="G391" s="8"/>
      <c r="H391" s="8"/>
    </row>
    <row r="392" spans="1:8">
      <c r="A392" s="6" t="s">
        <v>447</v>
      </c>
      <c r="B392" s="7" t="s">
        <v>365</v>
      </c>
      <c r="C392" s="7" t="s">
        <v>365</v>
      </c>
      <c r="D392" s="7" t="s">
        <v>6876</v>
      </c>
      <c r="E392" s="6" t="s">
        <v>6877</v>
      </c>
      <c r="F392" s="8"/>
      <c r="G392" s="8"/>
      <c r="H392" s="8"/>
    </row>
    <row r="393" spans="1:8">
      <c r="A393" s="6" t="s">
        <v>447</v>
      </c>
      <c r="B393" s="7" t="s">
        <v>365</v>
      </c>
      <c r="C393" s="7" t="s">
        <v>365</v>
      </c>
      <c r="D393" s="7" t="s">
        <v>6878</v>
      </c>
      <c r="E393" s="6" t="s">
        <v>6879</v>
      </c>
      <c r="F393" s="8"/>
      <c r="G393" s="8"/>
      <c r="H393" s="8"/>
    </row>
    <row r="394" spans="1:8">
      <c r="A394" s="6" t="s">
        <v>447</v>
      </c>
      <c r="B394" s="7" t="s">
        <v>365</v>
      </c>
      <c r="C394" s="7" t="s">
        <v>365</v>
      </c>
      <c r="D394" s="7" t="s">
        <v>6880</v>
      </c>
      <c r="E394" s="6" t="s">
        <v>6881</v>
      </c>
      <c r="F394" s="8" t="s">
        <v>7093</v>
      </c>
      <c r="G394" s="8" t="s">
        <v>6929</v>
      </c>
      <c r="H394" s="8" t="s">
        <v>7094</v>
      </c>
    </row>
    <row r="395" spans="1:8">
      <c r="A395" s="6" t="s">
        <v>447</v>
      </c>
      <c r="B395" s="7" t="s">
        <v>365</v>
      </c>
      <c r="C395" s="7" t="s">
        <v>365</v>
      </c>
      <c r="D395" s="7" t="s">
        <v>6882</v>
      </c>
      <c r="E395" s="6" t="s">
        <v>6883</v>
      </c>
      <c r="F395" s="8"/>
      <c r="G395" s="8"/>
      <c r="H395" s="8"/>
    </row>
    <row r="396" spans="1:8">
      <c r="A396" s="6" t="s">
        <v>447</v>
      </c>
      <c r="B396" s="7" t="s">
        <v>365</v>
      </c>
      <c r="C396" s="7" t="s">
        <v>365</v>
      </c>
      <c r="D396" s="7" t="s">
        <v>6884</v>
      </c>
      <c r="E396" s="6" t="s">
        <v>2748</v>
      </c>
      <c r="F396" s="8" t="s">
        <v>7090</v>
      </c>
      <c r="G396" s="8" t="s">
        <v>7018</v>
      </c>
      <c r="H396" s="8" t="s">
        <v>7091</v>
      </c>
    </row>
    <row r="397" spans="1:8">
      <c r="A397" s="6" t="s">
        <v>447</v>
      </c>
      <c r="B397" s="7" t="s">
        <v>742</v>
      </c>
      <c r="C397" s="7" t="s">
        <v>1182</v>
      </c>
      <c r="D397" s="7" t="s">
        <v>6885</v>
      </c>
      <c r="E397" s="6" t="s">
        <v>6886</v>
      </c>
      <c r="F397" s="8"/>
      <c r="G397" s="8"/>
      <c r="H397" s="8"/>
    </row>
    <row r="398" spans="1:8">
      <c r="A398" s="6" t="s">
        <v>447</v>
      </c>
      <c r="B398" s="7" t="s">
        <v>742</v>
      </c>
      <c r="C398" s="7" t="s">
        <v>742</v>
      </c>
      <c r="D398" s="7" t="s">
        <v>6887</v>
      </c>
      <c r="E398" s="6" t="s">
        <v>6888</v>
      </c>
      <c r="F398" s="8" t="s">
        <v>6931</v>
      </c>
      <c r="G398" s="8" t="s">
        <v>6929</v>
      </c>
      <c r="H398" s="8" t="s">
        <v>7070</v>
      </c>
    </row>
    <row r="399" spans="1:8">
      <c r="A399" s="6" t="s">
        <v>447</v>
      </c>
      <c r="B399" s="7" t="s">
        <v>742</v>
      </c>
      <c r="C399" s="7" t="s">
        <v>742</v>
      </c>
      <c r="D399" s="7" t="s">
        <v>6889</v>
      </c>
      <c r="E399" s="6" t="s">
        <v>745</v>
      </c>
      <c r="F399" s="8"/>
      <c r="G399" s="8"/>
      <c r="H399" s="8"/>
    </row>
    <row r="400" spans="1:8">
      <c r="A400" s="6" t="s">
        <v>447</v>
      </c>
      <c r="B400" s="7" t="s">
        <v>742</v>
      </c>
      <c r="C400" s="7" t="s">
        <v>742</v>
      </c>
      <c r="D400" s="7" t="s">
        <v>6890</v>
      </c>
      <c r="E400" s="6" t="s">
        <v>6891</v>
      </c>
      <c r="F400" s="8"/>
      <c r="G400" s="8"/>
      <c r="H400" s="8"/>
    </row>
    <row r="401" spans="1:8">
      <c r="A401" s="6" t="s">
        <v>447</v>
      </c>
      <c r="B401" s="7" t="s">
        <v>742</v>
      </c>
      <c r="C401" s="7" t="s">
        <v>742</v>
      </c>
      <c r="D401" s="7" t="s">
        <v>6892</v>
      </c>
      <c r="E401" s="6" t="s">
        <v>821</v>
      </c>
      <c r="F401" s="8"/>
      <c r="G401" s="8"/>
      <c r="H401" s="8"/>
    </row>
    <row r="402" spans="1:8">
      <c r="A402" s="6" t="s">
        <v>447</v>
      </c>
      <c r="B402" s="7" t="s">
        <v>1512</v>
      </c>
      <c r="C402" s="7" t="s">
        <v>1512</v>
      </c>
      <c r="D402" s="7" t="s">
        <v>6893</v>
      </c>
      <c r="E402" s="6" t="s">
        <v>6894</v>
      </c>
      <c r="F402" s="8" t="s">
        <v>5162</v>
      </c>
      <c r="G402" s="8" t="s">
        <v>6944</v>
      </c>
      <c r="H402" s="8" t="s">
        <v>7087</v>
      </c>
    </row>
    <row r="403" spans="1:8">
      <c r="A403" s="6" t="s">
        <v>447</v>
      </c>
      <c r="B403" s="7" t="s">
        <v>1512</v>
      </c>
      <c r="C403" s="7" t="s">
        <v>1512</v>
      </c>
      <c r="D403" s="7" t="s">
        <v>6896</v>
      </c>
      <c r="E403" s="6" t="s">
        <v>6897</v>
      </c>
      <c r="F403" s="8"/>
      <c r="G403" s="8"/>
      <c r="H403" s="8"/>
    </row>
    <row r="404" spans="1:8">
      <c r="A404" s="6" t="s">
        <v>447</v>
      </c>
      <c r="B404" s="7" t="s">
        <v>1512</v>
      </c>
      <c r="C404" s="7" t="s">
        <v>1512</v>
      </c>
      <c r="D404" s="7" t="s">
        <v>6898</v>
      </c>
      <c r="E404" s="6" t="s">
        <v>6899</v>
      </c>
      <c r="F404" s="8"/>
      <c r="G404" s="8"/>
      <c r="H404" s="8"/>
    </row>
    <row r="405" spans="1:8">
      <c r="A405" s="6" t="s">
        <v>447</v>
      </c>
      <c r="B405" s="7" t="s">
        <v>1512</v>
      </c>
      <c r="C405" s="7" t="s">
        <v>1512</v>
      </c>
      <c r="D405" s="7" t="s">
        <v>6900</v>
      </c>
      <c r="E405" s="6" t="s">
        <v>6901</v>
      </c>
      <c r="F405" s="8" t="s">
        <v>6939</v>
      </c>
      <c r="G405" s="8" t="s">
        <v>6929</v>
      </c>
      <c r="H405" s="8" t="s">
        <v>7088</v>
      </c>
    </row>
    <row r="406" spans="1:8">
      <c r="A406" s="6" t="s">
        <v>447</v>
      </c>
      <c r="B406" s="7" t="s">
        <v>1512</v>
      </c>
      <c r="C406" s="7" t="s">
        <v>1512</v>
      </c>
      <c r="D406" s="7" t="s">
        <v>6902</v>
      </c>
      <c r="E406" s="6" t="s">
        <v>6903</v>
      </c>
      <c r="F406" s="8" t="s">
        <v>5162</v>
      </c>
      <c r="G406" s="8" t="s">
        <v>6929</v>
      </c>
      <c r="H406" s="8" t="s">
        <v>6941</v>
      </c>
    </row>
    <row r="407" spans="1:8">
      <c r="A407" s="6" t="s">
        <v>447</v>
      </c>
      <c r="B407" s="7" t="s">
        <v>1512</v>
      </c>
      <c r="C407" s="7" t="s">
        <v>1512</v>
      </c>
      <c r="D407" s="7" t="s">
        <v>6904</v>
      </c>
      <c r="E407" s="6" t="s">
        <v>6905</v>
      </c>
      <c r="F407" s="8"/>
      <c r="G407" s="8"/>
      <c r="H407" s="8"/>
    </row>
    <row r="408" spans="1:8">
      <c r="A408" s="6" t="s">
        <v>447</v>
      </c>
      <c r="B408" s="7" t="s">
        <v>1512</v>
      </c>
      <c r="C408" s="7" t="s">
        <v>1512</v>
      </c>
      <c r="D408" s="7" t="s">
        <v>6906</v>
      </c>
      <c r="E408" s="6" t="s">
        <v>6124</v>
      </c>
      <c r="F408" s="8"/>
      <c r="G408" s="8"/>
      <c r="H408" s="8"/>
    </row>
    <row r="409" spans="1:8">
      <c r="A409" s="6" t="s">
        <v>447</v>
      </c>
      <c r="B409" s="7" t="s">
        <v>1512</v>
      </c>
      <c r="C409" s="7" t="s">
        <v>1512</v>
      </c>
      <c r="D409" s="7" t="s">
        <v>6907</v>
      </c>
      <c r="E409" s="6" t="s">
        <v>6895</v>
      </c>
      <c r="F409" s="8"/>
      <c r="G409" s="8"/>
      <c r="H409" s="8"/>
    </row>
    <row r="410" spans="1:8">
      <c r="A410" s="6" t="s">
        <v>447</v>
      </c>
      <c r="B410" s="7" t="s">
        <v>1512</v>
      </c>
      <c r="C410" s="7" t="s">
        <v>1512</v>
      </c>
      <c r="D410" s="7" t="s">
        <v>6908</v>
      </c>
      <c r="E410" s="6" t="s">
        <v>6909</v>
      </c>
      <c r="F410" s="8"/>
      <c r="G410" s="8"/>
      <c r="H410" s="8"/>
    </row>
    <row r="411" spans="1:8">
      <c r="A411" s="6" t="s">
        <v>447</v>
      </c>
      <c r="B411" s="7" t="s">
        <v>1512</v>
      </c>
      <c r="C411" s="7" t="s">
        <v>1512</v>
      </c>
      <c r="D411" s="7" t="s">
        <v>6910</v>
      </c>
      <c r="E411" s="6" t="s">
        <v>586</v>
      </c>
      <c r="F411" s="8"/>
      <c r="G411" s="8"/>
      <c r="H411" s="8"/>
    </row>
    <row r="412" spans="1:8">
      <c r="A412" s="6" t="s">
        <v>447</v>
      </c>
      <c r="B412" s="7" t="s">
        <v>898</v>
      </c>
      <c r="C412" s="7" t="s">
        <v>6911</v>
      </c>
      <c r="D412" s="7" t="s">
        <v>6912</v>
      </c>
      <c r="E412" s="6" t="s">
        <v>6913</v>
      </c>
      <c r="F412" s="8"/>
      <c r="G412" s="8"/>
      <c r="H412" s="8"/>
    </row>
    <row r="413" spans="1:8">
      <c r="A413" s="6" t="s">
        <v>447</v>
      </c>
      <c r="B413" s="7" t="s">
        <v>898</v>
      </c>
      <c r="C413" s="7" t="s">
        <v>6911</v>
      </c>
      <c r="D413" s="7" t="s">
        <v>6914</v>
      </c>
      <c r="E413" s="6" t="s">
        <v>6915</v>
      </c>
      <c r="F413" s="8"/>
      <c r="G413" s="8"/>
      <c r="H413" s="8"/>
    </row>
    <row r="414" spans="1:8">
      <c r="A414" s="6" t="s">
        <v>447</v>
      </c>
      <c r="B414" s="7" t="s">
        <v>898</v>
      </c>
      <c r="C414" s="7" t="s">
        <v>119</v>
      </c>
      <c r="D414" s="7" t="s">
        <v>6916</v>
      </c>
      <c r="E414" s="6" t="s">
        <v>6917</v>
      </c>
      <c r="F414" s="8"/>
      <c r="G414" s="8"/>
      <c r="H414" s="8"/>
    </row>
    <row r="415" spans="1:8">
      <c r="A415" s="6" t="s">
        <v>2771</v>
      </c>
      <c r="B415" s="7" t="s">
        <v>584</v>
      </c>
      <c r="C415" s="7" t="s">
        <v>2772</v>
      </c>
      <c r="D415" s="7" t="s">
        <v>2773</v>
      </c>
      <c r="E415" s="6" t="s">
        <v>2774</v>
      </c>
      <c r="F415" s="8"/>
      <c r="G415" s="8"/>
      <c r="H415" s="8"/>
    </row>
    <row r="416" spans="1:8">
      <c r="A416" s="6" t="s">
        <v>2771</v>
      </c>
      <c r="B416" s="7" t="s">
        <v>584</v>
      </c>
      <c r="C416" s="7" t="s">
        <v>2775</v>
      </c>
      <c r="D416" s="7" t="s">
        <v>2776</v>
      </c>
      <c r="E416" s="6" t="s">
        <v>62</v>
      </c>
      <c r="F416" s="8"/>
      <c r="G416" s="8"/>
      <c r="H416" s="8"/>
    </row>
    <row r="417" spans="1:8">
      <c r="A417" s="6" t="s">
        <v>2771</v>
      </c>
      <c r="B417" s="7" t="s">
        <v>2777</v>
      </c>
      <c r="C417" s="7" t="s">
        <v>2778</v>
      </c>
      <c r="D417" s="7" t="s">
        <v>2779</v>
      </c>
      <c r="E417" s="6" t="s">
        <v>2780</v>
      </c>
      <c r="F417" s="8"/>
      <c r="G417" s="8"/>
      <c r="H417" s="8"/>
    </row>
    <row r="418" spans="1:8">
      <c r="A418" s="6" t="s">
        <v>2771</v>
      </c>
      <c r="B418" s="7" t="s">
        <v>2722</v>
      </c>
      <c r="C418" s="7" t="s">
        <v>2722</v>
      </c>
      <c r="D418" s="7" t="s">
        <v>2781</v>
      </c>
      <c r="E418" s="6" t="s">
        <v>62</v>
      </c>
      <c r="F418" s="8"/>
      <c r="G418" s="8"/>
      <c r="H418" s="8"/>
    </row>
    <row r="419" spans="1:8">
      <c r="A419" s="6" t="s">
        <v>2771</v>
      </c>
      <c r="B419" s="7" t="s">
        <v>2782</v>
      </c>
      <c r="C419" s="7" t="s">
        <v>2783</v>
      </c>
      <c r="D419" s="7" t="s">
        <v>2784</v>
      </c>
      <c r="E419" s="6" t="s">
        <v>2785</v>
      </c>
      <c r="F419" s="8"/>
      <c r="G419" s="8"/>
      <c r="H419" s="8"/>
    </row>
    <row r="420" spans="1:8">
      <c r="A420" s="6" t="s">
        <v>2771</v>
      </c>
      <c r="B420" s="7" t="s">
        <v>2782</v>
      </c>
      <c r="C420" s="7" t="s">
        <v>2786</v>
      </c>
      <c r="D420" s="7" t="s">
        <v>2787</v>
      </c>
      <c r="E420" s="6" t="s">
        <v>2788</v>
      </c>
      <c r="F420" s="8"/>
      <c r="G420" s="8"/>
      <c r="H420" s="8"/>
    </row>
    <row r="421" spans="1:8">
      <c r="A421" s="6" t="s">
        <v>2771</v>
      </c>
      <c r="B421" s="7" t="s">
        <v>2789</v>
      </c>
      <c r="C421" s="7" t="s">
        <v>2790</v>
      </c>
      <c r="D421" s="7" t="s">
        <v>2791</v>
      </c>
      <c r="E421" s="6" t="s">
        <v>2792</v>
      </c>
      <c r="F421" s="8"/>
      <c r="G421" s="8"/>
      <c r="H421" s="8"/>
    </row>
    <row r="422" spans="1:8">
      <c r="A422" s="6" t="s">
        <v>2771</v>
      </c>
      <c r="B422" s="7" t="s">
        <v>2793</v>
      </c>
      <c r="C422" s="7" t="s">
        <v>2794</v>
      </c>
      <c r="D422" s="7" t="s">
        <v>2795</v>
      </c>
      <c r="E422" s="6" t="s">
        <v>2796</v>
      </c>
      <c r="F422" s="8"/>
      <c r="G422" s="8"/>
      <c r="H422" s="8"/>
    </row>
    <row r="423" spans="1:8">
      <c r="A423" s="6" t="s">
        <v>2771</v>
      </c>
      <c r="B423" s="7" t="s">
        <v>2797</v>
      </c>
      <c r="C423" s="7" t="s">
        <v>2798</v>
      </c>
      <c r="D423" s="7" t="s">
        <v>2799</v>
      </c>
      <c r="E423" s="6" t="s">
        <v>2800</v>
      </c>
      <c r="F423" s="8"/>
      <c r="G423" s="8"/>
      <c r="H423" s="8"/>
    </row>
    <row r="424" spans="1:8">
      <c r="A424" s="6" t="s">
        <v>2771</v>
      </c>
      <c r="B424" s="7" t="s">
        <v>2797</v>
      </c>
      <c r="C424" s="7" t="s">
        <v>2798</v>
      </c>
      <c r="D424" s="7" t="s">
        <v>2801</v>
      </c>
      <c r="E424" s="6" t="s">
        <v>2802</v>
      </c>
      <c r="F424" s="8"/>
      <c r="G424" s="8"/>
      <c r="H424" s="8"/>
    </row>
    <row r="425" spans="1:8">
      <c r="A425" s="6" t="s">
        <v>2771</v>
      </c>
      <c r="B425" s="7" t="s">
        <v>2803</v>
      </c>
      <c r="C425" s="7" t="s">
        <v>2804</v>
      </c>
      <c r="D425" s="7" t="s">
        <v>2805</v>
      </c>
      <c r="E425" s="6" t="s">
        <v>916</v>
      </c>
      <c r="F425" s="8"/>
      <c r="G425" s="8"/>
      <c r="H425" s="8"/>
    </row>
    <row r="426" spans="1:8">
      <c r="A426" s="6" t="s">
        <v>2771</v>
      </c>
      <c r="B426" s="7" t="s">
        <v>2797</v>
      </c>
      <c r="C426" s="7" t="s">
        <v>2806</v>
      </c>
      <c r="D426" s="7" t="s">
        <v>2807</v>
      </c>
      <c r="E426" s="6" t="s">
        <v>2808</v>
      </c>
      <c r="F426" s="8"/>
      <c r="G426" s="8"/>
      <c r="H426" s="8"/>
    </row>
    <row r="427" spans="1:8">
      <c r="A427" s="6" t="s">
        <v>2771</v>
      </c>
      <c r="B427" s="7" t="s">
        <v>2782</v>
      </c>
      <c r="C427" s="7" t="s">
        <v>2786</v>
      </c>
      <c r="D427" s="7" t="s">
        <v>2809</v>
      </c>
      <c r="E427" s="6" t="s">
        <v>2810</v>
      </c>
      <c r="F427" s="8"/>
      <c r="G427" s="8"/>
      <c r="H427" s="8"/>
    </row>
    <row r="428" spans="1:8">
      <c r="A428" s="6" t="s">
        <v>2771</v>
      </c>
      <c r="B428" s="7" t="s">
        <v>2782</v>
      </c>
      <c r="C428" s="7" t="s">
        <v>2783</v>
      </c>
      <c r="D428" s="7" t="s">
        <v>2811</v>
      </c>
      <c r="E428" s="6" t="s">
        <v>2812</v>
      </c>
      <c r="F428" s="8"/>
      <c r="G428" s="8"/>
      <c r="H428" s="8"/>
    </row>
    <row r="429" spans="1:8">
      <c r="A429" s="6" t="s">
        <v>2771</v>
      </c>
      <c r="B429" s="7" t="s">
        <v>2782</v>
      </c>
      <c r="C429" s="7" t="s">
        <v>2783</v>
      </c>
      <c r="D429" s="7" t="s">
        <v>2813</v>
      </c>
      <c r="E429" s="6" t="s">
        <v>2814</v>
      </c>
      <c r="F429" s="8"/>
      <c r="G429" s="8"/>
      <c r="H429" s="8"/>
    </row>
    <row r="430" spans="1:8">
      <c r="A430" s="6" t="s">
        <v>2771</v>
      </c>
      <c r="B430" s="7" t="s">
        <v>2782</v>
      </c>
      <c r="C430" s="7" t="s">
        <v>2783</v>
      </c>
      <c r="D430" s="7" t="s">
        <v>2815</v>
      </c>
      <c r="E430" s="6" t="s">
        <v>2816</v>
      </c>
      <c r="F430" s="8"/>
      <c r="G430" s="8"/>
      <c r="H430" s="8"/>
    </row>
    <row r="431" spans="1:8">
      <c r="A431" s="6" t="s">
        <v>2771</v>
      </c>
      <c r="B431" s="7" t="s">
        <v>2782</v>
      </c>
      <c r="C431" s="7" t="s">
        <v>2783</v>
      </c>
      <c r="D431" s="7" t="s">
        <v>2817</v>
      </c>
      <c r="E431" s="6" t="s">
        <v>2818</v>
      </c>
      <c r="F431" s="8"/>
      <c r="G431" s="8"/>
      <c r="H431" s="8"/>
    </row>
    <row r="432" spans="1:8">
      <c r="A432" s="6" t="s">
        <v>2771</v>
      </c>
      <c r="B432" s="7" t="s">
        <v>2793</v>
      </c>
      <c r="C432" s="7" t="s">
        <v>2793</v>
      </c>
      <c r="D432" s="7" t="s">
        <v>2819</v>
      </c>
      <c r="E432" s="6" t="s">
        <v>2820</v>
      </c>
      <c r="F432" s="8"/>
      <c r="G432" s="8"/>
      <c r="H432" s="8"/>
    </row>
    <row r="433" spans="1:8">
      <c r="A433" s="6" t="s">
        <v>2771</v>
      </c>
      <c r="B433" s="7" t="s">
        <v>2782</v>
      </c>
      <c r="C433" s="7" t="s">
        <v>2821</v>
      </c>
      <c r="D433" s="7" t="s">
        <v>2822</v>
      </c>
      <c r="E433" s="6" t="s">
        <v>2823</v>
      </c>
      <c r="F433" s="8"/>
      <c r="G433" s="8"/>
      <c r="H433" s="8"/>
    </row>
    <row r="434" spans="1:8">
      <c r="A434" s="6" t="s">
        <v>2771</v>
      </c>
      <c r="B434" s="7" t="s">
        <v>2782</v>
      </c>
      <c r="C434" s="7" t="s">
        <v>2783</v>
      </c>
      <c r="D434" s="7" t="s">
        <v>2824</v>
      </c>
      <c r="E434" s="6" t="s">
        <v>2825</v>
      </c>
      <c r="F434" s="8"/>
      <c r="G434" s="8"/>
      <c r="H434" s="8"/>
    </row>
    <row r="435" spans="1:8">
      <c r="A435" s="6" t="s">
        <v>2771</v>
      </c>
      <c r="B435" s="7" t="s">
        <v>2782</v>
      </c>
      <c r="C435" s="7" t="s">
        <v>2821</v>
      </c>
      <c r="D435" s="7" t="s">
        <v>2826</v>
      </c>
      <c r="E435" s="6" t="s">
        <v>2827</v>
      </c>
      <c r="F435" s="8"/>
      <c r="G435" s="8"/>
      <c r="H435" s="8"/>
    </row>
    <row r="436" spans="1:8">
      <c r="A436" s="6" t="s">
        <v>2771</v>
      </c>
      <c r="B436" s="7" t="s">
        <v>2828</v>
      </c>
      <c r="C436" s="7" t="s">
        <v>2829</v>
      </c>
      <c r="D436" s="7" t="s">
        <v>2830</v>
      </c>
      <c r="E436" s="6" t="s">
        <v>2831</v>
      </c>
      <c r="F436" s="8" t="s">
        <v>6982</v>
      </c>
      <c r="G436" s="8" t="s">
        <v>6944</v>
      </c>
      <c r="H436" s="8" t="s">
        <v>6935</v>
      </c>
    </row>
    <row r="437" spans="1:8">
      <c r="A437" s="6" t="s">
        <v>2771</v>
      </c>
      <c r="B437" s="7" t="s">
        <v>2782</v>
      </c>
      <c r="C437" s="7" t="s">
        <v>2783</v>
      </c>
      <c r="D437" s="7" t="s">
        <v>2832</v>
      </c>
      <c r="E437" s="6" t="s">
        <v>2833</v>
      </c>
      <c r="F437" s="8"/>
      <c r="G437" s="8"/>
      <c r="H437" s="8"/>
    </row>
    <row r="438" spans="1:8">
      <c r="A438" s="6" t="s">
        <v>2771</v>
      </c>
      <c r="B438" s="7" t="s">
        <v>2782</v>
      </c>
      <c r="C438" s="7" t="s">
        <v>2821</v>
      </c>
      <c r="D438" s="7" t="s">
        <v>2834</v>
      </c>
      <c r="E438" s="6" t="s">
        <v>2835</v>
      </c>
      <c r="F438" s="8"/>
      <c r="G438" s="8"/>
      <c r="H438" s="8"/>
    </row>
    <row r="439" spans="1:8">
      <c r="A439" s="6" t="s">
        <v>2771</v>
      </c>
      <c r="B439" s="7" t="s">
        <v>2782</v>
      </c>
      <c r="C439" s="7" t="s">
        <v>2821</v>
      </c>
      <c r="D439" s="7" t="s">
        <v>2836</v>
      </c>
      <c r="E439" s="6" t="s">
        <v>2837</v>
      </c>
      <c r="F439" s="8"/>
      <c r="G439" s="8"/>
      <c r="H439" s="8"/>
    </row>
    <row r="440" spans="1:8">
      <c r="A440" s="6" t="s">
        <v>2771</v>
      </c>
      <c r="B440" s="7" t="s">
        <v>2828</v>
      </c>
      <c r="C440" s="7" t="s">
        <v>2829</v>
      </c>
      <c r="D440" s="7" t="s">
        <v>2838</v>
      </c>
      <c r="E440" s="6" t="s">
        <v>2839</v>
      </c>
      <c r="F440" s="8" t="s">
        <v>6982</v>
      </c>
      <c r="G440" s="8" t="s">
        <v>6944</v>
      </c>
      <c r="H440" s="8" t="s">
        <v>6935</v>
      </c>
    </row>
    <row r="441" spans="1:8">
      <c r="A441" s="6" t="s">
        <v>2771</v>
      </c>
      <c r="B441" s="7" t="s">
        <v>2782</v>
      </c>
      <c r="C441" s="7" t="s">
        <v>2786</v>
      </c>
      <c r="D441" s="7" t="s">
        <v>2840</v>
      </c>
      <c r="E441" s="6" t="s">
        <v>2841</v>
      </c>
      <c r="F441" s="8"/>
      <c r="G441" s="8"/>
      <c r="H441" s="8"/>
    </row>
    <row r="442" spans="1:8">
      <c r="A442" s="6" t="s">
        <v>2771</v>
      </c>
      <c r="B442" s="7" t="s">
        <v>2782</v>
      </c>
      <c r="C442" s="7" t="s">
        <v>2783</v>
      </c>
      <c r="D442" s="7" t="s">
        <v>2842</v>
      </c>
      <c r="E442" s="6" t="s">
        <v>2071</v>
      </c>
      <c r="F442" s="8"/>
      <c r="G442" s="8"/>
      <c r="H442" s="8"/>
    </row>
    <row r="443" spans="1:8">
      <c r="A443" s="6" t="s">
        <v>2771</v>
      </c>
      <c r="B443" s="7" t="s">
        <v>2782</v>
      </c>
      <c r="C443" s="7" t="s">
        <v>2786</v>
      </c>
      <c r="D443" s="7" t="s">
        <v>2843</v>
      </c>
      <c r="E443" s="6" t="s">
        <v>2844</v>
      </c>
      <c r="F443" s="8"/>
      <c r="G443" s="8"/>
      <c r="H443" s="8"/>
    </row>
    <row r="444" spans="1:8">
      <c r="A444" s="6" t="s">
        <v>2771</v>
      </c>
      <c r="B444" s="7" t="s">
        <v>2782</v>
      </c>
      <c r="C444" s="7" t="s">
        <v>2783</v>
      </c>
      <c r="D444" s="7" t="s">
        <v>2845</v>
      </c>
      <c r="E444" s="6" t="s">
        <v>2846</v>
      </c>
      <c r="F444" s="8"/>
      <c r="G444" s="8"/>
      <c r="H444" s="8"/>
    </row>
    <row r="445" spans="1:8">
      <c r="A445" s="6" t="s">
        <v>2771</v>
      </c>
      <c r="B445" s="7" t="s">
        <v>2782</v>
      </c>
      <c r="C445" s="7" t="s">
        <v>2821</v>
      </c>
      <c r="D445" s="7" t="s">
        <v>2847</v>
      </c>
      <c r="E445" s="6" t="s">
        <v>2848</v>
      </c>
      <c r="F445" s="8"/>
      <c r="G445" s="8"/>
      <c r="H445" s="8"/>
    </row>
    <row r="446" spans="1:8">
      <c r="A446" s="6" t="s">
        <v>2771</v>
      </c>
      <c r="B446" s="7" t="s">
        <v>2782</v>
      </c>
      <c r="C446" s="7" t="s">
        <v>2821</v>
      </c>
      <c r="D446" s="7" t="s">
        <v>2849</v>
      </c>
      <c r="E446" s="6" t="s">
        <v>1498</v>
      </c>
      <c r="F446" s="8"/>
      <c r="G446" s="8"/>
      <c r="H446" s="8"/>
    </row>
    <row r="447" spans="1:8">
      <c r="A447" s="6" t="s">
        <v>2771</v>
      </c>
      <c r="B447" s="7" t="s">
        <v>2782</v>
      </c>
      <c r="C447" s="7" t="s">
        <v>2783</v>
      </c>
      <c r="D447" s="7" t="s">
        <v>2850</v>
      </c>
      <c r="E447" s="6" t="s">
        <v>2851</v>
      </c>
      <c r="F447" s="8"/>
      <c r="G447" s="8"/>
      <c r="H447" s="8"/>
    </row>
    <row r="448" spans="1:8">
      <c r="A448" s="6" t="s">
        <v>2771</v>
      </c>
      <c r="B448" s="7" t="s">
        <v>2852</v>
      </c>
      <c r="C448" s="7" t="s">
        <v>2853</v>
      </c>
      <c r="D448" s="7" t="s">
        <v>2854</v>
      </c>
      <c r="E448" s="6" t="s">
        <v>2855</v>
      </c>
      <c r="F448" s="8"/>
      <c r="G448" s="8"/>
      <c r="H448" s="8"/>
    </row>
    <row r="449" spans="1:8">
      <c r="A449" s="6" t="s">
        <v>2771</v>
      </c>
      <c r="B449" s="7" t="s">
        <v>2852</v>
      </c>
      <c r="C449" s="7" t="s">
        <v>2856</v>
      </c>
      <c r="D449" s="7" t="s">
        <v>2857</v>
      </c>
      <c r="E449" s="6" t="s">
        <v>2858</v>
      </c>
      <c r="F449" s="8" t="s">
        <v>7097</v>
      </c>
      <c r="G449" s="8" t="s">
        <v>6929</v>
      </c>
      <c r="H449" s="8" t="s">
        <v>7042</v>
      </c>
    </row>
    <row r="450" spans="1:8">
      <c r="A450" s="6" t="s">
        <v>2771</v>
      </c>
      <c r="B450" s="7" t="s">
        <v>2852</v>
      </c>
      <c r="C450" s="7" t="s">
        <v>2859</v>
      </c>
      <c r="D450" s="7" t="s">
        <v>2860</v>
      </c>
      <c r="E450" s="6" t="s">
        <v>2861</v>
      </c>
      <c r="F450" s="8"/>
      <c r="G450" s="8"/>
      <c r="H450" s="8"/>
    </row>
    <row r="451" spans="1:8">
      <c r="A451" s="6" t="s">
        <v>2771</v>
      </c>
      <c r="B451" s="7" t="s">
        <v>2852</v>
      </c>
      <c r="C451" s="7" t="s">
        <v>2859</v>
      </c>
      <c r="D451" s="7" t="s">
        <v>2862</v>
      </c>
      <c r="E451" s="6" t="s">
        <v>2863</v>
      </c>
      <c r="F451" s="8"/>
      <c r="G451" s="8"/>
      <c r="H451" s="8"/>
    </row>
    <row r="452" spans="1:8">
      <c r="A452" s="6" t="s">
        <v>2771</v>
      </c>
      <c r="B452" s="7" t="s">
        <v>2852</v>
      </c>
      <c r="C452" s="7" t="s">
        <v>2859</v>
      </c>
      <c r="D452" s="7" t="s">
        <v>2864</v>
      </c>
      <c r="E452" s="6" t="s">
        <v>2865</v>
      </c>
      <c r="F452" s="8"/>
      <c r="G452" s="8"/>
      <c r="H452" s="8"/>
    </row>
    <row r="453" spans="1:8">
      <c r="A453" s="6" t="s">
        <v>2771</v>
      </c>
      <c r="B453" s="7" t="s">
        <v>2793</v>
      </c>
      <c r="C453" s="7" t="s">
        <v>2794</v>
      </c>
      <c r="D453" s="7" t="s">
        <v>2866</v>
      </c>
      <c r="E453" s="6" t="s">
        <v>2867</v>
      </c>
      <c r="F453" s="8"/>
      <c r="G453" s="8"/>
      <c r="H453" s="8"/>
    </row>
    <row r="454" spans="1:8">
      <c r="A454" s="6" t="s">
        <v>2771</v>
      </c>
      <c r="B454" s="7" t="s">
        <v>2868</v>
      </c>
      <c r="C454" s="7" t="s">
        <v>2868</v>
      </c>
      <c r="D454" s="7" t="s">
        <v>2869</v>
      </c>
      <c r="E454" s="6" t="s">
        <v>2213</v>
      </c>
      <c r="F454" s="8" t="s">
        <v>6931</v>
      </c>
      <c r="G454" s="8" t="s">
        <v>6929</v>
      </c>
      <c r="H454" s="8" t="s">
        <v>6951</v>
      </c>
    </row>
    <row r="455" spans="1:8">
      <c r="A455" s="6" t="s">
        <v>2771</v>
      </c>
      <c r="B455" s="7" t="s">
        <v>2793</v>
      </c>
      <c r="C455" s="7" t="s">
        <v>2794</v>
      </c>
      <c r="D455" s="7" t="s">
        <v>2870</v>
      </c>
      <c r="E455" s="6" t="s">
        <v>2871</v>
      </c>
      <c r="F455" s="8"/>
      <c r="G455" s="8"/>
      <c r="H455" s="8"/>
    </row>
    <row r="456" spans="1:8">
      <c r="A456" s="6" t="s">
        <v>2771</v>
      </c>
      <c r="B456" s="7" t="s">
        <v>2793</v>
      </c>
      <c r="C456" s="7" t="s">
        <v>2794</v>
      </c>
      <c r="D456" s="7" t="s">
        <v>2872</v>
      </c>
      <c r="E456" s="6" t="s">
        <v>2873</v>
      </c>
      <c r="F456" s="8"/>
      <c r="G456" s="8"/>
      <c r="H456" s="8"/>
    </row>
    <row r="457" spans="1:8">
      <c r="A457" s="6" t="s">
        <v>2771</v>
      </c>
      <c r="B457" s="7" t="s">
        <v>2793</v>
      </c>
      <c r="C457" s="7" t="s">
        <v>2794</v>
      </c>
      <c r="D457" s="7" t="s">
        <v>2874</v>
      </c>
      <c r="E457" s="6" t="s">
        <v>2875</v>
      </c>
      <c r="F457" s="8"/>
      <c r="G457" s="8"/>
      <c r="H457" s="8"/>
    </row>
    <row r="458" spans="1:8">
      <c r="A458" s="6" t="s">
        <v>2771</v>
      </c>
      <c r="B458" s="7" t="s">
        <v>2793</v>
      </c>
      <c r="C458" s="7" t="s">
        <v>2876</v>
      </c>
      <c r="D458" s="7" t="s">
        <v>2877</v>
      </c>
      <c r="E458" s="6" t="s">
        <v>2878</v>
      </c>
      <c r="F458" s="8"/>
      <c r="G458" s="8"/>
      <c r="H458" s="8"/>
    </row>
    <row r="459" spans="1:8">
      <c r="A459" s="6" t="s">
        <v>2771</v>
      </c>
      <c r="B459" s="7" t="s">
        <v>2793</v>
      </c>
      <c r="C459" s="7" t="s">
        <v>116</v>
      </c>
      <c r="D459" s="7" t="s">
        <v>2879</v>
      </c>
      <c r="E459" s="6" t="s">
        <v>2880</v>
      </c>
      <c r="F459" s="8"/>
      <c r="G459" s="8"/>
      <c r="H459" s="8"/>
    </row>
    <row r="460" spans="1:8">
      <c r="A460" s="6" t="s">
        <v>2771</v>
      </c>
      <c r="B460" s="7" t="s">
        <v>2782</v>
      </c>
      <c r="C460" s="7" t="s">
        <v>2786</v>
      </c>
      <c r="D460" s="7" t="s">
        <v>2881</v>
      </c>
      <c r="E460" s="6" t="s">
        <v>2882</v>
      </c>
      <c r="F460" s="8"/>
      <c r="G460" s="8"/>
      <c r="H460" s="8"/>
    </row>
    <row r="461" spans="1:8">
      <c r="A461" s="6" t="s">
        <v>2771</v>
      </c>
      <c r="B461" s="7" t="s">
        <v>2782</v>
      </c>
      <c r="C461" s="7" t="s">
        <v>2783</v>
      </c>
      <c r="D461" s="7" t="s">
        <v>2883</v>
      </c>
      <c r="E461" s="6" t="s">
        <v>2884</v>
      </c>
      <c r="F461" s="8"/>
      <c r="G461" s="8"/>
      <c r="H461" s="8"/>
    </row>
    <row r="462" spans="1:8">
      <c r="A462" s="6" t="s">
        <v>2771</v>
      </c>
      <c r="B462" s="7" t="s">
        <v>2793</v>
      </c>
      <c r="C462" s="7" t="s">
        <v>116</v>
      </c>
      <c r="D462" s="7" t="s">
        <v>2885</v>
      </c>
      <c r="E462" s="6" t="s">
        <v>2886</v>
      </c>
      <c r="F462" s="8"/>
      <c r="G462" s="8"/>
      <c r="H462" s="8"/>
    </row>
    <row r="463" spans="1:8">
      <c r="A463" s="6" t="s">
        <v>2771</v>
      </c>
      <c r="B463" s="7" t="s">
        <v>2793</v>
      </c>
      <c r="C463" s="7" t="s">
        <v>116</v>
      </c>
      <c r="D463" s="7" t="s">
        <v>2887</v>
      </c>
      <c r="E463" s="6" t="s">
        <v>2888</v>
      </c>
      <c r="F463" s="8"/>
      <c r="G463" s="8"/>
      <c r="H463" s="8"/>
    </row>
    <row r="464" spans="1:8">
      <c r="A464" s="6" t="s">
        <v>2771</v>
      </c>
      <c r="B464" s="7" t="s">
        <v>2793</v>
      </c>
      <c r="C464" s="7" t="s">
        <v>116</v>
      </c>
      <c r="D464" s="7" t="s">
        <v>2889</v>
      </c>
      <c r="E464" s="6" t="s">
        <v>2890</v>
      </c>
      <c r="F464" s="8"/>
      <c r="G464" s="8"/>
      <c r="H464" s="8"/>
    </row>
    <row r="465" spans="1:8">
      <c r="A465" s="6" t="s">
        <v>2771</v>
      </c>
      <c r="B465" s="7" t="s">
        <v>2828</v>
      </c>
      <c r="C465" s="7" t="s">
        <v>2891</v>
      </c>
      <c r="D465" s="7" t="s">
        <v>2892</v>
      </c>
      <c r="E465" s="6" t="s">
        <v>2893</v>
      </c>
      <c r="F465" s="8"/>
      <c r="G465" s="8"/>
      <c r="H465" s="8"/>
    </row>
    <row r="466" spans="1:8">
      <c r="A466" s="6" t="s">
        <v>2771</v>
      </c>
      <c r="B466" s="7" t="s">
        <v>2782</v>
      </c>
      <c r="C466" s="7" t="s">
        <v>2821</v>
      </c>
      <c r="D466" s="7" t="s">
        <v>2894</v>
      </c>
      <c r="E466" s="6" t="s">
        <v>2895</v>
      </c>
      <c r="F466" s="8"/>
      <c r="G466" s="8"/>
      <c r="H466" s="8"/>
    </row>
    <row r="467" spans="1:8">
      <c r="A467" s="6" t="s">
        <v>2771</v>
      </c>
      <c r="B467" s="7" t="s">
        <v>2896</v>
      </c>
      <c r="C467" s="7" t="s">
        <v>2897</v>
      </c>
      <c r="D467" s="7" t="s">
        <v>2898</v>
      </c>
      <c r="E467" s="6" t="s">
        <v>2899</v>
      </c>
      <c r="F467" s="8"/>
      <c r="G467" s="8"/>
      <c r="H467" s="8"/>
    </row>
    <row r="468" spans="1:8">
      <c r="A468" s="6" t="s">
        <v>2771</v>
      </c>
      <c r="B468" s="7" t="s">
        <v>2782</v>
      </c>
      <c r="C468" s="7" t="s">
        <v>2900</v>
      </c>
      <c r="D468" s="7" t="s">
        <v>2901</v>
      </c>
      <c r="E468" s="6" t="s">
        <v>2902</v>
      </c>
      <c r="F468" s="8"/>
      <c r="G468" s="8"/>
      <c r="H468" s="8"/>
    </row>
    <row r="469" spans="1:8">
      <c r="A469" s="6" t="s">
        <v>2771</v>
      </c>
      <c r="B469" s="7" t="s">
        <v>2828</v>
      </c>
      <c r="C469" s="7" t="s">
        <v>2829</v>
      </c>
      <c r="D469" s="7" t="s">
        <v>2903</v>
      </c>
      <c r="E469" s="6" t="s">
        <v>2904</v>
      </c>
      <c r="F469" s="8"/>
      <c r="G469" s="8"/>
      <c r="H469" s="8"/>
    </row>
    <row r="470" spans="1:8">
      <c r="A470" s="6" t="s">
        <v>2771</v>
      </c>
      <c r="B470" s="7" t="s">
        <v>2782</v>
      </c>
      <c r="C470" s="7" t="s">
        <v>2786</v>
      </c>
      <c r="D470" s="7" t="s">
        <v>2905</v>
      </c>
      <c r="E470" s="6" t="s">
        <v>2906</v>
      </c>
      <c r="F470" s="8"/>
      <c r="G470" s="8"/>
      <c r="H470" s="8"/>
    </row>
    <row r="471" spans="1:8">
      <c r="A471" s="6" t="s">
        <v>2771</v>
      </c>
      <c r="B471" s="7" t="s">
        <v>2828</v>
      </c>
      <c r="C471" s="7" t="s">
        <v>2907</v>
      </c>
      <c r="D471" s="7" t="s">
        <v>2908</v>
      </c>
      <c r="E471" s="6" t="s">
        <v>2909</v>
      </c>
      <c r="F471" s="8"/>
      <c r="G471" s="8"/>
      <c r="H471" s="8"/>
    </row>
    <row r="472" spans="1:8">
      <c r="A472" s="6" t="s">
        <v>2771</v>
      </c>
      <c r="B472" s="7" t="s">
        <v>2828</v>
      </c>
      <c r="C472" s="7" t="s">
        <v>2907</v>
      </c>
      <c r="D472" s="7" t="s">
        <v>2910</v>
      </c>
      <c r="E472" s="6" t="s">
        <v>2911</v>
      </c>
      <c r="F472" s="8"/>
      <c r="G472" s="8"/>
      <c r="H472" s="8"/>
    </row>
    <row r="473" spans="1:8">
      <c r="A473" s="6" t="s">
        <v>2771</v>
      </c>
      <c r="B473" s="7" t="s">
        <v>2828</v>
      </c>
      <c r="C473" s="7" t="s">
        <v>2912</v>
      </c>
      <c r="D473" s="7" t="s">
        <v>2913</v>
      </c>
      <c r="E473" s="6" t="s">
        <v>2914</v>
      </c>
      <c r="F473" s="8"/>
      <c r="G473" s="8"/>
      <c r="H473" s="8"/>
    </row>
    <row r="474" spans="1:8">
      <c r="A474" s="6" t="s">
        <v>2771</v>
      </c>
      <c r="B474" s="7" t="s">
        <v>2868</v>
      </c>
      <c r="C474" s="7" t="s">
        <v>2915</v>
      </c>
      <c r="D474" s="7" t="s">
        <v>2916</v>
      </c>
      <c r="E474" s="6" t="s">
        <v>2331</v>
      </c>
      <c r="F474" s="8"/>
      <c r="G474" s="8"/>
      <c r="H474" s="8"/>
    </row>
    <row r="475" spans="1:8">
      <c r="A475" s="6" t="s">
        <v>2771</v>
      </c>
      <c r="B475" s="7" t="s">
        <v>2782</v>
      </c>
      <c r="C475" s="7" t="s">
        <v>2821</v>
      </c>
      <c r="D475" s="7" t="s">
        <v>2917</v>
      </c>
      <c r="E475" s="6" t="s">
        <v>2918</v>
      </c>
      <c r="F475" s="8"/>
      <c r="G475" s="8"/>
      <c r="H475" s="8"/>
    </row>
    <row r="476" spans="1:8">
      <c r="A476" s="6" t="s">
        <v>2771</v>
      </c>
      <c r="B476" s="7" t="s">
        <v>2868</v>
      </c>
      <c r="C476" s="7" t="s">
        <v>2765</v>
      </c>
      <c r="D476" s="7" t="s">
        <v>2919</v>
      </c>
      <c r="E476" s="6" t="s">
        <v>2920</v>
      </c>
      <c r="F476" s="8"/>
      <c r="G476" s="8"/>
      <c r="H476" s="8"/>
    </row>
    <row r="477" spans="1:8">
      <c r="A477" s="6" t="s">
        <v>248</v>
      </c>
      <c r="B477" s="7" t="s">
        <v>249</v>
      </c>
      <c r="C477" s="7" t="s">
        <v>249</v>
      </c>
      <c r="D477" s="7" t="s">
        <v>250</v>
      </c>
      <c r="E477" s="6" t="s">
        <v>251</v>
      </c>
      <c r="F477" s="8"/>
      <c r="G477" s="8"/>
      <c r="H477" s="8"/>
    </row>
    <row r="478" spans="1:8">
      <c r="A478" s="6" t="s">
        <v>248</v>
      </c>
      <c r="B478" s="7" t="s">
        <v>880</v>
      </c>
      <c r="C478" s="7" t="s">
        <v>881</v>
      </c>
      <c r="D478" s="7" t="s">
        <v>882</v>
      </c>
      <c r="E478" s="6" t="s">
        <v>883</v>
      </c>
      <c r="F478" s="8"/>
      <c r="G478" s="8"/>
      <c r="H478" s="8"/>
    </row>
    <row r="479" spans="1:8">
      <c r="A479" s="6" t="s">
        <v>248</v>
      </c>
      <c r="B479" s="7" t="s">
        <v>1549</v>
      </c>
      <c r="C479" s="7" t="s">
        <v>1549</v>
      </c>
      <c r="D479" s="7" t="s">
        <v>1550</v>
      </c>
      <c r="E479" s="6" t="s">
        <v>1551</v>
      </c>
      <c r="F479" s="8"/>
      <c r="G479" s="8"/>
      <c r="H479" s="8"/>
    </row>
    <row r="480" spans="1:8">
      <c r="A480" s="6" t="s">
        <v>248</v>
      </c>
      <c r="B480" s="7" t="s">
        <v>1629</v>
      </c>
      <c r="C480" s="7" t="s">
        <v>1629</v>
      </c>
      <c r="D480" s="7" t="s">
        <v>1630</v>
      </c>
      <c r="E480" s="6" t="s">
        <v>1631</v>
      </c>
      <c r="F480" s="8" t="s">
        <v>6992</v>
      </c>
      <c r="G480" s="8" t="s">
        <v>6929</v>
      </c>
      <c r="H480" s="8" t="s">
        <v>6967</v>
      </c>
    </row>
    <row r="481" spans="1:8">
      <c r="A481" s="6" t="s">
        <v>248</v>
      </c>
      <c r="B481" s="7" t="s">
        <v>4554</v>
      </c>
      <c r="C481" s="7" t="s">
        <v>9</v>
      </c>
      <c r="D481" s="7" t="s">
        <v>4555</v>
      </c>
      <c r="E481" s="6" t="s">
        <v>4556</v>
      </c>
      <c r="F481" s="8"/>
      <c r="G481" s="8"/>
      <c r="H481" s="8"/>
    </row>
    <row r="482" spans="1:8">
      <c r="A482" s="6" t="s">
        <v>248</v>
      </c>
      <c r="B482" s="7" t="s">
        <v>4554</v>
      </c>
      <c r="C482" s="7" t="s">
        <v>9</v>
      </c>
      <c r="D482" s="7" t="s">
        <v>4557</v>
      </c>
      <c r="E482" s="6" t="s">
        <v>4556</v>
      </c>
      <c r="F482" s="8"/>
      <c r="G482" s="8"/>
      <c r="H482" s="8"/>
    </row>
    <row r="483" spans="1:8">
      <c r="A483" s="6" t="s">
        <v>248</v>
      </c>
      <c r="B483" s="7" t="s">
        <v>4554</v>
      </c>
      <c r="C483" s="7" t="s">
        <v>9</v>
      </c>
      <c r="D483" s="7" t="s">
        <v>4558</v>
      </c>
      <c r="E483" s="6" t="s">
        <v>4556</v>
      </c>
      <c r="F483" s="8"/>
      <c r="G483" s="8"/>
      <c r="H483" s="8"/>
    </row>
    <row r="484" spans="1:8">
      <c r="A484" s="6" t="s">
        <v>248</v>
      </c>
      <c r="B484" s="7" t="s">
        <v>4554</v>
      </c>
      <c r="C484" s="7" t="s">
        <v>9</v>
      </c>
      <c r="D484" s="7" t="s">
        <v>4559</v>
      </c>
      <c r="E484" s="6" t="s">
        <v>4556</v>
      </c>
      <c r="F484" s="8"/>
      <c r="G484" s="8"/>
      <c r="H484" s="8"/>
    </row>
    <row r="485" spans="1:8">
      <c r="A485" s="6" t="s">
        <v>248</v>
      </c>
      <c r="B485" s="7" t="s">
        <v>3043</v>
      </c>
      <c r="C485" s="7" t="s">
        <v>3043</v>
      </c>
      <c r="D485" s="7" t="s">
        <v>4560</v>
      </c>
      <c r="E485" s="6" t="s">
        <v>4561</v>
      </c>
      <c r="F485" s="8"/>
      <c r="G485" s="8"/>
      <c r="H485" s="8"/>
    </row>
    <row r="486" spans="1:8">
      <c r="A486" s="6" t="s">
        <v>248</v>
      </c>
      <c r="B486" s="7" t="s">
        <v>3043</v>
      </c>
      <c r="C486" s="7" t="s">
        <v>3043</v>
      </c>
      <c r="D486" s="7" t="s">
        <v>4562</v>
      </c>
      <c r="E486" s="6" t="s">
        <v>4563</v>
      </c>
      <c r="F486" s="8"/>
      <c r="G486" s="8"/>
      <c r="H486" s="8"/>
    </row>
    <row r="487" spans="1:8">
      <c r="A487" s="6" t="s">
        <v>248</v>
      </c>
      <c r="B487" s="7" t="s">
        <v>1549</v>
      </c>
      <c r="C487" s="7" t="s">
        <v>1549</v>
      </c>
      <c r="D487" s="7" t="s">
        <v>4564</v>
      </c>
      <c r="E487" s="6" t="s">
        <v>4565</v>
      </c>
      <c r="F487" s="8"/>
      <c r="G487" s="8"/>
      <c r="H487" s="8"/>
    </row>
    <row r="488" spans="1:8">
      <c r="A488" s="6" t="s">
        <v>248</v>
      </c>
      <c r="B488" s="7" t="s">
        <v>4566</v>
      </c>
      <c r="C488" s="7" t="s">
        <v>4566</v>
      </c>
      <c r="D488" s="7" t="s">
        <v>4567</v>
      </c>
      <c r="E488" s="6" t="s">
        <v>4568</v>
      </c>
      <c r="F488" s="8"/>
      <c r="G488" s="8"/>
      <c r="H488" s="8"/>
    </row>
    <row r="489" spans="1:8">
      <c r="A489" s="6" t="s">
        <v>248</v>
      </c>
      <c r="B489" s="7" t="s">
        <v>880</v>
      </c>
      <c r="C489" s="7" t="s">
        <v>4569</v>
      </c>
      <c r="D489" s="7" t="s">
        <v>4570</v>
      </c>
      <c r="E489" s="6" t="s">
        <v>4571</v>
      </c>
      <c r="F489" s="8"/>
      <c r="G489" s="8"/>
      <c r="H489" s="8"/>
    </row>
    <row r="490" spans="1:8">
      <c r="A490" s="6" t="s">
        <v>248</v>
      </c>
      <c r="B490" s="7" t="s">
        <v>880</v>
      </c>
      <c r="C490" s="7" t="s">
        <v>4569</v>
      </c>
      <c r="D490" s="7" t="s">
        <v>4572</v>
      </c>
      <c r="E490" s="6" t="s">
        <v>4573</v>
      </c>
      <c r="F490" s="8"/>
      <c r="G490" s="8"/>
      <c r="H490" s="8"/>
    </row>
    <row r="491" spans="1:8">
      <c r="A491" s="6" t="s">
        <v>248</v>
      </c>
      <c r="B491" s="7" t="s">
        <v>880</v>
      </c>
      <c r="C491" s="7" t="s">
        <v>4574</v>
      </c>
      <c r="D491" s="7" t="s">
        <v>4575</v>
      </c>
      <c r="E491" s="6" t="s">
        <v>4576</v>
      </c>
      <c r="F491" s="8" t="s">
        <v>6931</v>
      </c>
      <c r="G491" s="8" t="s">
        <v>6929</v>
      </c>
      <c r="H491" s="8" t="s">
        <v>7098</v>
      </c>
    </row>
    <row r="492" spans="1:8">
      <c r="A492" s="6" t="s">
        <v>248</v>
      </c>
      <c r="B492" s="7" t="s">
        <v>880</v>
      </c>
      <c r="C492" s="7" t="s">
        <v>4577</v>
      </c>
      <c r="D492" s="7" t="s">
        <v>4578</v>
      </c>
      <c r="E492" s="6" t="s">
        <v>1960</v>
      </c>
      <c r="F492" s="8"/>
      <c r="G492" s="8"/>
      <c r="H492" s="8"/>
    </row>
    <row r="493" spans="1:8">
      <c r="A493" s="6" t="s">
        <v>248</v>
      </c>
      <c r="B493" s="7" t="s">
        <v>3958</v>
      </c>
      <c r="C493" s="7" t="s">
        <v>4579</v>
      </c>
      <c r="D493" s="7" t="s">
        <v>4580</v>
      </c>
      <c r="E493" s="6" t="s">
        <v>4581</v>
      </c>
      <c r="F493" s="8"/>
      <c r="G493" s="8"/>
      <c r="H493" s="8"/>
    </row>
    <row r="494" spans="1:8">
      <c r="A494" s="6" t="s">
        <v>248</v>
      </c>
      <c r="B494" s="7" t="s">
        <v>880</v>
      </c>
      <c r="C494" s="7" t="s">
        <v>881</v>
      </c>
      <c r="D494" s="7" t="s">
        <v>4582</v>
      </c>
      <c r="E494" s="6" t="s">
        <v>4583</v>
      </c>
      <c r="F494" s="8"/>
      <c r="G494" s="8"/>
      <c r="H494" s="8"/>
    </row>
    <row r="495" spans="1:8">
      <c r="A495" s="6" t="s">
        <v>248</v>
      </c>
      <c r="B495" s="7" t="s">
        <v>3958</v>
      </c>
      <c r="C495" s="7" t="s">
        <v>4584</v>
      </c>
      <c r="D495" s="7" t="s">
        <v>4585</v>
      </c>
      <c r="E495" s="6" t="s">
        <v>4586</v>
      </c>
      <c r="F495" s="8"/>
      <c r="G495" s="8"/>
      <c r="H495" s="8"/>
    </row>
    <row r="496" spans="1:8">
      <c r="A496" s="6" t="s">
        <v>248</v>
      </c>
      <c r="B496" s="7" t="s">
        <v>880</v>
      </c>
      <c r="C496" s="7" t="s">
        <v>4569</v>
      </c>
      <c r="D496" s="7" t="s">
        <v>4587</v>
      </c>
      <c r="E496" s="6" t="s">
        <v>4588</v>
      </c>
      <c r="F496" s="8"/>
      <c r="G496" s="8"/>
      <c r="H496" s="8"/>
    </row>
    <row r="497" spans="1:8">
      <c r="A497" s="6" t="s">
        <v>248</v>
      </c>
      <c r="B497" s="7" t="s">
        <v>880</v>
      </c>
      <c r="C497" s="7" t="s">
        <v>4577</v>
      </c>
      <c r="D497" s="7" t="s">
        <v>4589</v>
      </c>
      <c r="E497" s="6" t="s">
        <v>4590</v>
      </c>
      <c r="F497" s="8"/>
      <c r="G497" s="8"/>
      <c r="H497" s="8"/>
    </row>
    <row r="498" spans="1:8">
      <c r="A498" s="6" t="s">
        <v>248</v>
      </c>
      <c r="B498" s="7" t="s">
        <v>880</v>
      </c>
      <c r="C498" s="7" t="s">
        <v>4569</v>
      </c>
      <c r="D498" s="7" t="s">
        <v>4591</v>
      </c>
      <c r="E498" s="6" t="s">
        <v>4586</v>
      </c>
      <c r="F498" s="8"/>
      <c r="G498" s="8"/>
      <c r="H498" s="8"/>
    </row>
    <row r="499" spans="1:8">
      <c r="A499" s="6" t="s">
        <v>248</v>
      </c>
      <c r="B499" s="7" t="s">
        <v>880</v>
      </c>
      <c r="C499" s="7" t="s">
        <v>4577</v>
      </c>
      <c r="D499" s="7" t="s">
        <v>4592</v>
      </c>
      <c r="E499" s="6" t="s">
        <v>4593</v>
      </c>
      <c r="F499" s="8" t="s">
        <v>6931</v>
      </c>
      <c r="G499" s="8" t="s">
        <v>7099</v>
      </c>
      <c r="H499" s="8" t="s">
        <v>7100</v>
      </c>
    </row>
    <row r="500" spans="1:8">
      <c r="A500" s="6" t="s">
        <v>248</v>
      </c>
      <c r="B500" s="7" t="s">
        <v>561</v>
      </c>
      <c r="C500" s="7" t="s">
        <v>561</v>
      </c>
      <c r="D500" s="7" t="s">
        <v>4594</v>
      </c>
      <c r="E500" s="6" t="s">
        <v>4595</v>
      </c>
      <c r="F500" s="8" t="s">
        <v>6993</v>
      </c>
      <c r="G500" s="8" t="s">
        <v>6929</v>
      </c>
      <c r="H500" s="8" t="s">
        <v>6994</v>
      </c>
    </row>
    <row r="501" spans="1:8">
      <c r="A501" s="6" t="s">
        <v>248</v>
      </c>
      <c r="B501" s="7" t="s">
        <v>4596</v>
      </c>
      <c r="C501" s="7" t="s">
        <v>4597</v>
      </c>
      <c r="D501" s="7" t="s">
        <v>4598</v>
      </c>
      <c r="E501" s="6" t="s">
        <v>2100</v>
      </c>
      <c r="F501" s="8"/>
      <c r="G501" s="8"/>
      <c r="H501" s="8"/>
    </row>
    <row r="502" spans="1:8">
      <c r="A502" s="6" t="s">
        <v>248</v>
      </c>
      <c r="B502" s="7" t="s">
        <v>4596</v>
      </c>
      <c r="C502" s="7" t="s">
        <v>4599</v>
      </c>
      <c r="D502" s="7" t="s">
        <v>4600</v>
      </c>
      <c r="E502" s="6" t="s">
        <v>4601</v>
      </c>
      <c r="F502" s="8"/>
      <c r="G502" s="8"/>
      <c r="H502" s="8"/>
    </row>
    <row r="503" spans="1:8">
      <c r="A503" s="6" t="s">
        <v>248</v>
      </c>
      <c r="B503" s="7" t="s">
        <v>4602</v>
      </c>
      <c r="C503" s="7" t="s">
        <v>4602</v>
      </c>
      <c r="D503" s="7" t="s">
        <v>4603</v>
      </c>
      <c r="E503" s="6" t="s">
        <v>4604</v>
      </c>
      <c r="F503" s="8"/>
      <c r="G503" s="8"/>
      <c r="H503" s="8"/>
    </row>
    <row r="504" spans="1:8">
      <c r="A504" s="6" t="s">
        <v>1202</v>
      </c>
      <c r="B504" s="7" t="s">
        <v>9</v>
      </c>
      <c r="C504" s="7" t="s">
        <v>1203</v>
      </c>
      <c r="D504" s="7" t="s">
        <v>1204</v>
      </c>
      <c r="E504" s="6" t="s">
        <v>1205</v>
      </c>
      <c r="F504" s="8"/>
      <c r="G504" s="8"/>
      <c r="H504" s="8"/>
    </row>
    <row r="505" spans="1:8">
      <c r="A505" s="6" t="s">
        <v>1202</v>
      </c>
      <c r="B505" s="7" t="s">
        <v>1969</v>
      </c>
      <c r="C505" s="7" t="s">
        <v>78</v>
      </c>
      <c r="D505" s="7" t="s">
        <v>1970</v>
      </c>
      <c r="E505" s="6" t="s">
        <v>1971</v>
      </c>
      <c r="F505" s="8"/>
      <c r="G505" s="8"/>
      <c r="H505" s="8"/>
    </row>
    <row r="506" spans="1:8">
      <c r="A506" s="6" t="s">
        <v>1202</v>
      </c>
      <c r="B506" s="7" t="s">
        <v>1969</v>
      </c>
      <c r="C506" s="7" t="s">
        <v>78</v>
      </c>
      <c r="D506" s="7" t="s">
        <v>1972</v>
      </c>
      <c r="E506" s="6" t="s">
        <v>1973</v>
      </c>
      <c r="F506" s="8"/>
      <c r="G506" s="8"/>
      <c r="H506" s="8"/>
    </row>
    <row r="507" spans="1:8">
      <c r="A507" s="6" t="s">
        <v>1202</v>
      </c>
      <c r="B507" s="7" t="s">
        <v>1969</v>
      </c>
      <c r="C507" s="7" t="s">
        <v>1974</v>
      </c>
      <c r="D507" s="7" t="s">
        <v>1975</v>
      </c>
      <c r="E507" s="6" t="s">
        <v>1976</v>
      </c>
      <c r="F507" s="8"/>
      <c r="G507" s="8"/>
      <c r="H507" s="8"/>
    </row>
    <row r="508" spans="1:8">
      <c r="A508" s="6" t="s">
        <v>4871</v>
      </c>
      <c r="B508" s="7" t="s">
        <v>4872</v>
      </c>
      <c r="C508" s="7" t="s">
        <v>4873</v>
      </c>
      <c r="D508" s="7" t="s">
        <v>4874</v>
      </c>
      <c r="E508" s="6" t="s">
        <v>4875</v>
      </c>
      <c r="F508" s="8"/>
      <c r="G508" s="8"/>
      <c r="H508" s="8"/>
    </row>
    <row r="509" spans="1:8">
      <c r="A509" s="6" t="s">
        <v>4871</v>
      </c>
      <c r="B509" s="7" t="s">
        <v>4876</v>
      </c>
      <c r="C509" s="7" t="s">
        <v>4873</v>
      </c>
      <c r="D509" s="7" t="s">
        <v>4877</v>
      </c>
      <c r="E509" s="6" t="s">
        <v>4878</v>
      </c>
      <c r="F509" s="8"/>
      <c r="G509" s="8"/>
      <c r="H509" s="8"/>
    </row>
    <row r="510" spans="1:8">
      <c r="A510" s="6" t="s">
        <v>4871</v>
      </c>
      <c r="B510" s="7" t="s">
        <v>4879</v>
      </c>
      <c r="C510" s="7" t="s">
        <v>4873</v>
      </c>
      <c r="D510" s="7" t="s">
        <v>4880</v>
      </c>
      <c r="E510" s="6" t="s">
        <v>4881</v>
      </c>
      <c r="F510" s="8"/>
      <c r="G510" s="8"/>
      <c r="H510" s="8"/>
    </row>
    <row r="511" spans="1:8">
      <c r="A511" s="6" t="s">
        <v>4871</v>
      </c>
      <c r="B511" s="7" t="s">
        <v>4882</v>
      </c>
      <c r="C511" s="7" t="s">
        <v>4883</v>
      </c>
      <c r="D511" s="7" t="s">
        <v>4884</v>
      </c>
      <c r="E511" s="6" t="s">
        <v>4885</v>
      </c>
      <c r="F511" s="8"/>
      <c r="G511" s="8"/>
      <c r="H511" s="8"/>
    </row>
    <row r="512" spans="1:8">
      <c r="A512" s="6" t="s">
        <v>4871</v>
      </c>
      <c r="B512" s="7" t="s">
        <v>4886</v>
      </c>
      <c r="C512" s="7" t="s">
        <v>4883</v>
      </c>
      <c r="D512" s="7" t="s">
        <v>4887</v>
      </c>
      <c r="E512" s="6" t="s">
        <v>4888</v>
      </c>
      <c r="F512" s="8"/>
      <c r="G512" s="8"/>
      <c r="H512" s="8"/>
    </row>
    <row r="513" spans="1:8">
      <c r="A513" s="6" t="s">
        <v>4871</v>
      </c>
      <c r="B513" s="7" t="s">
        <v>4889</v>
      </c>
      <c r="C513" s="7" t="s">
        <v>4889</v>
      </c>
      <c r="D513" s="7" t="s">
        <v>4890</v>
      </c>
      <c r="E513" s="6" t="s">
        <v>4889</v>
      </c>
      <c r="F513" s="8"/>
      <c r="G513" s="8"/>
      <c r="H513" s="8"/>
    </row>
    <row r="514" spans="1:8">
      <c r="A514" s="6" t="s">
        <v>4871</v>
      </c>
      <c r="B514" s="7" t="s">
        <v>4891</v>
      </c>
      <c r="C514" s="7" t="s">
        <v>9</v>
      </c>
      <c r="D514" s="7" t="s">
        <v>4892</v>
      </c>
      <c r="E514" s="6" t="s">
        <v>4893</v>
      </c>
      <c r="F514" s="8"/>
      <c r="G514" s="8"/>
      <c r="H514" s="8"/>
    </row>
    <row r="515" spans="1:8">
      <c r="A515" s="6" t="s">
        <v>4871</v>
      </c>
      <c r="B515" s="7" t="s">
        <v>4894</v>
      </c>
      <c r="C515" s="7" t="s">
        <v>9</v>
      </c>
      <c r="D515" s="7" t="s">
        <v>4895</v>
      </c>
      <c r="E515" s="6" t="s">
        <v>4896</v>
      </c>
      <c r="F515" s="8"/>
      <c r="G515" s="8"/>
      <c r="H515" s="8"/>
    </row>
    <row r="516" spans="1:8">
      <c r="A516" s="6" t="s">
        <v>4871</v>
      </c>
      <c r="B516" s="7" t="s">
        <v>4897</v>
      </c>
      <c r="C516" s="7" t="s">
        <v>9</v>
      </c>
      <c r="D516" s="7" t="s">
        <v>4898</v>
      </c>
      <c r="E516" s="6" t="s">
        <v>4899</v>
      </c>
      <c r="F516" s="8"/>
      <c r="G516" s="8"/>
      <c r="H516" s="8"/>
    </row>
    <row r="517" spans="1:8">
      <c r="A517" s="6" t="s">
        <v>4871</v>
      </c>
      <c r="B517" s="7" t="s">
        <v>4900</v>
      </c>
      <c r="C517" s="7" t="s">
        <v>9</v>
      </c>
      <c r="D517" s="7" t="s">
        <v>4901</v>
      </c>
      <c r="E517" s="6" t="s">
        <v>4902</v>
      </c>
      <c r="F517" s="8"/>
      <c r="G517" s="8"/>
      <c r="H517" s="8"/>
    </row>
    <row r="518" spans="1:8">
      <c r="A518" s="6" t="s">
        <v>4871</v>
      </c>
      <c r="B518" s="7" t="s">
        <v>4903</v>
      </c>
      <c r="C518" s="7" t="s">
        <v>9</v>
      </c>
      <c r="D518" s="7" t="s">
        <v>4904</v>
      </c>
      <c r="E518" s="6" t="s">
        <v>4905</v>
      </c>
      <c r="F518" s="8"/>
      <c r="G518" s="8"/>
      <c r="H518" s="8"/>
    </row>
    <row r="519" spans="1:8">
      <c r="A519" s="6" t="s">
        <v>4871</v>
      </c>
      <c r="B519" s="7" t="s">
        <v>4906</v>
      </c>
      <c r="C519" s="7" t="s">
        <v>9</v>
      </c>
      <c r="D519" s="7" t="s">
        <v>4907</v>
      </c>
      <c r="E519" s="6" t="s">
        <v>4908</v>
      </c>
      <c r="F519" s="8"/>
      <c r="G519" s="8"/>
      <c r="H519" s="8"/>
    </row>
    <row r="520" spans="1:8">
      <c r="A520" s="6" t="s">
        <v>4871</v>
      </c>
      <c r="B520" s="7" t="s">
        <v>4909</v>
      </c>
      <c r="C520" s="7" t="s">
        <v>9</v>
      </c>
      <c r="D520" s="7" t="s">
        <v>4910</v>
      </c>
      <c r="E520" s="6" t="s">
        <v>4911</v>
      </c>
      <c r="F520" s="8"/>
      <c r="G520" s="8"/>
      <c r="H520" s="8"/>
    </row>
    <row r="521" spans="1:8">
      <c r="A521" s="6" t="s">
        <v>4871</v>
      </c>
      <c r="B521" s="7" t="s">
        <v>4912</v>
      </c>
      <c r="C521" s="7" t="s">
        <v>4912</v>
      </c>
      <c r="D521" s="7" t="s">
        <v>4913</v>
      </c>
      <c r="E521" s="6" t="s">
        <v>4881</v>
      </c>
      <c r="F521" s="8"/>
      <c r="G521" s="8"/>
      <c r="H521" s="8"/>
    </row>
    <row r="522" spans="1:8">
      <c r="A522" s="6" t="s">
        <v>4871</v>
      </c>
      <c r="B522" s="7" t="s">
        <v>4914</v>
      </c>
      <c r="C522" s="7" t="s">
        <v>4915</v>
      </c>
      <c r="D522" s="7" t="s">
        <v>4916</v>
      </c>
      <c r="E522" s="6" t="s">
        <v>4917</v>
      </c>
      <c r="F522" s="8"/>
      <c r="G522" s="8"/>
      <c r="H522" s="8"/>
    </row>
    <row r="523" spans="1:8">
      <c r="A523" s="6" t="s">
        <v>4871</v>
      </c>
      <c r="B523" s="7" t="s">
        <v>4918</v>
      </c>
      <c r="C523" s="7" t="s">
        <v>4919</v>
      </c>
      <c r="D523" s="7" t="s">
        <v>4920</v>
      </c>
      <c r="E523" s="6" t="s">
        <v>4921</v>
      </c>
      <c r="F523" s="8"/>
      <c r="G523" s="8"/>
      <c r="H523" s="8"/>
    </row>
    <row r="524" spans="1:8">
      <c r="A524" s="6" t="s">
        <v>4871</v>
      </c>
      <c r="B524" s="7" t="s">
        <v>4922</v>
      </c>
      <c r="C524" s="7" t="s">
        <v>4919</v>
      </c>
      <c r="D524" s="7" t="s">
        <v>4923</v>
      </c>
      <c r="E524" s="6" t="s">
        <v>4924</v>
      </c>
      <c r="F524" s="8"/>
      <c r="G524" s="8"/>
      <c r="H524" s="8"/>
    </row>
    <row r="525" spans="1:8">
      <c r="A525" s="6" t="s">
        <v>4871</v>
      </c>
      <c r="B525" s="7" t="s">
        <v>4925</v>
      </c>
      <c r="C525" s="7" t="s">
        <v>4926</v>
      </c>
      <c r="D525" s="7" t="s">
        <v>4927</v>
      </c>
      <c r="E525" s="6" t="s">
        <v>4928</v>
      </c>
      <c r="F525" s="8"/>
      <c r="G525" s="8"/>
      <c r="H525" s="8"/>
    </row>
    <row r="526" spans="1:8">
      <c r="A526" s="6" t="s">
        <v>4871</v>
      </c>
      <c r="B526" s="7" t="s">
        <v>4929</v>
      </c>
      <c r="C526" s="7" t="s">
        <v>712</v>
      </c>
      <c r="D526" s="7" t="s">
        <v>4930</v>
      </c>
      <c r="E526" s="6" t="s">
        <v>4931</v>
      </c>
      <c r="F526" s="8"/>
      <c r="G526" s="8"/>
      <c r="H526" s="8"/>
    </row>
    <row r="527" spans="1:8">
      <c r="A527" s="6" t="s">
        <v>4871</v>
      </c>
      <c r="B527" s="7" t="s">
        <v>4932</v>
      </c>
      <c r="C527" s="7" t="s">
        <v>712</v>
      </c>
      <c r="D527" s="7" t="s">
        <v>4933</v>
      </c>
      <c r="E527" s="6" t="s">
        <v>4934</v>
      </c>
      <c r="F527" s="8"/>
      <c r="G527" s="8"/>
      <c r="H527" s="8"/>
    </row>
    <row r="528" spans="1:8">
      <c r="A528" s="6" t="s">
        <v>4871</v>
      </c>
      <c r="B528" s="7" t="s">
        <v>4935</v>
      </c>
      <c r="C528" s="7" t="s">
        <v>4926</v>
      </c>
      <c r="D528" s="7" t="s">
        <v>4936</v>
      </c>
      <c r="E528" s="6" t="s">
        <v>4937</v>
      </c>
      <c r="F528" s="8"/>
      <c r="G528" s="8"/>
      <c r="H528" s="8"/>
    </row>
    <row r="529" spans="1:8">
      <c r="A529" s="6" t="s">
        <v>4871</v>
      </c>
      <c r="B529" s="7" t="s">
        <v>4938</v>
      </c>
      <c r="C529" s="7" t="s">
        <v>4873</v>
      </c>
      <c r="D529" s="7" t="s">
        <v>4939</v>
      </c>
      <c r="E529" s="6" t="s">
        <v>62</v>
      </c>
      <c r="F529" s="8"/>
      <c r="G529" s="8"/>
      <c r="H529" s="8"/>
    </row>
    <row r="530" spans="1:8">
      <c r="A530" s="6" t="s">
        <v>4871</v>
      </c>
      <c r="B530" s="7" t="s">
        <v>4940</v>
      </c>
      <c r="C530" s="7" t="s">
        <v>9</v>
      </c>
      <c r="D530" s="7" t="s">
        <v>4941</v>
      </c>
      <c r="E530" s="6" t="s">
        <v>4942</v>
      </c>
      <c r="F530" s="8"/>
      <c r="G530" s="8"/>
      <c r="H530" s="8"/>
    </row>
    <row r="531" spans="1:8">
      <c r="A531" s="6" t="s">
        <v>4871</v>
      </c>
      <c r="B531" s="7" t="s">
        <v>4943</v>
      </c>
      <c r="C531" s="7" t="s">
        <v>9</v>
      </c>
      <c r="D531" s="7" t="s">
        <v>4944</v>
      </c>
      <c r="E531" s="6" t="s">
        <v>4945</v>
      </c>
      <c r="F531" s="8"/>
      <c r="G531" s="8"/>
      <c r="H531" s="8"/>
    </row>
    <row r="532" spans="1:8">
      <c r="A532" s="6" t="s">
        <v>4871</v>
      </c>
      <c r="B532" s="7" t="s">
        <v>4946</v>
      </c>
      <c r="C532" s="7" t="s">
        <v>9</v>
      </c>
      <c r="D532" s="7" t="s">
        <v>4947</v>
      </c>
      <c r="E532" s="6" t="s">
        <v>4948</v>
      </c>
      <c r="F532" s="8"/>
      <c r="G532" s="8"/>
      <c r="H532" s="8"/>
    </row>
    <row r="533" spans="1:8">
      <c r="A533" s="6" t="s">
        <v>4871</v>
      </c>
      <c r="B533" s="7" t="s">
        <v>4949</v>
      </c>
      <c r="C533" s="7" t="s">
        <v>9</v>
      </c>
      <c r="D533" s="7" t="s">
        <v>4950</v>
      </c>
      <c r="E533" s="6" t="s">
        <v>4951</v>
      </c>
      <c r="F533" s="8"/>
      <c r="G533" s="8"/>
      <c r="H533" s="8"/>
    </row>
    <row r="534" spans="1:8">
      <c r="A534" s="6" t="s">
        <v>4871</v>
      </c>
      <c r="B534" s="7" t="s">
        <v>4952</v>
      </c>
      <c r="C534" s="7" t="s">
        <v>4953</v>
      </c>
      <c r="D534" s="7" t="s">
        <v>4954</v>
      </c>
      <c r="E534" s="6" t="s">
        <v>4955</v>
      </c>
      <c r="F534" s="8"/>
      <c r="G534" s="8"/>
      <c r="H534" s="8"/>
    </row>
    <row r="535" spans="1:8">
      <c r="A535" s="6" t="s">
        <v>29</v>
      </c>
      <c r="B535" s="7" t="s">
        <v>30</v>
      </c>
      <c r="C535" s="7" t="s">
        <v>31</v>
      </c>
      <c r="D535" s="7" t="s">
        <v>32</v>
      </c>
      <c r="E535" s="6" t="s">
        <v>33</v>
      </c>
      <c r="F535" s="8"/>
      <c r="G535" s="8"/>
      <c r="H535" s="8"/>
    </row>
    <row r="536" spans="1:8">
      <c r="A536" s="6" t="s">
        <v>29</v>
      </c>
      <c r="B536" s="7" t="s">
        <v>30</v>
      </c>
      <c r="C536" s="7" t="s">
        <v>43</v>
      </c>
      <c r="D536" s="7" t="s">
        <v>44</v>
      </c>
      <c r="E536" s="6" t="s">
        <v>45</v>
      </c>
      <c r="F536" s="8"/>
      <c r="G536" s="8"/>
      <c r="H536" s="8"/>
    </row>
    <row r="537" spans="1:8">
      <c r="A537" s="6" t="s">
        <v>29</v>
      </c>
      <c r="B537" s="7" t="s">
        <v>795</v>
      </c>
      <c r="C537" s="7" t="s">
        <v>796</v>
      </c>
      <c r="D537" s="7" t="s">
        <v>797</v>
      </c>
      <c r="E537" s="6" t="s">
        <v>798</v>
      </c>
      <c r="F537" s="8" t="s">
        <v>6992</v>
      </c>
      <c r="G537" s="8" t="s">
        <v>6929</v>
      </c>
      <c r="H537" s="8" t="s">
        <v>6954</v>
      </c>
    </row>
    <row r="538" spans="1:8">
      <c r="A538" s="6" t="s">
        <v>29</v>
      </c>
      <c r="B538" s="7" t="s">
        <v>30</v>
      </c>
      <c r="C538" s="7" t="s">
        <v>30</v>
      </c>
      <c r="D538" s="7" t="s">
        <v>873</v>
      </c>
      <c r="E538" s="6" t="s">
        <v>874</v>
      </c>
      <c r="F538" s="8"/>
      <c r="G538" s="8"/>
      <c r="H538" s="8"/>
    </row>
    <row r="539" spans="1:8">
      <c r="A539" s="6" t="s">
        <v>29</v>
      </c>
      <c r="B539" s="7" t="s">
        <v>30</v>
      </c>
      <c r="C539" s="7" t="s">
        <v>30</v>
      </c>
      <c r="D539" s="7" t="s">
        <v>1527</v>
      </c>
      <c r="E539" s="6" t="s">
        <v>1528</v>
      </c>
      <c r="F539" s="8"/>
      <c r="G539" s="8"/>
      <c r="H539" s="8"/>
    </row>
    <row r="540" spans="1:8">
      <c r="A540" s="6" t="s">
        <v>29</v>
      </c>
      <c r="B540" s="7" t="s">
        <v>1756</v>
      </c>
      <c r="C540" s="7" t="s">
        <v>1756</v>
      </c>
      <c r="D540" s="7" t="s">
        <v>1757</v>
      </c>
      <c r="E540" s="6" t="s">
        <v>1758</v>
      </c>
      <c r="F540" s="8"/>
      <c r="G540" s="8"/>
      <c r="H540" s="8"/>
    </row>
    <row r="541" spans="1:8">
      <c r="A541" s="6" t="s">
        <v>29</v>
      </c>
      <c r="B541" s="7" t="s">
        <v>795</v>
      </c>
      <c r="C541" s="7" t="s">
        <v>796</v>
      </c>
      <c r="D541" s="7" t="s">
        <v>1780</v>
      </c>
      <c r="E541" s="6" t="s">
        <v>1781</v>
      </c>
      <c r="F541" s="8" t="s">
        <v>6992</v>
      </c>
      <c r="G541" s="8" t="s">
        <v>6929</v>
      </c>
      <c r="H541" s="8" t="s">
        <v>6954</v>
      </c>
    </row>
    <row r="542" spans="1:8">
      <c r="A542" s="6" t="s">
        <v>29</v>
      </c>
      <c r="B542" s="7" t="s">
        <v>4130</v>
      </c>
      <c r="C542" s="7" t="s">
        <v>4130</v>
      </c>
      <c r="D542" s="7" t="s">
        <v>4131</v>
      </c>
      <c r="E542" s="6" t="s">
        <v>4132</v>
      </c>
      <c r="F542" s="8"/>
      <c r="G542" s="8"/>
      <c r="H542" s="8"/>
    </row>
    <row r="543" spans="1:8">
      <c r="A543" s="6" t="s">
        <v>29</v>
      </c>
      <c r="B543" s="7" t="s">
        <v>1756</v>
      </c>
      <c r="C543" s="7" t="s">
        <v>1756</v>
      </c>
      <c r="D543" s="7" t="s">
        <v>4133</v>
      </c>
      <c r="E543" s="6" t="s">
        <v>4134</v>
      </c>
      <c r="F543" s="8" t="s">
        <v>6982</v>
      </c>
      <c r="G543" s="8" t="s">
        <v>6929</v>
      </c>
      <c r="H543" s="8" t="s">
        <v>7114</v>
      </c>
    </row>
    <row r="544" spans="1:8">
      <c r="A544" s="6" t="s">
        <v>29</v>
      </c>
      <c r="B544" s="7" t="s">
        <v>1756</v>
      </c>
      <c r="C544" s="7" t="s">
        <v>1756</v>
      </c>
      <c r="D544" s="7" t="s">
        <v>4135</v>
      </c>
      <c r="E544" s="6" t="s">
        <v>4136</v>
      </c>
      <c r="F544" s="8" t="s">
        <v>6982</v>
      </c>
      <c r="G544" s="8" t="s">
        <v>6929</v>
      </c>
      <c r="H544" s="8" t="s">
        <v>7114</v>
      </c>
    </row>
    <row r="545" spans="1:8">
      <c r="A545" s="6" t="s">
        <v>29</v>
      </c>
      <c r="B545" s="7" t="s">
        <v>1756</v>
      </c>
      <c r="C545" s="7" t="s">
        <v>1756</v>
      </c>
      <c r="D545" s="7" t="s">
        <v>4137</v>
      </c>
      <c r="E545" s="6" t="s">
        <v>4138</v>
      </c>
      <c r="F545" s="8" t="s">
        <v>6982</v>
      </c>
      <c r="G545" s="8" t="s">
        <v>6929</v>
      </c>
      <c r="H545" s="8" t="s">
        <v>7114</v>
      </c>
    </row>
    <row r="546" spans="1:8">
      <c r="A546" s="6" t="s">
        <v>29</v>
      </c>
      <c r="B546" s="7" t="s">
        <v>1756</v>
      </c>
      <c r="C546" s="7" t="s">
        <v>1756</v>
      </c>
      <c r="D546" s="7" t="s">
        <v>4139</v>
      </c>
      <c r="E546" s="6" t="s">
        <v>1528</v>
      </c>
      <c r="F546" s="8" t="s">
        <v>6982</v>
      </c>
      <c r="G546" s="8" t="s">
        <v>6929</v>
      </c>
      <c r="H546" s="8" t="s">
        <v>7114</v>
      </c>
    </row>
    <row r="547" spans="1:8">
      <c r="A547" s="6" t="s">
        <v>29</v>
      </c>
      <c r="B547" s="7" t="s">
        <v>1756</v>
      </c>
      <c r="C547" s="7" t="s">
        <v>1756</v>
      </c>
      <c r="D547" s="7" t="s">
        <v>4140</v>
      </c>
      <c r="E547" s="6" t="s">
        <v>2179</v>
      </c>
      <c r="F547" s="8" t="s">
        <v>6982</v>
      </c>
      <c r="G547" s="8" t="s">
        <v>6929</v>
      </c>
      <c r="H547" s="8" t="s">
        <v>7114</v>
      </c>
    </row>
    <row r="548" spans="1:8">
      <c r="A548" s="6" t="s">
        <v>29</v>
      </c>
      <c r="B548" s="7" t="s">
        <v>1756</v>
      </c>
      <c r="C548" s="7" t="s">
        <v>1756</v>
      </c>
      <c r="D548" s="7" t="s">
        <v>4141</v>
      </c>
      <c r="E548" s="6" t="s">
        <v>4142</v>
      </c>
      <c r="F548" s="8" t="s">
        <v>6982</v>
      </c>
      <c r="G548" s="8" t="s">
        <v>6929</v>
      </c>
      <c r="H548" s="8" t="s">
        <v>7114</v>
      </c>
    </row>
    <row r="549" spans="1:8">
      <c r="A549" s="6" t="s">
        <v>29</v>
      </c>
      <c r="B549" s="7" t="s">
        <v>1756</v>
      </c>
      <c r="C549" s="7" t="s">
        <v>1756</v>
      </c>
      <c r="D549" s="7" t="s">
        <v>4143</v>
      </c>
      <c r="E549" s="6" t="s">
        <v>4144</v>
      </c>
      <c r="F549" s="8" t="s">
        <v>6982</v>
      </c>
      <c r="G549" s="8" t="s">
        <v>6929</v>
      </c>
      <c r="H549" s="8" t="s">
        <v>7114</v>
      </c>
    </row>
    <row r="550" spans="1:8">
      <c r="A550" s="6" t="s">
        <v>29</v>
      </c>
      <c r="B550" s="7" t="s">
        <v>1756</v>
      </c>
      <c r="C550" s="7" t="s">
        <v>1756</v>
      </c>
      <c r="D550" s="7" t="s">
        <v>4145</v>
      </c>
      <c r="E550" s="6" t="s">
        <v>4146</v>
      </c>
      <c r="F550" s="8" t="s">
        <v>6982</v>
      </c>
      <c r="G550" s="8" t="s">
        <v>6929</v>
      </c>
      <c r="H550" s="8" t="s">
        <v>7114</v>
      </c>
    </row>
    <row r="551" spans="1:8">
      <c r="A551" s="6" t="s">
        <v>29</v>
      </c>
      <c r="B551" s="7" t="s">
        <v>1756</v>
      </c>
      <c r="C551" s="7" t="s">
        <v>1756</v>
      </c>
      <c r="D551" s="7" t="s">
        <v>4147</v>
      </c>
      <c r="E551" s="6" t="s">
        <v>4148</v>
      </c>
      <c r="F551" s="8" t="s">
        <v>6982</v>
      </c>
      <c r="G551" s="8" t="s">
        <v>6929</v>
      </c>
      <c r="H551" s="8" t="s">
        <v>7114</v>
      </c>
    </row>
    <row r="552" spans="1:8">
      <c r="A552" s="6" t="s">
        <v>29</v>
      </c>
      <c r="B552" s="7" t="s">
        <v>4149</v>
      </c>
      <c r="C552" s="7" t="s">
        <v>4150</v>
      </c>
      <c r="D552" s="7" t="s">
        <v>4151</v>
      </c>
      <c r="E552" s="6" t="s">
        <v>4152</v>
      </c>
      <c r="F552" s="8" t="s">
        <v>6931</v>
      </c>
      <c r="G552" s="8" t="s">
        <v>6929</v>
      </c>
      <c r="H552" s="8" t="s">
        <v>7068</v>
      </c>
    </row>
    <row r="553" spans="1:8">
      <c r="A553" s="6" t="s">
        <v>29</v>
      </c>
      <c r="B553" s="7" t="s">
        <v>4149</v>
      </c>
      <c r="C553" s="7" t="s">
        <v>4153</v>
      </c>
      <c r="D553" s="7" t="s">
        <v>4154</v>
      </c>
      <c r="E553" s="6" t="s">
        <v>4155</v>
      </c>
      <c r="F553" s="8" t="s">
        <v>6931</v>
      </c>
      <c r="G553" s="8" t="s">
        <v>6929</v>
      </c>
      <c r="H553" s="8" t="s">
        <v>7068</v>
      </c>
    </row>
    <row r="554" spans="1:8">
      <c r="A554" s="6" t="s">
        <v>29</v>
      </c>
      <c r="B554" s="7" t="s">
        <v>4156</v>
      </c>
      <c r="C554" s="7" t="s">
        <v>725</v>
      </c>
      <c r="D554" s="7" t="s">
        <v>4157</v>
      </c>
      <c r="E554" s="6" t="s">
        <v>4158</v>
      </c>
      <c r="F554" s="8"/>
      <c r="G554" s="8"/>
      <c r="H554" s="8"/>
    </row>
    <row r="555" spans="1:8">
      <c r="A555" s="6" t="s">
        <v>29</v>
      </c>
      <c r="B555" s="7" t="s">
        <v>4156</v>
      </c>
      <c r="C555" s="7" t="s">
        <v>4159</v>
      </c>
      <c r="D555" s="7" t="s">
        <v>4160</v>
      </c>
      <c r="E555" s="6" t="s">
        <v>4161</v>
      </c>
      <c r="F555" s="8"/>
      <c r="G555" s="8"/>
      <c r="H555" s="8"/>
    </row>
    <row r="556" spans="1:8">
      <c r="A556" s="6" t="s">
        <v>29</v>
      </c>
      <c r="B556" s="7" t="s">
        <v>4156</v>
      </c>
      <c r="C556" s="7" t="s">
        <v>725</v>
      </c>
      <c r="D556" s="7" t="s">
        <v>4162</v>
      </c>
      <c r="E556" s="6" t="s">
        <v>4163</v>
      </c>
      <c r="F556" s="8"/>
      <c r="G556" s="8"/>
      <c r="H556" s="8"/>
    </row>
    <row r="557" spans="1:8">
      <c r="A557" s="6" t="s">
        <v>29</v>
      </c>
      <c r="B557" s="7" t="s">
        <v>30</v>
      </c>
      <c r="C557" s="7" t="s">
        <v>2379</v>
      </c>
      <c r="D557" s="7" t="s">
        <v>4164</v>
      </c>
      <c r="E557" s="6" t="s">
        <v>4165</v>
      </c>
      <c r="F557" s="8"/>
      <c r="G557" s="8"/>
      <c r="H557" s="8"/>
    </row>
    <row r="558" spans="1:8">
      <c r="A558" s="6" t="s">
        <v>29</v>
      </c>
      <c r="B558" s="7" t="s">
        <v>795</v>
      </c>
      <c r="C558" s="7" t="s">
        <v>135</v>
      </c>
      <c r="D558" s="7" t="s">
        <v>4166</v>
      </c>
      <c r="E558" s="6" t="s">
        <v>4167</v>
      </c>
      <c r="F558" s="8"/>
      <c r="G558" s="8"/>
      <c r="H558" s="8"/>
    </row>
    <row r="559" spans="1:8">
      <c r="A559" s="6" t="s">
        <v>29</v>
      </c>
      <c r="B559" s="7" t="s">
        <v>795</v>
      </c>
      <c r="C559" s="7" t="s">
        <v>789</v>
      </c>
      <c r="D559" s="7" t="s">
        <v>4168</v>
      </c>
      <c r="E559" s="6" t="s">
        <v>4169</v>
      </c>
      <c r="F559" s="8"/>
      <c r="G559" s="8"/>
      <c r="H559" s="8"/>
    </row>
    <row r="560" spans="1:8">
      <c r="A560" s="6" t="s">
        <v>29</v>
      </c>
      <c r="B560" s="7" t="s">
        <v>4170</v>
      </c>
      <c r="C560" s="7" t="s">
        <v>566</v>
      </c>
      <c r="D560" s="7" t="s">
        <v>4171</v>
      </c>
      <c r="E560" s="6" t="s">
        <v>4172</v>
      </c>
      <c r="F560" s="8"/>
      <c r="G560" s="8"/>
      <c r="H560" s="8"/>
    </row>
    <row r="561" spans="1:8">
      <c r="A561" s="6" t="s">
        <v>29</v>
      </c>
      <c r="B561" s="7" t="s">
        <v>795</v>
      </c>
      <c r="C561" s="7" t="s">
        <v>566</v>
      </c>
      <c r="D561" s="7" t="s">
        <v>4173</v>
      </c>
      <c r="E561" s="6" t="s">
        <v>4174</v>
      </c>
      <c r="F561" s="8"/>
      <c r="G561" s="8"/>
      <c r="H561" s="8"/>
    </row>
    <row r="562" spans="1:8">
      <c r="A562" s="6" t="s">
        <v>29</v>
      </c>
      <c r="B562" s="7" t="s">
        <v>795</v>
      </c>
      <c r="C562" s="7" t="s">
        <v>796</v>
      </c>
      <c r="D562" s="7" t="s">
        <v>4175</v>
      </c>
      <c r="E562" s="6" t="s">
        <v>4176</v>
      </c>
      <c r="F562" s="8"/>
      <c r="G562" s="8"/>
      <c r="H562" s="8"/>
    </row>
    <row r="563" spans="1:8">
      <c r="A563" s="6" t="s">
        <v>29</v>
      </c>
      <c r="B563" s="7" t="s">
        <v>795</v>
      </c>
      <c r="C563" s="7" t="s">
        <v>566</v>
      </c>
      <c r="D563" s="7" t="s">
        <v>4177</v>
      </c>
      <c r="E563" s="6" t="s">
        <v>4178</v>
      </c>
      <c r="F563" s="8"/>
      <c r="G563" s="8"/>
      <c r="H563" s="8"/>
    </row>
    <row r="564" spans="1:8">
      <c r="A564" s="6" t="s">
        <v>29</v>
      </c>
      <c r="B564" s="7" t="s">
        <v>795</v>
      </c>
      <c r="C564" s="7" t="s">
        <v>566</v>
      </c>
      <c r="D564" s="7" t="s">
        <v>4179</v>
      </c>
      <c r="E564" s="6" t="s">
        <v>4180</v>
      </c>
      <c r="F564" s="8"/>
      <c r="G564" s="8"/>
      <c r="H564" s="8"/>
    </row>
    <row r="565" spans="1:8">
      <c r="A565" s="6" t="s">
        <v>29</v>
      </c>
      <c r="B565" s="7" t="s">
        <v>30</v>
      </c>
      <c r="C565" s="7" t="s">
        <v>30</v>
      </c>
      <c r="D565" s="7" t="s">
        <v>4181</v>
      </c>
      <c r="E565" s="6" t="s">
        <v>273</v>
      </c>
      <c r="F565" s="8"/>
      <c r="G565" s="8"/>
      <c r="H565" s="8"/>
    </row>
    <row r="566" spans="1:8">
      <c r="A566" s="6" t="s">
        <v>29</v>
      </c>
      <c r="B566" s="7" t="s">
        <v>30</v>
      </c>
      <c r="C566" s="7" t="s">
        <v>30</v>
      </c>
      <c r="D566" s="7" t="s">
        <v>4182</v>
      </c>
      <c r="E566" s="6" t="s">
        <v>4183</v>
      </c>
      <c r="F566" s="8"/>
      <c r="G566" s="8"/>
      <c r="H566" s="8"/>
    </row>
    <row r="567" spans="1:8">
      <c r="A567" s="6" t="s">
        <v>29</v>
      </c>
      <c r="B567" s="7" t="s">
        <v>30</v>
      </c>
      <c r="C567" s="7" t="s">
        <v>4184</v>
      </c>
      <c r="D567" s="7" t="s">
        <v>4185</v>
      </c>
      <c r="E567" s="6" t="s">
        <v>4186</v>
      </c>
      <c r="F567" s="8"/>
      <c r="G567" s="8"/>
      <c r="H567" s="8"/>
    </row>
    <row r="568" spans="1:8">
      <c r="A568" s="6" t="s">
        <v>29</v>
      </c>
      <c r="B568" s="7" t="s">
        <v>30</v>
      </c>
      <c r="C568" s="7" t="s">
        <v>30</v>
      </c>
      <c r="D568" s="7" t="s">
        <v>4187</v>
      </c>
      <c r="E568" s="6" t="s">
        <v>4188</v>
      </c>
      <c r="F568" s="8"/>
      <c r="G568" s="8"/>
      <c r="H568" s="8"/>
    </row>
    <row r="569" spans="1:8">
      <c r="A569" s="6" t="s">
        <v>29</v>
      </c>
      <c r="B569" s="7" t="s">
        <v>30</v>
      </c>
      <c r="C569" s="7" t="s">
        <v>30</v>
      </c>
      <c r="D569" s="7" t="s">
        <v>4189</v>
      </c>
      <c r="E569" s="6" t="s">
        <v>4190</v>
      </c>
      <c r="F569" s="8"/>
      <c r="G569" s="8"/>
      <c r="H569" s="8"/>
    </row>
    <row r="570" spans="1:8">
      <c r="A570" s="6" t="s">
        <v>29</v>
      </c>
      <c r="B570" s="7" t="s">
        <v>30</v>
      </c>
      <c r="C570" s="7" t="s">
        <v>30</v>
      </c>
      <c r="D570" s="7" t="s">
        <v>4191</v>
      </c>
      <c r="E570" s="6" t="s">
        <v>4192</v>
      </c>
      <c r="F570" s="8"/>
      <c r="G570" s="8"/>
      <c r="H570" s="8"/>
    </row>
    <row r="571" spans="1:8">
      <c r="A571" s="6" t="s">
        <v>29</v>
      </c>
      <c r="B571" s="7" t="s">
        <v>30</v>
      </c>
      <c r="C571" s="7" t="s">
        <v>30</v>
      </c>
      <c r="D571" s="7" t="s">
        <v>4193</v>
      </c>
      <c r="E571" s="6" t="s">
        <v>4194</v>
      </c>
      <c r="F571" s="8"/>
      <c r="G571" s="8"/>
      <c r="H571" s="8"/>
    </row>
    <row r="572" spans="1:8">
      <c r="A572" s="6" t="s">
        <v>29</v>
      </c>
      <c r="B572" s="7" t="s">
        <v>30</v>
      </c>
      <c r="C572" s="7" t="s">
        <v>4195</v>
      </c>
      <c r="D572" s="7" t="s">
        <v>4196</v>
      </c>
      <c r="E572" s="6" t="s">
        <v>4197</v>
      </c>
      <c r="F572" s="8"/>
      <c r="G572" s="8"/>
      <c r="H572" s="8"/>
    </row>
    <row r="573" spans="1:8">
      <c r="A573" s="6" t="s">
        <v>29</v>
      </c>
      <c r="B573" s="7" t="s">
        <v>30</v>
      </c>
      <c r="C573" s="7" t="s">
        <v>30</v>
      </c>
      <c r="D573" s="7" t="s">
        <v>4198</v>
      </c>
      <c r="E573" s="6" t="s">
        <v>4199</v>
      </c>
      <c r="F573" s="8"/>
      <c r="G573" s="8"/>
      <c r="H573" s="8"/>
    </row>
    <row r="574" spans="1:8">
      <c r="A574" s="6" t="s">
        <v>29</v>
      </c>
      <c r="B574" s="7" t="s">
        <v>30</v>
      </c>
      <c r="C574" s="7" t="s">
        <v>4195</v>
      </c>
      <c r="D574" s="7" t="s">
        <v>4200</v>
      </c>
      <c r="E574" s="6" t="s">
        <v>4201</v>
      </c>
      <c r="F574" s="8"/>
      <c r="G574" s="8"/>
      <c r="H574" s="8"/>
    </row>
    <row r="575" spans="1:8">
      <c r="A575" s="6" t="s">
        <v>29</v>
      </c>
      <c r="B575" s="7" t="s">
        <v>30</v>
      </c>
      <c r="C575" s="7" t="s">
        <v>30</v>
      </c>
      <c r="D575" s="7" t="s">
        <v>4202</v>
      </c>
      <c r="E575" s="6" t="s">
        <v>273</v>
      </c>
      <c r="F575" s="8"/>
      <c r="G575" s="8"/>
      <c r="H575" s="8"/>
    </row>
    <row r="576" spans="1:8">
      <c r="A576" s="6" t="s">
        <v>29</v>
      </c>
      <c r="B576" s="7" t="s">
        <v>30</v>
      </c>
      <c r="C576" s="7" t="s">
        <v>30</v>
      </c>
      <c r="D576" s="7" t="s">
        <v>4203</v>
      </c>
      <c r="E576" s="6" t="s">
        <v>4204</v>
      </c>
      <c r="F576" s="8"/>
      <c r="G576" s="8"/>
      <c r="H576" s="8"/>
    </row>
    <row r="577" spans="1:8">
      <c r="A577" s="6" t="s">
        <v>29</v>
      </c>
      <c r="B577" s="7" t="s">
        <v>30</v>
      </c>
      <c r="C577" s="7" t="s">
        <v>30</v>
      </c>
      <c r="D577" s="7" t="s">
        <v>4205</v>
      </c>
      <c r="E577" s="6" t="s">
        <v>4206</v>
      </c>
      <c r="F577" s="8"/>
      <c r="G577" s="8"/>
      <c r="H577" s="8"/>
    </row>
    <row r="578" spans="1:8">
      <c r="A578" s="6" t="s">
        <v>29</v>
      </c>
      <c r="B578" s="7" t="s">
        <v>30</v>
      </c>
      <c r="C578" s="7" t="s">
        <v>30</v>
      </c>
      <c r="D578" s="7" t="s">
        <v>4207</v>
      </c>
      <c r="E578" s="6" t="s">
        <v>4208</v>
      </c>
      <c r="F578" s="8"/>
      <c r="G578" s="8"/>
      <c r="H578" s="8"/>
    </row>
    <row r="579" spans="1:8">
      <c r="A579" s="6" t="s">
        <v>3987</v>
      </c>
      <c r="B579" s="7" t="s">
        <v>2376</v>
      </c>
      <c r="C579" s="7" t="s">
        <v>2376</v>
      </c>
      <c r="D579" s="7" t="s">
        <v>3988</v>
      </c>
      <c r="E579" s="6" t="s">
        <v>3989</v>
      </c>
      <c r="F579" s="8"/>
      <c r="G579" s="8"/>
      <c r="H579" s="8"/>
    </row>
    <row r="580" spans="1:8">
      <c r="A580" s="6" t="s">
        <v>3987</v>
      </c>
      <c r="B580" s="7" t="s">
        <v>2934</v>
      </c>
      <c r="C580" s="7" t="s">
        <v>2856</v>
      </c>
      <c r="D580" s="7" t="s">
        <v>3990</v>
      </c>
      <c r="E580" s="6" t="s">
        <v>3991</v>
      </c>
      <c r="F580" s="8" t="s">
        <v>6943</v>
      </c>
      <c r="G580" s="8" t="s">
        <v>6929</v>
      </c>
      <c r="H580" s="8" t="s">
        <v>6979</v>
      </c>
    </row>
    <row r="581" spans="1:8">
      <c r="A581" s="6" t="s">
        <v>3987</v>
      </c>
      <c r="B581" s="7" t="s">
        <v>2934</v>
      </c>
      <c r="C581" s="7" t="s">
        <v>3992</v>
      </c>
      <c r="D581" s="7" t="s">
        <v>3993</v>
      </c>
      <c r="E581" s="6" t="s">
        <v>3994</v>
      </c>
      <c r="F581" s="8"/>
      <c r="G581" s="8"/>
      <c r="H581" s="8"/>
    </row>
    <row r="582" spans="1:8">
      <c r="A582" s="6" t="s">
        <v>3987</v>
      </c>
      <c r="B582" s="7" t="s">
        <v>2934</v>
      </c>
      <c r="C582" s="7" t="s">
        <v>3995</v>
      </c>
      <c r="D582" s="7" t="s">
        <v>3996</v>
      </c>
      <c r="E582" s="6" t="s">
        <v>273</v>
      </c>
      <c r="F582" s="8"/>
      <c r="G582" s="8"/>
      <c r="H582" s="8"/>
    </row>
    <row r="583" spans="1:8">
      <c r="A583" s="6" t="s">
        <v>3987</v>
      </c>
      <c r="B583" s="7" t="s">
        <v>2934</v>
      </c>
      <c r="C583" s="7" t="s">
        <v>3997</v>
      </c>
      <c r="D583" s="7" t="s">
        <v>3998</v>
      </c>
      <c r="E583" s="6" t="s">
        <v>3999</v>
      </c>
      <c r="F583" s="8"/>
      <c r="G583" s="8"/>
      <c r="H583" s="8"/>
    </row>
    <row r="584" spans="1:8">
      <c r="A584" s="6" t="s">
        <v>3987</v>
      </c>
      <c r="B584" s="7" t="s">
        <v>2934</v>
      </c>
      <c r="C584" s="7" t="s">
        <v>3995</v>
      </c>
      <c r="D584" s="7" t="s">
        <v>4000</v>
      </c>
      <c r="E584" s="6" t="s">
        <v>4001</v>
      </c>
      <c r="F584" s="8"/>
      <c r="G584" s="8"/>
      <c r="H584" s="8"/>
    </row>
    <row r="585" spans="1:8">
      <c r="A585" s="6" t="s">
        <v>3987</v>
      </c>
      <c r="B585" s="7" t="s">
        <v>2934</v>
      </c>
      <c r="C585" s="7" t="s">
        <v>3995</v>
      </c>
      <c r="D585" s="7" t="s">
        <v>4002</v>
      </c>
      <c r="E585" s="6" t="s">
        <v>4003</v>
      </c>
      <c r="F585" s="8"/>
      <c r="G585" s="8"/>
      <c r="H585" s="8"/>
    </row>
    <row r="586" spans="1:8">
      <c r="A586" s="6" t="s">
        <v>3987</v>
      </c>
      <c r="B586" s="7" t="s">
        <v>2934</v>
      </c>
      <c r="C586" s="7" t="s">
        <v>3995</v>
      </c>
      <c r="D586" s="7" t="s">
        <v>4004</v>
      </c>
      <c r="E586" s="6" t="s">
        <v>3970</v>
      </c>
      <c r="F586" s="8"/>
      <c r="G586" s="8"/>
      <c r="H586" s="8"/>
    </row>
    <row r="587" spans="1:8">
      <c r="A587" s="6" t="s">
        <v>3987</v>
      </c>
      <c r="B587" s="7" t="s">
        <v>1827</v>
      </c>
      <c r="C587" s="7" t="s">
        <v>2676</v>
      </c>
      <c r="D587" s="7" t="s">
        <v>4005</v>
      </c>
      <c r="E587" s="6" t="s">
        <v>4006</v>
      </c>
      <c r="F587" s="8" t="s">
        <v>6934</v>
      </c>
      <c r="G587" s="8" t="s">
        <v>6953</v>
      </c>
      <c r="H587" s="8" t="s">
        <v>7101</v>
      </c>
    </row>
    <row r="588" spans="1:8">
      <c r="A588" s="6" t="s">
        <v>3987</v>
      </c>
      <c r="B588" s="7" t="s">
        <v>2934</v>
      </c>
      <c r="C588" s="7" t="s">
        <v>3995</v>
      </c>
      <c r="D588" s="7" t="s">
        <v>4007</v>
      </c>
      <c r="E588" s="6" t="s">
        <v>326</v>
      </c>
      <c r="F588" s="8"/>
      <c r="G588" s="8"/>
      <c r="H588" s="8"/>
    </row>
    <row r="589" spans="1:8">
      <c r="A589" s="6" t="s">
        <v>3987</v>
      </c>
      <c r="B589" s="7" t="s">
        <v>2934</v>
      </c>
      <c r="C589" s="7" t="s">
        <v>3995</v>
      </c>
      <c r="D589" s="7" t="s">
        <v>4008</v>
      </c>
      <c r="E589" s="6" t="s">
        <v>3623</v>
      </c>
      <c r="F589" s="8"/>
      <c r="G589" s="8"/>
      <c r="H589" s="8"/>
    </row>
    <row r="590" spans="1:8">
      <c r="A590" s="6" t="s">
        <v>3987</v>
      </c>
      <c r="B590" s="7" t="s">
        <v>2934</v>
      </c>
      <c r="C590" s="7" t="s">
        <v>3995</v>
      </c>
      <c r="D590" s="7" t="s">
        <v>4009</v>
      </c>
      <c r="E590" s="6" t="s">
        <v>4010</v>
      </c>
      <c r="F590" s="8"/>
      <c r="G590" s="8"/>
      <c r="H590" s="8"/>
    </row>
    <row r="591" spans="1:8">
      <c r="A591" s="6" t="s">
        <v>3987</v>
      </c>
      <c r="B591" s="7" t="s">
        <v>2934</v>
      </c>
      <c r="C591" s="7" t="s">
        <v>3997</v>
      </c>
      <c r="D591" s="7" t="s">
        <v>4011</v>
      </c>
      <c r="E591" s="6" t="s">
        <v>4012</v>
      </c>
      <c r="F591" s="8"/>
      <c r="G591" s="8"/>
      <c r="H591" s="8"/>
    </row>
    <row r="592" spans="1:8">
      <c r="A592" s="6" t="s">
        <v>3987</v>
      </c>
      <c r="B592" s="7" t="s">
        <v>2934</v>
      </c>
      <c r="C592" s="7" t="s">
        <v>2856</v>
      </c>
      <c r="D592" s="7" t="s">
        <v>4013</v>
      </c>
      <c r="E592" s="6" t="s">
        <v>4014</v>
      </c>
      <c r="F592" s="8"/>
      <c r="G592" s="8"/>
      <c r="H592" s="8"/>
    </row>
    <row r="593" spans="1:8">
      <c r="A593" s="6" t="s">
        <v>3987</v>
      </c>
      <c r="B593" s="7" t="s">
        <v>1827</v>
      </c>
      <c r="C593" s="7" t="s">
        <v>4015</v>
      </c>
      <c r="D593" s="7" t="s">
        <v>4016</v>
      </c>
      <c r="E593" s="6" t="s">
        <v>4017</v>
      </c>
      <c r="F593" s="8"/>
      <c r="G593" s="8"/>
      <c r="H593" s="8"/>
    </row>
    <row r="594" spans="1:8">
      <c r="A594" s="6" t="s">
        <v>3987</v>
      </c>
      <c r="B594" s="7" t="s">
        <v>1827</v>
      </c>
      <c r="C594" s="7" t="s">
        <v>4018</v>
      </c>
      <c r="D594" s="7" t="s">
        <v>4019</v>
      </c>
      <c r="E594" s="6" t="s">
        <v>4020</v>
      </c>
      <c r="F594" s="8"/>
      <c r="G594" s="8"/>
      <c r="H594" s="8"/>
    </row>
    <row r="595" spans="1:8">
      <c r="A595" s="6" t="s">
        <v>3987</v>
      </c>
      <c r="B595" s="7" t="s">
        <v>1827</v>
      </c>
      <c r="C595" s="7" t="s">
        <v>128</v>
      </c>
      <c r="D595" s="7" t="s">
        <v>4021</v>
      </c>
      <c r="E595" s="6" t="s">
        <v>4022</v>
      </c>
      <c r="F595" s="8"/>
      <c r="G595" s="8"/>
      <c r="H595" s="8"/>
    </row>
    <row r="596" spans="1:8">
      <c r="A596" s="6" t="s">
        <v>3987</v>
      </c>
      <c r="B596" s="7" t="s">
        <v>1827</v>
      </c>
      <c r="C596" s="7" t="s">
        <v>2676</v>
      </c>
      <c r="D596" s="7" t="s">
        <v>4023</v>
      </c>
      <c r="E596" s="6" t="s">
        <v>4024</v>
      </c>
      <c r="F596" s="8"/>
      <c r="G596" s="8"/>
      <c r="H596" s="8"/>
    </row>
    <row r="597" spans="1:8">
      <c r="A597" s="6" t="s">
        <v>3987</v>
      </c>
      <c r="B597" s="7" t="s">
        <v>1827</v>
      </c>
      <c r="C597" s="7" t="s">
        <v>1246</v>
      </c>
      <c r="D597" s="7" t="s">
        <v>4025</v>
      </c>
      <c r="E597" s="6" t="s">
        <v>4026</v>
      </c>
      <c r="F597" s="8"/>
      <c r="G597" s="8"/>
      <c r="H597" s="8"/>
    </row>
    <row r="598" spans="1:8">
      <c r="A598" s="6" t="s">
        <v>3987</v>
      </c>
      <c r="B598" s="7" t="s">
        <v>1827</v>
      </c>
      <c r="C598" s="7" t="s">
        <v>1246</v>
      </c>
      <c r="D598" s="7" t="s">
        <v>4027</v>
      </c>
      <c r="E598" s="6" t="s">
        <v>4028</v>
      </c>
      <c r="F598" s="8"/>
      <c r="G598" s="8"/>
      <c r="H598" s="8"/>
    </row>
    <row r="599" spans="1:8">
      <c r="A599" s="6" t="s">
        <v>3987</v>
      </c>
      <c r="B599" s="7" t="s">
        <v>1827</v>
      </c>
      <c r="C599" s="7" t="s">
        <v>1246</v>
      </c>
      <c r="D599" s="7" t="s">
        <v>4029</v>
      </c>
      <c r="E599" s="6" t="s">
        <v>4030</v>
      </c>
      <c r="F599" s="8"/>
      <c r="G599" s="8"/>
      <c r="H599" s="8"/>
    </row>
    <row r="600" spans="1:8">
      <c r="A600" s="6" t="s">
        <v>3987</v>
      </c>
      <c r="B600" s="7" t="s">
        <v>1827</v>
      </c>
      <c r="C600" s="7" t="s">
        <v>1246</v>
      </c>
      <c r="D600" s="7" t="s">
        <v>4031</v>
      </c>
      <c r="E600" s="6" t="s">
        <v>4032</v>
      </c>
      <c r="F600" s="8"/>
      <c r="G600" s="8"/>
      <c r="H600" s="8"/>
    </row>
    <row r="601" spans="1:8">
      <c r="A601" s="6" t="s">
        <v>3987</v>
      </c>
      <c r="B601" s="7" t="s">
        <v>1827</v>
      </c>
      <c r="C601" s="7" t="s">
        <v>4015</v>
      </c>
      <c r="D601" s="7" t="s">
        <v>4033</v>
      </c>
      <c r="E601" s="6" t="s">
        <v>4034</v>
      </c>
      <c r="F601" s="8"/>
      <c r="G601" s="8"/>
      <c r="H601" s="8"/>
    </row>
    <row r="602" spans="1:8">
      <c r="A602" s="6" t="s">
        <v>3987</v>
      </c>
      <c r="B602" s="7" t="s">
        <v>2934</v>
      </c>
      <c r="C602" s="7" t="s">
        <v>3997</v>
      </c>
      <c r="D602" s="7" t="s">
        <v>4035</v>
      </c>
      <c r="E602" s="6" t="s">
        <v>4036</v>
      </c>
      <c r="F602" s="8"/>
      <c r="G602" s="8"/>
      <c r="H602" s="8"/>
    </row>
    <row r="603" spans="1:8">
      <c r="A603" s="6" t="s">
        <v>3987</v>
      </c>
      <c r="B603" s="7" t="s">
        <v>2934</v>
      </c>
      <c r="C603" s="7" t="s">
        <v>2856</v>
      </c>
      <c r="D603" s="7" t="s">
        <v>4037</v>
      </c>
      <c r="E603" s="6" t="s">
        <v>4038</v>
      </c>
      <c r="F603" s="8"/>
      <c r="G603" s="8"/>
      <c r="H603" s="8"/>
    </row>
    <row r="604" spans="1:8">
      <c r="A604" s="6" t="s">
        <v>3987</v>
      </c>
      <c r="B604" s="7" t="s">
        <v>2934</v>
      </c>
      <c r="C604" s="7" t="s">
        <v>3995</v>
      </c>
      <c r="D604" s="7" t="s">
        <v>4039</v>
      </c>
      <c r="E604" s="6" t="s">
        <v>4040</v>
      </c>
      <c r="F604" s="8"/>
      <c r="G604" s="8"/>
      <c r="H604" s="8"/>
    </row>
    <row r="605" spans="1:8">
      <c r="A605" s="6" t="s">
        <v>3987</v>
      </c>
      <c r="B605" s="7" t="s">
        <v>1827</v>
      </c>
      <c r="C605" s="7" t="s">
        <v>4015</v>
      </c>
      <c r="D605" s="7" t="s">
        <v>4041</v>
      </c>
      <c r="E605" s="6" t="s">
        <v>4028</v>
      </c>
      <c r="F605" s="8"/>
      <c r="G605" s="8"/>
      <c r="H605" s="8"/>
    </row>
    <row r="606" spans="1:8">
      <c r="A606" s="6" t="s">
        <v>3987</v>
      </c>
      <c r="B606" s="7" t="s">
        <v>2934</v>
      </c>
      <c r="C606" s="7" t="s">
        <v>3997</v>
      </c>
      <c r="D606" s="7" t="s">
        <v>4042</v>
      </c>
      <c r="E606" s="6" t="s">
        <v>3900</v>
      </c>
      <c r="F606" s="8" t="s">
        <v>6931</v>
      </c>
      <c r="G606" s="8" t="s">
        <v>6929</v>
      </c>
      <c r="H606" s="8" t="s">
        <v>7102</v>
      </c>
    </row>
    <row r="607" spans="1:8">
      <c r="A607" s="6" t="s">
        <v>3987</v>
      </c>
      <c r="B607" s="7" t="s">
        <v>2934</v>
      </c>
      <c r="C607" s="7" t="s">
        <v>3997</v>
      </c>
      <c r="D607" s="7" t="s">
        <v>4043</v>
      </c>
      <c r="E607" s="6" t="s">
        <v>4044</v>
      </c>
      <c r="F607" s="8"/>
      <c r="G607" s="8"/>
      <c r="H607" s="8"/>
    </row>
    <row r="608" spans="1:8">
      <c r="A608" s="6" t="s">
        <v>763</v>
      </c>
      <c r="B608" s="7" t="s">
        <v>764</v>
      </c>
      <c r="C608" s="7" t="s">
        <v>764</v>
      </c>
      <c r="D608" s="7" t="s">
        <v>765</v>
      </c>
      <c r="E608" s="6" t="s">
        <v>766</v>
      </c>
      <c r="F608" s="8"/>
      <c r="G608" s="8"/>
      <c r="H608" s="8"/>
    </row>
    <row r="609" spans="1:8">
      <c r="A609" s="6" t="s">
        <v>763</v>
      </c>
      <c r="B609" s="7" t="s">
        <v>764</v>
      </c>
      <c r="C609" s="7" t="s">
        <v>764</v>
      </c>
      <c r="D609" s="7" t="s">
        <v>863</v>
      </c>
      <c r="E609" s="6" t="s">
        <v>864</v>
      </c>
      <c r="F609" s="8"/>
      <c r="G609" s="8"/>
      <c r="H609" s="8"/>
    </row>
    <row r="610" spans="1:8">
      <c r="A610" s="6" t="s">
        <v>763</v>
      </c>
      <c r="B610" s="7" t="s">
        <v>1052</v>
      </c>
      <c r="C610" s="7" t="s">
        <v>1052</v>
      </c>
      <c r="D610" s="7" t="s">
        <v>1053</v>
      </c>
      <c r="E610" s="6" t="s">
        <v>1054</v>
      </c>
      <c r="F610" s="8"/>
      <c r="G610" s="8"/>
      <c r="H610" s="8"/>
    </row>
    <row r="611" spans="1:8">
      <c r="A611" s="6" t="s">
        <v>763</v>
      </c>
      <c r="B611" s="7" t="s">
        <v>935</v>
      </c>
      <c r="C611" s="7" t="s">
        <v>1131</v>
      </c>
      <c r="D611" s="7" t="s">
        <v>1132</v>
      </c>
      <c r="E611" s="6" t="s">
        <v>1133</v>
      </c>
      <c r="F611" s="8" t="s">
        <v>6982</v>
      </c>
      <c r="G611" s="8" t="s">
        <v>6929</v>
      </c>
      <c r="H611" s="8" t="s">
        <v>7104</v>
      </c>
    </row>
    <row r="612" spans="1:8">
      <c r="A612" s="6" t="s">
        <v>763</v>
      </c>
      <c r="B612" s="7" t="s">
        <v>935</v>
      </c>
      <c r="C612" s="7" t="s">
        <v>1131</v>
      </c>
      <c r="D612" s="7" t="s">
        <v>1134</v>
      </c>
      <c r="E612" s="6" t="s">
        <v>1135</v>
      </c>
      <c r="F612" s="8" t="s">
        <v>6982</v>
      </c>
      <c r="G612" s="8" t="s">
        <v>6929</v>
      </c>
      <c r="H612" s="8" t="s">
        <v>7104</v>
      </c>
    </row>
    <row r="613" spans="1:8">
      <c r="A613" s="6" t="s">
        <v>763</v>
      </c>
      <c r="B613" s="7" t="s">
        <v>1052</v>
      </c>
      <c r="C613" s="7" t="s">
        <v>1052</v>
      </c>
      <c r="D613" s="7" t="s">
        <v>1138</v>
      </c>
      <c r="E613" s="6" t="s">
        <v>1139</v>
      </c>
      <c r="F613" s="8" t="s">
        <v>6934</v>
      </c>
      <c r="G613" s="8" t="s">
        <v>6929</v>
      </c>
      <c r="H613" s="8" t="s">
        <v>6935</v>
      </c>
    </row>
    <row r="614" spans="1:8">
      <c r="A614" s="6" t="s">
        <v>763</v>
      </c>
      <c r="B614" s="7" t="s">
        <v>1246</v>
      </c>
      <c r="C614" s="7" t="s">
        <v>1246</v>
      </c>
      <c r="D614" s="7" t="s">
        <v>1247</v>
      </c>
      <c r="E614" s="6" t="s">
        <v>1248</v>
      </c>
      <c r="F614" s="8"/>
      <c r="G614" s="8"/>
      <c r="H614" s="8"/>
    </row>
    <row r="615" spans="1:8">
      <c r="A615" s="6" t="s">
        <v>763</v>
      </c>
      <c r="B615" s="7" t="s">
        <v>1424</v>
      </c>
      <c r="C615" s="7" t="s">
        <v>1246</v>
      </c>
      <c r="D615" s="7" t="s">
        <v>1425</v>
      </c>
      <c r="E615" s="6" t="s">
        <v>1426</v>
      </c>
      <c r="F615" s="8"/>
      <c r="G615" s="8"/>
      <c r="H615" s="8"/>
    </row>
    <row r="616" spans="1:8">
      <c r="A616" s="6" t="s">
        <v>763</v>
      </c>
      <c r="B616" s="7" t="s">
        <v>1424</v>
      </c>
      <c r="C616" s="7" t="s">
        <v>1246</v>
      </c>
      <c r="D616" s="7" t="s">
        <v>1427</v>
      </c>
      <c r="E616" s="6" t="s">
        <v>1428</v>
      </c>
      <c r="F616" s="8"/>
      <c r="G616" s="8"/>
      <c r="H616" s="8"/>
    </row>
    <row r="617" spans="1:8">
      <c r="A617" s="6" t="s">
        <v>763</v>
      </c>
      <c r="B617" s="7" t="s">
        <v>764</v>
      </c>
      <c r="C617" s="7" t="s">
        <v>764</v>
      </c>
      <c r="D617" s="7" t="s">
        <v>4045</v>
      </c>
      <c r="E617" s="6" t="s">
        <v>4046</v>
      </c>
      <c r="F617" s="8"/>
      <c r="G617" s="8"/>
      <c r="H617" s="8"/>
    </row>
    <row r="618" spans="1:8">
      <c r="A618" s="6" t="s">
        <v>763</v>
      </c>
      <c r="B618" s="7" t="s">
        <v>1424</v>
      </c>
      <c r="C618" s="7" t="s">
        <v>1052</v>
      </c>
      <c r="D618" s="7" t="s">
        <v>4047</v>
      </c>
      <c r="E618" s="6" t="s">
        <v>4048</v>
      </c>
      <c r="F618" s="8" t="s">
        <v>6934</v>
      </c>
      <c r="G618" s="8" t="s">
        <v>6929</v>
      </c>
      <c r="H618" s="8" t="s">
        <v>6935</v>
      </c>
    </row>
    <row r="619" spans="1:8">
      <c r="A619" s="6" t="s">
        <v>763</v>
      </c>
      <c r="B619" s="7" t="s">
        <v>1424</v>
      </c>
      <c r="C619" s="7" t="s">
        <v>764</v>
      </c>
      <c r="D619" s="7" t="s">
        <v>4049</v>
      </c>
      <c r="E619" s="6" t="s">
        <v>4050</v>
      </c>
      <c r="F619" s="8"/>
      <c r="G619" s="8"/>
      <c r="H619" s="8"/>
    </row>
    <row r="620" spans="1:8">
      <c r="A620" s="6" t="s">
        <v>763</v>
      </c>
      <c r="B620" s="7" t="s">
        <v>1424</v>
      </c>
      <c r="C620" s="7" t="s">
        <v>1052</v>
      </c>
      <c r="D620" s="7" t="s">
        <v>4051</v>
      </c>
      <c r="E620" s="6" t="s">
        <v>4052</v>
      </c>
      <c r="F620" s="8" t="s">
        <v>6934</v>
      </c>
      <c r="G620" s="8" t="s">
        <v>6929</v>
      </c>
      <c r="H620" s="8" t="s">
        <v>7103</v>
      </c>
    </row>
    <row r="621" spans="1:8">
      <c r="A621" s="6" t="s">
        <v>763</v>
      </c>
      <c r="B621" s="7" t="s">
        <v>1424</v>
      </c>
      <c r="C621" s="7" t="s">
        <v>1052</v>
      </c>
      <c r="D621" s="7" t="s">
        <v>4053</v>
      </c>
      <c r="E621" s="6" t="s">
        <v>4054</v>
      </c>
      <c r="F621" s="8" t="s">
        <v>6934</v>
      </c>
      <c r="G621" s="8" t="s">
        <v>6929</v>
      </c>
      <c r="H621" s="8" t="s">
        <v>6935</v>
      </c>
    </row>
    <row r="622" spans="1:8">
      <c r="A622" s="6" t="s">
        <v>763</v>
      </c>
      <c r="B622" s="7" t="s">
        <v>1424</v>
      </c>
      <c r="C622" s="7" t="s">
        <v>4055</v>
      </c>
      <c r="D622" s="7" t="s">
        <v>4056</v>
      </c>
      <c r="E622" s="6" t="s">
        <v>2160</v>
      </c>
      <c r="F622" s="8"/>
      <c r="G622" s="8"/>
      <c r="H622" s="8"/>
    </row>
    <row r="623" spans="1:8">
      <c r="A623" s="6" t="s">
        <v>763</v>
      </c>
      <c r="B623" s="7" t="s">
        <v>1424</v>
      </c>
      <c r="C623" s="7" t="s">
        <v>764</v>
      </c>
      <c r="D623" s="7" t="s">
        <v>4057</v>
      </c>
      <c r="E623" s="6" t="s">
        <v>4058</v>
      </c>
      <c r="F623" s="8"/>
      <c r="G623" s="8"/>
      <c r="H623" s="8"/>
    </row>
    <row r="624" spans="1:8">
      <c r="A624" s="6" t="s">
        <v>1738</v>
      </c>
      <c r="B624" s="7" t="s">
        <v>606</v>
      </c>
      <c r="C624" s="7" t="s">
        <v>1739</v>
      </c>
      <c r="D624" s="7" t="s">
        <v>1740</v>
      </c>
      <c r="E624" s="6" t="s">
        <v>62</v>
      </c>
      <c r="F624" s="8"/>
      <c r="G624" s="8"/>
      <c r="H624" s="8"/>
    </row>
    <row r="625" spans="1:8">
      <c r="A625" s="6" t="s">
        <v>1738</v>
      </c>
      <c r="B625" s="7" t="s">
        <v>1582</v>
      </c>
      <c r="C625" s="7" t="s">
        <v>1582</v>
      </c>
      <c r="D625" s="7" t="s">
        <v>4059</v>
      </c>
      <c r="E625" s="6" t="s">
        <v>4060</v>
      </c>
      <c r="F625" s="8"/>
      <c r="G625" s="8"/>
      <c r="H625" s="8"/>
    </row>
    <row r="626" spans="1:8">
      <c r="A626" s="6" t="s">
        <v>1738</v>
      </c>
      <c r="B626" s="7" t="s">
        <v>1319</v>
      </c>
      <c r="C626" s="7" t="s">
        <v>78</v>
      </c>
      <c r="D626" s="7" t="s">
        <v>4061</v>
      </c>
      <c r="E626" s="6" t="s">
        <v>3437</v>
      </c>
      <c r="F626" s="8"/>
      <c r="G626" s="8"/>
      <c r="H626" s="8"/>
    </row>
    <row r="627" spans="1:8">
      <c r="A627" s="6" t="s">
        <v>1738</v>
      </c>
      <c r="B627" s="7" t="s">
        <v>4062</v>
      </c>
      <c r="C627" s="7" t="s">
        <v>4063</v>
      </c>
      <c r="D627" s="7" t="s">
        <v>4064</v>
      </c>
      <c r="E627" s="6" t="s">
        <v>4065</v>
      </c>
      <c r="F627" s="8"/>
      <c r="G627" s="8"/>
      <c r="H627" s="8"/>
    </row>
    <row r="628" spans="1:8">
      <c r="A628" s="6" t="s">
        <v>1738</v>
      </c>
      <c r="B628" s="7" t="s">
        <v>1319</v>
      </c>
      <c r="C628" s="7" t="s">
        <v>264</v>
      </c>
      <c r="D628" s="7" t="s">
        <v>4066</v>
      </c>
      <c r="E628" s="6" t="s">
        <v>4067</v>
      </c>
      <c r="F628" s="8"/>
      <c r="G628" s="8"/>
      <c r="H628" s="8"/>
    </row>
    <row r="629" spans="1:8">
      <c r="A629" s="6" t="s">
        <v>1738</v>
      </c>
      <c r="B629" s="7" t="s">
        <v>4062</v>
      </c>
      <c r="C629" s="7" t="s">
        <v>4063</v>
      </c>
      <c r="D629" s="7" t="s">
        <v>4068</v>
      </c>
      <c r="E629" s="6" t="s">
        <v>2663</v>
      </c>
      <c r="F629" s="8"/>
      <c r="G629" s="8"/>
      <c r="H629" s="8"/>
    </row>
    <row r="630" spans="1:8">
      <c r="A630" s="6" t="s">
        <v>1738</v>
      </c>
      <c r="B630" s="7" t="s">
        <v>4062</v>
      </c>
      <c r="C630" s="7" t="s">
        <v>4063</v>
      </c>
      <c r="D630" s="7" t="s">
        <v>4069</v>
      </c>
      <c r="E630" s="6" t="s">
        <v>4070</v>
      </c>
      <c r="F630" s="8" t="s">
        <v>5162</v>
      </c>
      <c r="G630" s="8" t="s">
        <v>7018</v>
      </c>
      <c r="H630" s="8" t="s">
        <v>7111</v>
      </c>
    </row>
    <row r="631" spans="1:8">
      <c r="A631" s="6" t="s">
        <v>1738</v>
      </c>
      <c r="B631" s="7" t="s">
        <v>1319</v>
      </c>
      <c r="C631" s="7" t="s">
        <v>264</v>
      </c>
      <c r="D631" s="7" t="s">
        <v>4071</v>
      </c>
      <c r="E631" s="6" t="s">
        <v>4072</v>
      </c>
      <c r="F631" s="8" t="s">
        <v>6931</v>
      </c>
      <c r="G631" s="8" t="s">
        <v>6929</v>
      </c>
      <c r="H631" s="8" t="s">
        <v>6967</v>
      </c>
    </row>
    <row r="632" spans="1:8">
      <c r="A632" s="6" t="s">
        <v>1738</v>
      </c>
      <c r="B632" s="7" t="s">
        <v>1319</v>
      </c>
      <c r="C632" s="7" t="s">
        <v>264</v>
      </c>
      <c r="D632" s="7" t="s">
        <v>4073</v>
      </c>
      <c r="E632" s="6" t="s">
        <v>4074</v>
      </c>
      <c r="F632" s="8" t="s">
        <v>7051</v>
      </c>
      <c r="G632" s="8" t="s">
        <v>6929</v>
      </c>
      <c r="H632" s="8" t="s">
        <v>6967</v>
      </c>
    </row>
    <row r="633" spans="1:8">
      <c r="A633" s="6" t="s">
        <v>1738</v>
      </c>
      <c r="B633" s="7" t="s">
        <v>1319</v>
      </c>
      <c r="C633" s="7" t="s">
        <v>78</v>
      </c>
      <c r="D633" s="7" t="s">
        <v>4075</v>
      </c>
      <c r="E633" s="6" t="s">
        <v>4076</v>
      </c>
      <c r="F633" s="8"/>
      <c r="G633" s="8"/>
      <c r="H633" s="8"/>
    </row>
    <row r="634" spans="1:8">
      <c r="A634" s="6" t="s">
        <v>1738</v>
      </c>
      <c r="B634" s="7" t="s">
        <v>1319</v>
      </c>
      <c r="C634" s="7" t="s">
        <v>264</v>
      </c>
      <c r="D634" s="7" t="s">
        <v>4077</v>
      </c>
      <c r="E634" s="6" t="s">
        <v>433</v>
      </c>
      <c r="F634" s="8"/>
      <c r="G634" s="8"/>
      <c r="H634" s="8"/>
    </row>
    <row r="635" spans="1:8">
      <c r="A635" s="6" t="s">
        <v>1738</v>
      </c>
      <c r="B635" s="7" t="s">
        <v>1319</v>
      </c>
      <c r="C635" s="7" t="s">
        <v>78</v>
      </c>
      <c r="D635" s="7" t="s">
        <v>4078</v>
      </c>
      <c r="E635" s="6" t="s">
        <v>4079</v>
      </c>
      <c r="F635" s="8" t="s">
        <v>6934</v>
      </c>
      <c r="G635" s="8" t="s">
        <v>6929</v>
      </c>
      <c r="H635" s="8" t="s">
        <v>6951</v>
      </c>
    </row>
    <row r="636" spans="1:8">
      <c r="A636" s="6" t="s">
        <v>1738</v>
      </c>
      <c r="B636" s="7" t="s">
        <v>1319</v>
      </c>
      <c r="C636" s="7" t="s">
        <v>78</v>
      </c>
      <c r="D636" s="7" t="s">
        <v>4080</v>
      </c>
      <c r="E636" s="6" t="s">
        <v>2721</v>
      </c>
      <c r="F636" s="8"/>
      <c r="G636" s="8"/>
      <c r="H636" s="8"/>
    </row>
    <row r="637" spans="1:8">
      <c r="A637" s="6" t="s">
        <v>1738</v>
      </c>
      <c r="B637" s="7" t="s">
        <v>1319</v>
      </c>
      <c r="C637" s="7" t="s">
        <v>78</v>
      </c>
      <c r="D637" s="7" t="s">
        <v>4081</v>
      </c>
      <c r="E637" s="6" t="s">
        <v>4082</v>
      </c>
      <c r="F637" s="8"/>
      <c r="G637" s="8"/>
      <c r="H637" s="8"/>
    </row>
    <row r="638" spans="1:8">
      <c r="A638" s="6" t="s">
        <v>1738</v>
      </c>
      <c r="B638" s="7" t="s">
        <v>1319</v>
      </c>
      <c r="C638" s="7" t="s">
        <v>4083</v>
      </c>
      <c r="D638" s="7" t="s">
        <v>4084</v>
      </c>
      <c r="E638" s="6" t="s">
        <v>4085</v>
      </c>
      <c r="F638" s="8" t="s">
        <v>6944</v>
      </c>
      <c r="G638" s="8" t="s">
        <v>6929</v>
      </c>
      <c r="H638" s="8" t="s">
        <v>7112</v>
      </c>
    </row>
    <row r="639" spans="1:8">
      <c r="A639" s="6" t="s">
        <v>1738</v>
      </c>
      <c r="B639" s="7" t="s">
        <v>1319</v>
      </c>
      <c r="C639" s="7" t="s">
        <v>78</v>
      </c>
      <c r="D639" s="7" t="s">
        <v>4086</v>
      </c>
      <c r="E639" s="6" t="s">
        <v>4087</v>
      </c>
      <c r="F639" s="8"/>
      <c r="G639" s="8"/>
      <c r="H639" s="8"/>
    </row>
    <row r="640" spans="1:8">
      <c r="A640" s="6" t="s">
        <v>1738</v>
      </c>
      <c r="B640" s="7" t="s">
        <v>606</v>
      </c>
      <c r="C640" s="7" t="s">
        <v>1739</v>
      </c>
      <c r="D640" s="7" t="s">
        <v>4088</v>
      </c>
      <c r="E640" s="6" t="s">
        <v>4089</v>
      </c>
      <c r="F640" s="8"/>
      <c r="G640" s="8"/>
      <c r="H640" s="8"/>
    </row>
    <row r="641" spans="1:8">
      <c r="A641" s="6" t="s">
        <v>1738</v>
      </c>
      <c r="B641" s="7" t="s">
        <v>606</v>
      </c>
      <c r="C641" s="7" t="s">
        <v>1100</v>
      </c>
      <c r="D641" s="7" t="s">
        <v>4090</v>
      </c>
      <c r="E641" s="6" t="s">
        <v>273</v>
      </c>
      <c r="F641" s="8"/>
      <c r="G641" s="8"/>
      <c r="H641" s="8"/>
    </row>
    <row r="642" spans="1:8">
      <c r="A642" s="6" t="s">
        <v>1738</v>
      </c>
      <c r="B642" s="7" t="s">
        <v>606</v>
      </c>
      <c r="C642" s="7" t="s">
        <v>1100</v>
      </c>
      <c r="D642" s="7" t="s">
        <v>4091</v>
      </c>
      <c r="E642" s="6" t="s">
        <v>4092</v>
      </c>
      <c r="F642" s="8" t="s">
        <v>6931</v>
      </c>
      <c r="G642" s="8" t="s">
        <v>6953</v>
      </c>
      <c r="H642" s="8" t="s">
        <v>6932</v>
      </c>
    </row>
    <row r="643" spans="1:8">
      <c r="A643" s="6" t="s">
        <v>1738</v>
      </c>
      <c r="B643" s="7" t="s">
        <v>606</v>
      </c>
      <c r="C643" s="7" t="s">
        <v>1100</v>
      </c>
      <c r="D643" s="7" t="s">
        <v>4093</v>
      </c>
      <c r="E643" s="6" t="s">
        <v>4094</v>
      </c>
      <c r="F643" s="8" t="s">
        <v>6934</v>
      </c>
      <c r="G643" s="8" t="s">
        <v>6929</v>
      </c>
      <c r="H643" s="8" t="s">
        <v>7108</v>
      </c>
    </row>
    <row r="644" spans="1:8">
      <c r="A644" s="6" t="s">
        <v>1738</v>
      </c>
      <c r="B644" s="7" t="s">
        <v>606</v>
      </c>
      <c r="C644" s="7" t="s">
        <v>1100</v>
      </c>
      <c r="D644" s="7" t="s">
        <v>4095</v>
      </c>
      <c r="E644" s="6" t="s">
        <v>4096</v>
      </c>
      <c r="F644" s="8"/>
      <c r="G644" s="8"/>
      <c r="H644" s="8"/>
    </row>
    <row r="645" spans="1:8">
      <c r="A645" s="6" t="s">
        <v>1738</v>
      </c>
      <c r="B645" s="7" t="s">
        <v>606</v>
      </c>
      <c r="C645" s="7" t="s">
        <v>1739</v>
      </c>
      <c r="D645" s="7" t="s">
        <v>4097</v>
      </c>
      <c r="E645" s="6" t="s">
        <v>4098</v>
      </c>
      <c r="F645" s="8"/>
      <c r="G645" s="8"/>
      <c r="H645" s="8"/>
    </row>
    <row r="646" spans="1:8">
      <c r="A646" s="6" t="s">
        <v>1738</v>
      </c>
      <c r="B646" s="7" t="s">
        <v>606</v>
      </c>
      <c r="C646" s="7" t="s">
        <v>1100</v>
      </c>
      <c r="D646" s="7" t="s">
        <v>4099</v>
      </c>
      <c r="E646" s="6" t="s">
        <v>4100</v>
      </c>
      <c r="F646" s="8"/>
      <c r="G646" s="8"/>
      <c r="H646" s="8"/>
    </row>
    <row r="647" spans="1:8">
      <c r="A647" s="6" t="s">
        <v>1738</v>
      </c>
      <c r="B647" s="7" t="s">
        <v>606</v>
      </c>
      <c r="C647" s="7" t="s">
        <v>1739</v>
      </c>
      <c r="D647" s="7" t="s">
        <v>4101</v>
      </c>
      <c r="E647" s="6" t="s">
        <v>4102</v>
      </c>
      <c r="F647" s="8" t="s">
        <v>6944</v>
      </c>
      <c r="G647" s="8" t="s">
        <v>6929</v>
      </c>
      <c r="H647" s="8" t="s">
        <v>7032</v>
      </c>
    </row>
    <row r="648" spans="1:8">
      <c r="A648" s="6" t="s">
        <v>1738</v>
      </c>
      <c r="B648" s="7" t="s">
        <v>606</v>
      </c>
      <c r="C648" s="7" t="s">
        <v>1100</v>
      </c>
      <c r="D648" s="7" t="s">
        <v>4103</v>
      </c>
      <c r="E648" s="6" t="s">
        <v>4104</v>
      </c>
      <c r="F648" s="8"/>
      <c r="G648" s="8"/>
      <c r="H648" s="8"/>
    </row>
    <row r="649" spans="1:8">
      <c r="A649" s="6" t="s">
        <v>1738</v>
      </c>
      <c r="B649" s="7" t="s">
        <v>4105</v>
      </c>
      <c r="C649" s="7" t="s">
        <v>4106</v>
      </c>
      <c r="D649" s="7" t="s">
        <v>4107</v>
      </c>
      <c r="E649" s="6" t="s">
        <v>4108</v>
      </c>
      <c r="F649" s="8" t="s">
        <v>6943</v>
      </c>
      <c r="G649" s="8" t="s">
        <v>6929</v>
      </c>
      <c r="H649" s="8" t="s">
        <v>7105</v>
      </c>
    </row>
    <row r="650" spans="1:8">
      <c r="A650" s="6" t="s">
        <v>1738</v>
      </c>
      <c r="B650" s="7" t="s">
        <v>935</v>
      </c>
      <c r="C650" s="7" t="s">
        <v>935</v>
      </c>
      <c r="D650" s="7" t="s">
        <v>4109</v>
      </c>
      <c r="E650" s="6" t="s">
        <v>2350</v>
      </c>
      <c r="F650" s="8"/>
      <c r="G650" s="8"/>
      <c r="H650" s="8"/>
    </row>
    <row r="651" spans="1:8">
      <c r="A651" s="6" t="s">
        <v>1738</v>
      </c>
      <c r="B651" s="7" t="s">
        <v>935</v>
      </c>
      <c r="C651" s="7" t="s">
        <v>935</v>
      </c>
      <c r="D651" s="7" t="s">
        <v>4110</v>
      </c>
      <c r="E651" s="6" t="s">
        <v>4111</v>
      </c>
      <c r="F651" s="8"/>
      <c r="G651" s="8"/>
      <c r="H651" s="8"/>
    </row>
    <row r="652" spans="1:8">
      <c r="A652" s="6" t="s">
        <v>1738</v>
      </c>
      <c r="B652" s="7" t="s">
        <v>935</v>
      </c>
      <c r="C652" s="7" t="s">
        <v>935</v>
      </c>
      <c r="D652" s="7" t="s">
        <v>4112</v>
      </c>
      <c r="E652" s="6" t="s">
        <v>575</v>
      </c>
      <c r="F652" s="8"/>
      <c r="G652" s="8"/>
      <c r="H652" s="8"/>
    </row>
    <row r="653" spans="1:8">
      <c r="A653" s="6" t="s">
        <v>1738</v>
      </c>
      <c r="B653" s="7" t="s">
        <v>4113</v>
      </c>
      <c r="C653" s="7" t="s">
        <v>4114</v>
      </c>
      <c r="D653" s="7" t="s">
        <v>4115</v>
      </c>
      <c r="E653" s="6" t="s">
        <v>4116</v>
      </c>
      <c r="F653" s="8"/>
      <c r="G653" s="8"/>
      <c r="H653" s="8"/>
    </row>
    <row r="654" spans="1:8">
      <c r="A654" s="6" t="s">
        <v>1738</v>
      </c>
      <c r="B654" s="7" t="s">
        <v>4113</v>
      </c>
      <c r="C654" s="7" t="s">
        <v>4117</v>
      </c>
      <c r="D654" s="7" t="s">
        <v>4118</v>
      </c>
      <c r="E654" s="6" t="s">
        <v>4119</v>
      </c>
      <c r="F654" s="8"/>
      <c r="G654" s="8"/>
      <c r="H654" s="8"/>
    </row>
    <row r="655" spans="1:8">
      <c r="A655" s="6" t="s">
        <v>1738</v>
      </c>
      <c r="B655" s="7" t="s">
        <v>4113</v>
      </c>
      <c r="C655" s="7" t="s">
        <v>4114</v>
      </c>
      <c r="D655" s="7" t="s">
        <v>4120</v>
      </c>
      <c r="E655" s="6" t="s">
        <v>4121</v>
      </c>
      <c r="F655" s="8"/>
      <c r="G655" s="8"/>
      <c r="H655" s="8"/>
    </row>
    <row r="656" spans="1:8">
      <c r="A656" s="6" t="s">
        <v>1738</v>
      </c>
      <c r="B656" s="7" t="s">
        <v>1319</v>
      </c>
      <c r="C656" s="7" t="s">
        <v>1273</v>
      </c>
      <c r="D656" s="7" t="s">
        <v>4122</v>
      </c>
      <c r="E656" s="6" t="s">
        <v>4123</v>
      </c>
      <c r="F656" s="8"/>
      <c r="G656" s="8"/>
      <c r="H656" s="8"/>
    </row>
    <row r="657" spans="1:8">
      <c r="A657" s="6" t="s">
        <v>1738</v>
      </c>
      <c r="B657" s="7" t="s">
        <v>1319</v>
      </c>
      <c r="C657" s="7" t="s">
        <v>2058</v>
      </c>
      <c r="D657" s="7" t="s">
        <v>4124</v>
      </c>
      <c r="E657" s="6" t="s">
        <v>4125</v>
      </c>
      <c r="F657" s="8"/>
      <c r="G657" s="8"/>
      <c r="H657" s="8"/>
    </row>
    <row r="658" spans="1:8">
      <c r="A658" s="6" t="s">
        <v>1738</v>
      </c>
      <c r="B658" s="7" t="s">
        <v>1319</v>
      </c>
      <c r="C658" s="7" t="s">
        <v>4083</v>
      </c>
      <c r="D658" s="7" t="s">
        <v>4126</v>
      </c>
      <c r="E658" s="6" t="s">
        <v>4127</v>
      </c>
      <c r="F658" s="8"/>
      <c r="G658" s="8"/>
      <c r="H658" s="8"/>
    </row>
    <row r="659" spans="1:8">
      <c r="A659" s="6" t="s">
        <v>1738</v>
      </c>
      <c r="B659" s="7" t="s">
        <v>1319</v>
      </c>
      <c r="C659" s="7" t="s">
        <v>4083</v>
      </c>
      <c r="D659" s="7" t="s">
        <v>4128</v>
      </c>
      <c r="E659" s="6" t="s">
        <v>4129</v>
      </c>
      <c r="F659" s="8"/>
      <c r="G659" s="8"/>
      <c r="H659" s="8"/>
    </row>
    <row r="660" spans="1:8">
      <c r="A660" s="6" t="s">
        <v>4811</v>
      </c>
      <c r="B660" s="7" t="s">
        <v>4812</v>
      </c>
      <c r="C660" s="7" t="s">
        <v>9</v>
      </c>
      <c r="D660" s="7" t="s">
        <v>4813</v>
      </c>
      <c r="E660" s="6" t="s">
        <v>2331</v>
      </c>
      <c r="F660" s="8"/>
      <c r="G660" s="8"/>
      <c r="H660" s="8"/>
    </row>
    <row r="661" spans="1:8">
      <c r="A661" s="6" t="s">
        <v>4811</v>
      </c>
      <c r="B661" s="7" t="s">
        <v>4814</v>
      </c>
      <c r="C661" s="7" t="s">
        <v>935</v>
      </c>
      <c r="D661" s="7" t="s">
        <v>4815</v>
      </c>
      <c r="E661" s="6" t="s">
        <v>4816</v>
      </c>
      <c r="F661" s="8"/>
      <c r="G661" s="8"/>
      <c r="H661" s="8"/>
    </row>
    <row r="662" spans="1:8">
      <c r="A662" s="6" t="s">
        <v>4811</v>
      </c>
      <c r="B662" s="7" t="s">
        <v>4809</v>
      </c>
      <c r="C662" s="7" t="s">
        <v>4809</v>
      </c>
      <c r="D662" s="7" t="s">
        <v>4817</v>
      </c>
      <c r="E662" s="6" t="s">
        <v>4809</v>
      </c>
      <c r="F662" s="8"/>
      <c r="G662" s="8"/>
      <c r="H662" s="8"/>
    </row>
    <row r="663" spans="1:8">
      <c r="A663" s="6" t="s">
        <v>4811</v>
      </c>
      <c r="B663" s="7" t="s">
        <v>4818</v>
      </c>
      <c r="C663" s="7" t="s">
        <v>4818</v>
      </c>
      <c r="D663" s="7" t="s">
        <v>4819</v>
      </c>
      <c r="E663" s="6" t="s">
        <v>4820</v>
      </c>
      <c r="F663" s="8"/>
      <c r="G663" s="8"/>
      <c r="H663" s="8"/>
    </row>
    <row r="664" spans="1:8">
      <c r="A664" s="6" t="s">
        <v>4811</v>
      </c>
      <c r="B664" s="7" t="s">
        <v>3110</v>
      </c>
      <c r="C664" s="7" t="s">
        <v>429</v>
      </c>
      <c r="D664" s="7" t="s">
        <v>4821</v>
      </c>
      <c r="E664" s="6" t="s">
        <v>4822</v>
      </c>
      <c r="F664" s="8"/>
      <c r="G664" s="8"/>
      <c r="H664" s="8"/>
    </row>
    <row r="665" spans="1:8">
      <c r="A665" s="6" t="s">
        <v>4811</v>
      </c>
      <c r="B665" s="7" t="s">
        <v>3110</v>
      </c>
      <c r="C665" s="7" t="s">
        <v>429</v>
      </c>
      <c r="D665" s="7" t="s">
        <v>4823</v>
      </c>
      <c r="E665" s="6" t="s">
        <v>4824</v>
      </c>
      <c r="F665" s="8"/>
      <c r="G665" s="8"/>
      <c r="H665" s="8"/>
    </row>
    <row r="666" spans="1:8">
      <c r="A666" s="6" t="s">
        <v>4811</v>
      </c>
      <c r="B666" s="7" t="s">
        <v>3110</v>
      </c>
      <c r="C666" s="7" t="s">
        <v>429</v>
      </c>
      <c r="D666" s="7" t="s">
        <v>4825</v>
      </c>
      <c r="E666" s="6" t="s">
        <v>4826</v>
      </c>
      <c r="F666" s="8"/>
      <c r="G666" s="8"/>
      <c r="H666" s="8"/>
    </row>
    <row r="667" spans="1:8">
      <c r="A667" s="6" t="s">
        <v>4811</v>
      </c>
      <c r="B667" s="7" t="s">
        <v>3110</v>
      </c>
      <c r="C667" s="7" t="s">
        <v>429</v>
      </c>
      <c r="D667" s="7" t="s">
        <v>4827</v>
      </c>
      <c r="E667" s="6" t="s">
        <v>4828</v>
      </c>
      <c r="F667" s="8"/>
      <c r="G667" s="8"/>
      <c r="H667" s="8"/>
    </row>
    <row r="668" spans="1:8">
      <c r="A668" s="6" t="s">
        <v>4811</v>
      </c>
      <c r="B668" s="7" t="s">
        <v>4829</v>
      </c>
      <c r="C668" s="7" t="s">
        <v>4830</v>
      </c>
      <c r="D668" s="7" t="s">
        <v>4831</v>
      </c>
      <c r="E668" s="6" t="s">
        <v>4832</v>
      </c>
      <c r="F668" s="8"/>
      <c r="G668" s="8"/>
      <c r="H668" s="8"/>
    </row>
    <row r="669" spans="1:8">
      <c r="A669" s="6" t="s">
        <v>4811</v>
      </c>
      <c r="B669" s="7" t="s">
        <v>3110</v>
      </c>
      <c r="C669" s="7" t="s">
        <v>4833</v>
      </c>
      <c r="D669" s="7" t="s">
        <v>4834</v>
      </c>
      <c r="E669" s="6" t="s">
        <v>4835</v>
      </c>
      <c r="F669" s="8"/>
      <c r="G669" s="8"/>
      <c r="H669" s="8"/>
    </row>
    <row r="670" spans="1:8">
      <c r="A670" s="6" t="s">
        <v>4811</v>
      </c>
      <c r="B670" s="7" t="s">
        <v>3110</v>
      </c>
      <c r="C670" s="7" t="s">
        <v>4833</v>
      </c>
      <c r="D670" s="7" t="s">
        <v>4836</v>
      </c>
      <c r="E670" s="6" t="s">
        <v>4837</v>
      </c>
      <c r="F670" s="8"/>
      <c r="G670" s="8"/>
      <c r="H670" s="8"/>
    </row>
    <row r="671" spans="1:8">
      <c r="A671" s="6" t="s">
        <v>4811</v>
      </c>
      <c r="B671" s="7" t="s">
        <v>3110</v>
      </c>
      <c r="C671" s="7" t="s">
        <v>4833</v>
      </c>
      <c r="D671" s="7" t="s">
        <v>4838</v>
      </c>
      <c r="E671" s="6" t="s">
        <v>4839</v>
      </c>
      <c r="F671" s="8"/>
      <c r="G671" s="8"/>
      <c r="H671" s="8"/>
    </row>
    <row r="672" spans="1:8">
      <c r="A672" s="6" t="s">
        <v>4811</v>
      </c>
      <c r="B672" s="7" t="s">
        <v>3110</v>
      </c>
      <c r="C672" s="7" t="s">
        <v>1910</v>
      </c>
      <c r="D672" s="7" t="s">
        <v>4840</v>
      </c>
      <c r="E672" s="6" t="s">
        <v>4841</v>
      </c>
      <c r="F672" s="8"/>
      <c r="G672" s="8"/>
      <c r="H672" s="8"/>
    </row>
    <row r="673" spans="1:8">
      <c r="A673" s="6" t="s">
        <v>4811</v>
      </c>
      <c r="B673" s="7" t="s">
        <v>3110</v>
      </c>
      <c r="C673" s="7" t="s">
        <v>1910</v>
      </c>
      <c r="D673" s="7" t="s">
        <v>4842</v>
      </c>
      <c r="E673" s="6" t="s">
        <v>4843</v>
      </c>
      <c r="F673" s="8"/>
      <c r="G673" s="8"/>
      <c r="H673" s="8"/>
    </row>
    <row r="674" spans="1:8">
      <c r="A674" s="6" t="s">
        <v>4811</v>
      </c>
      <c r="B674" s="7" t="s">
        <v>3110</v>
      </c>
      <c r="C674" s="7" t="s">
        <v>1910</v>
      </c>
      <c r="D674" s="7" t="s">
        <v>4844</v>
      </c>
      <c r="E674" s="6" t="s">
        <v>4845</v>
      </c>
      <c r="F674" s="8"/>
      <c r="G674" s="8"/>
      <c r="H674" s="8"/>
    </row>
    <row r="675" spans="1:8">
      <c r="A675" s="6" t="s">
        <v>4811</v>
      </c>
      <c r="B675" s="7" t="s">
        <v>3110</v>
      </c>
      <c r="C675" s="7" t="s">
        <v>1910</v>
      </c>
      <c r="D675" s="7" t="s">
        <v>4846</v>
      </c>
      <c r="E675" s="6" t="s">
        <v>4847</v>
      </c>
      <c r="F675" s="8"/>
      <c r="G675" s="8"/>
      <c r="H675" s="8"/>
    </row>
    <row r="676" spans="1:8">
      <c r="A676" s="6" t="s">
        <v>4811</v>
      </c>
      <c r="B676" s="7" t="s">
        <v>3110</v>
      </c>
      <c r="C676" s="7" t="s">
        <v>1910</v>
      </c>
      <c r="D676" s="7" t="s">
        <v>4848</v>
      </c>
      <c r="E676" s="6" t="s">
        <v>4849</v>
      </c>
      <c r="F676" s="8"/>
      <c r="G676" s="8"/>
      <c r="H676" s="8"/>
    </row>
    <row r="677" spans="1:8">
      <c r="A677" s="6" t="s">
        <v>4811</v>
      </c>
      <c r="B677" s="7" t="s">
        <v>3110</v>
      </c>
      <c r="C677" s="7" t="s">
        <v>1910</v>
      </c>
      <c r="D677" s="7" t="s">
        <v>4850</v>
      </c>
      <c r="E677" s="6" t="s">
        <v>4851</v>
      </c>
      <c r="F677" s="8"/>
      <c r="G677" s="8"/>
      <c r="H677" s="8"/>
    </row>
    <row r="678" spans="1:8">
      <c r="A678" s="6" t="s">
        <v>569</v>
      </c>
      <c r="B678" s="7" t="s">
        <v>570</v>
      </c>
      <c r="C678" s="7" t="s">
        <v>571</v>
      </c>
      <c r="D678" s="7" t="s">
        <v>572</v>
      </c>
      <c r="E678" s="6" t="s">
        <v>573</v>
      </c>
      <c r="F678" s="8"/>
      <c r="G678" s="8"/>
      <c r="H678" s="8"/>
    </row>
    <row r="679" spans="1:8">
      <c r="A679" s="6" t="s">
        <v>569</v>
      </c>
      <c r="B679" s="7" t="s">
        <v>3297</v>
      </c>
      <c r="C679" s="7" t="s">
        <v>3297</v>
      </c>
      <c r="D679" s="7" t="s">
        <v>3298</v>
      </c>
      <c r="E679" s="6" t="s">
        <v>3299</v>
      </c>
      <c r="F679" s="8"/>
      <c r="G679" s="8"/>
      <c r="H679" s="8"/>
    </row>
    <row r="680" spans="1:8">
      <c r="A680" s="6" t="s">
        <v>569</v>
      </c>
      <c r="B680" s="7" t="s">
        <v>3300</v>
      </c>
      <c r="C680" s="7" t="s">
        <v>951</v>
      </c>
      <c r="D680" s="7" t="s">
        <v>3301</v>
      </c>
      <c r="E680" s="6" t="s">
        <v>2096</v>
      </c>
      <c r="F680" s="8"/>
      <c r="G680" s="8"/>
      <c r="H680" s="8"/>
    </row>
    <row r="681" spans="1:8">
      <c r="A681" s="6" t="s">
        <v>569</v>
      </c>
      <c r="B681" s="7" t="s">
        <v>3300</v>
      </c>
      <c r="C681" s="7" t="s">
        <v>1434</v>
      </c>
      <c r="D681" s="7" t="s">
        <v>3302</v>
      </c>
      <c r="E681" s="6" t="s">
        <v>3303</v>
      </c>
      <c r="F681" s="8"/>
      <c r="G681" s="8"/>
      <c r="H681" s="8"/>
    </row>
    <row r="682" spans="1:8">
      <c r="A682" s="6" t="s">
        <v>569</v>
      </c>
      <c r="B682" s="7" t="s">
        <v>570</v>
      </c>
      <c r="C682" s="7" t="s">
        <v>3304</v>
      </c>
      <c r="D682" s="7" t="s">
        <v>3305</v>
      </c>
      <c r="E682" s="6" t="s">
        <v>2418</v>
      </c>
      <c r="F682" s="8" t="s">
        <v>6931</v>
      </c>
      <c r="G682" s="8" t="s">
        <v>6953</v>
      </c>
      <c r="H682" s="8" t="s">
        <v>7116</v>
      </c>
    </row>
    <row r="683" spans="1:8">
      <c r="A683" s="6" t="s">
        <v>569</v>
      </c>
      <c r="B683" s="7" t="s">
        <v>570</v>
      </c>
      <c r="C683" s="7" t="s">
        <v>3306</v>
      </c>
      <c r="D683" s="7" t="s">
        <v>3307</v>
      </c>
      <c r="E683" s="6" t="s">
        <v>3308</v>
      </c>
      <c r="F683" s="8"/>
      <c r="G683" s="8"/>
      <c r="H683" s="8"/>
    </row>
    <row r="684" spans="1:8">
      <c r="A684" s="6" t="s">
        <v>569</v>
      </c>
      <c r="B684" s="7" t="s">
        <v>570</v>
      </c>
      <c r="C684" s="7" t="s">
        <v>3309</v>
      </c>
      <c r="D684" s="7" t="s">
        <v>3310</v>
      </c>
      <c r="E684" s="6" t="s">
        <v>3311</v>
      </c>
      <c r="F684" s="8" t="s">
        <v>6931</v>
      </c>
      <c r="G684" s="8" t="s">
        <v>7086</v>
      </c>
      <c r="H684" s="8" t="s">
        <v>6940</v>
      </c>
    </row>
    <row r="685" spans="1:8">
      <c r="A685" s="6" t="s">
        <v>569</v>
      </c>
      <c r="B685" s="7" t="s">
        <v>264</v>
      </c>
      <c r="C685" s="7" t="s">
        <v>134</v>
      </c>
      <c r="D685" s="7" t="s">
        <v>3312</v>
      </c>
      <c r="E685" s="6" t="s">
        <v>3313</v>
      </c>
      <c r="F685" s="8"/>
      <c r="G685" s="8"/>
      <c r="H685" s="8"/>
    </row>
    <row r="686" spans="1:8">
      <c r="A686" s="6" t="s">
        <v>569</v>
      </c>
      <c r="B686" s="7" t="s">
        <v>78</v>
      </c>
      <c r="C686" s="7" t="s">
        <v>508</v>
      </c>
      <c r="D686" s="7" t="s">
        <v>3314</v>
      </c>
      <c r="E686" s="6" t="s">
        <v>3315</v>
      </c>
      <c r="F686" s="8"/>
      <c r="G686" s="8"/>
      <c r="H686" s="8"/>
    </row>
    <row r="687" spans="1:8">
      <c r="A687" s="6" t="s">
        <v>438</v>
      </c>
      <c r="B687" s="7" t="s">
        <v>439</v>
      </c>
      <c r="C687" s="7" t="s">
        <v>440</v>
      </c>
      <c r="D687" s="7" t="s">
        <v>441</v>
      </c>
      <c r="E687" s="6" t="s">
        <v>442</v>
      </c>
      <c r="F687" s="8"/>
      <c r="G687" s="8"/>
      <c r="H687" s="8"/>
    </row>
    <row r="688" spans="1:8">
      <c r="A688" s="6" t="s">
        <v>438</v>
      </c>
      <c r="B688" s="7" t="s">
        <v>438</v>
      </c>
      <c r="C688" s="7" t="s">
        <v>440</v>
      </c>
      <c r="D688" s="7" t="s">
        <v>865</v>
      </c>
      <c r="E688" s="6" t="s">
        <v>866</v>
      </c>
      <c r="F688" s="8" t="s">
        <v>6944</v>
      </c>
      <c r="G688" s="8" t="s">
        <v>6926</v>
      </c>
      <c r="H688" s="8" t="s">
        <v>7117</v>
      </c>
    </row>
    <row r="689" spans="1:8">
      <c r="A689" s="6" t="s">
        <v>438</v>
      </c>
      <c r="B689" s="7" t="s">
        <v>1529</v>
      </c>
      <c r="C689" s="7" t="s">
        <v>1529</v>
      </c>
      <c r="D689" s="7" t="s">
        <v>1530</v>
      </c>
      <c r="E689" s="6" t="s">
        <v>1531</v>
      </c>
      <c r="F689" s="8"/>
      <c r="G689" s="8"/>
      <c r="H689" s="8"/>
    </row>
    <row r="690" spans="1:8">
      <c r="A690" s="6" t="s">
        <v>438</v>
      </c>
      <c r="B690" s="7" t="s">
        <v>1529</v>
      </c>
      <c r="C690" s="7" t="s">
        <v>1529</v>
      </c>
      <c r="D690" s="7" t="s">
        <v>1532</v>
      </c>
      <c r="E690" s="6" t="s">
        <v>1533</v>
      </c>
      <c r="F690" s="8"/>
      <c r="G690" s="8"/>
      <c r="H690" s="8"/>
    </row>
    <row r="691" spans="1:8">
      <c r="A691" s="6" t="s">
        <v>438</v>
      </c>
      <c r="B691" s="7" t="s">
        <v>1600</v>
      </c>
      <c r="C691" s="7" t="s">
        <v>1600</v>
      </c>
      <c r="D691" s="7" t="s">
        <v>1601</v>
      </c>
      <c r="E691" s="6" t="s">
        <v>1602</v>
      </c>
      <c r="F691" s="8"/>
      <c r="G691" s="8"/>
      <c r="H691" s="8"/>
    </row>
    <row r="692" spans="1:8">
      <c r="A692" s="6" t="s">
        <v>438</v>
      </c>
      <c r="B692" s="7" t="s">
        <v>1600</v>
      </c>
      <c r="C692" s="7" t="s">
        <v>1600</v>
      </c>
      <c r="D692" s="7" t="s">
        <v>1603</v>
      </c>
      <c r="E692" s="6" t="s">
        <v>1567</v>
      </c>
      <c r="F692" s="8" t="s">
        <v>3334</v>
      </c>
      <c r="G692" s="8" t="s">
        <v>6953</v>
      </c>
      <c r="H692" s="8" t="s">
        <v>6954</v>
      </c>
    </row>
    <row r="693" spans="1:8">
      <c r="A693" s="6" t="s">
        <v>438</v>
      </c>
      <c r="B693" s="7" t="s">
        <v>1649</v>
      </c>
      <c r="C693" s="7" t="s">
        <v>1649</v>
      </c>
      <c r="D693" s="7" t="s">
        <v>1650</v>
      </c>
      <c r="E693" s="6" t="s">
        <v>1511</v>
      </c>
      <c r="F693" s="8"/>
      <c r="G693" s="8"/>
      <c r="H693" s="8"/>
    </row>
    <row r="694" spans="1:8">
      <c r="A694" s="6" t="s">
        <v>438</v>
      </c>
      <c r="B694" s="7" t="s">
        <v>1649</v>
      </c>
      <c r="C694" s="7" t="s">
        <v>1649</v>
      </c>
      <c r="D694" s="7" t="s">
        <v>1651</v>
      </c>
      <c r="E694" s="6" t="s">
        <v>1652</v>
      </c>
      <c r="F694" s="8"/>
      <c r="G694" s="8"/>
      <c r="H694" s="8"/>
    </row>
    <row r="695" spans="1:8">
      <c r="A695" s="6" t="s">
        <v>438</v>
      </c>
      <c r="B695" s="7" t="s">
        <v>1649</v>
      </c>
      <c r="C695" s="7" t="s">
        <v>1649</v>
      </c>
      <c r="D695" s="7" t="s">
        <v>1653</v>
      </c>
      <c r="E695" s="6" t="s">
        <v>637</v>
      </c>
      <c r="F695" s="8"/>
      <c r="G695" s="8"/>
      <c r="H695" s="8"/>
    </row>
    <row r="696" spans="1:8">
      <c r="A696" s="6" t="s">
        <v>438</v>
      </c>
      <c r="B696" s="7" t="s">
        <v>1753</v>
      </c>
      <c r="C696" s="7" t="s">
        <v>1753</v>
      </c>
      <c r="D696" s="7" t="s">
        <v>1754</v>
      </c>
      <c r="E696" s="6" t="s">
        <v>1755</v>
      </c>
      <c r="F696" s="8"/>
      <c r="G696" s="8"/>
      <c r="H696" s="8"/>
    </row>
    <row r="697" spans="1:8">
      <c r="A697" s="6" t="s">
        <v>438</v>
      </c>
      <c r="B697" s="7" t="s">
        <v>2310</v>
      </c>
      <c r="C697" s="7" t="s">
        <v>2310</v>
      </c>
      <c r="D697" s="7" t="s">
        <v>2311</v>
      </c>
      <c r="E697" s="6" t="s">
        <v>2312</v>
      </c>
      <c r="F697" s="8"/>
      <c r="G697" s="8"/>
      <c r="H697" s="8"/>
    </row>
    <row r="698" spans="1:8">
      <c r="A698" s="6" t="s">
        <v>438</v>
      </c>
      <c r="B698" s="7" t="s">
        <v>6775</v>
      </c>
      <c r="C698" s="7" t="s">
        <v>6775</v>
      </c>
      <c r="D698" s="7" t="s">
        <v>6776</v>
      </c>
      <c r="E698" s="6" t="s">
        <v>6777</v>
      </c>
      <c r="F698" s="8"/>
      <c r="G698" s="8"/>
      <c r="H698" s="8"/>
    </row>
    <row r="699" spans="1:8">
      <c r="A699" s="6" t="s">
        <v>438</v>
      </c>
      <c r="B699" s="7" t="s">
        <v>2310</v>
      </c>
      <c r="C699" s="7" t="s">
        <v>2310</v>
      </c>
      <c r="D699" s="7" t="s">
        <v>6778</v>
      </c>
      <c r="E699" s="6" t="s">
        <v>6779</v>
      </c>
      <c r="F699" s="8"/>
      <c r="G699" s="8"/>
      <c r="H699" s="8"/>
    </row>
    <row r="700" spans="1:8">
      <c r="A700" s="6" t="s">
        <v>438</v>
      </c>
      <c r="B700" s="7" t="s">
        <v>1649</v>
      </c>
      <c r="C700" s="7" t="s">
        <v>4618</v>
      </c>
      <c r="D700" s="7" t="s">
        <v>6780</v>
      </c>
      <c r="E700" s="6" t="s">
        <v>6781</v>
      </c>
      <c r="F700" s="8" t="s">
        <v>5162</v>
      </c>
      <c r="G700" s="8" t="s">
        <v>6953</v>
      </c>
      <c r="H700" s="8" t="s">
        <v>7118</v>
      </c>
    </row>
    <row r="701" spans="1:8">
      <c r="A701" s="6" t="s">
        <v>438</v>
      </c>
      <c r="B701" s="7" t="s">
        <v>3958</v>
      </c>
      <c r="C701" s="7" t="s">
        <v>3958</v>
      </c>
      <c r="D701" s="7" t="s">
        <v>6782</v>
      </c>
      <c r="E701" s="6" t="s">
        <v>4100</v>
      </c>
      <c r="F701" s="8"/>
      <c r="G701" s="8"/>
      <c r="H701" s="8"/>
    </row>
    <row r="702" spans="1:8">
      <c r="A702" s="6" t="s">
        <v>438</v>
      </c>
      <c r="B702" s="7" t="s">
        <v>1649</v>
      </c>
      <c r="C702" s="7" t="s">
        <v>1649</v>
      </c>
      <c r="D702" s="7" t="s">
        <v>6783</v>
      </c>
      <c r="E702" s="6" t="s">
        <v>6784</v>
      </c>
      <c r="F702" s="8"/>
      <c r="G702" s="8"/>
      <c r="H702" s="8"/>
    </row>
    <row r="703" spans="1:8">
      <c r="A703" s="6" t="s">
        <v>438</v>
      </c>
      <c r="B703" s="7" t="s">
        <v>1649</v>
      </c>
      <c r="C703" s="7" t="s">
        <v>1649</v>
      </c>
      <c r="D703" s="7" t="s">
        <v>6785</v>
      </c>
      <c r="E703" s="6" t="s">
        <v>6786</v>
      </c>
      <c r="F703" s="8" t="s">
        <v>5162</v>
      </c>
      <c r="G703" s="8" t="s">
        <v>6944</v>
      </c>
      <c r="H703" s="8" t="s">
        <v>6967</v>
      </c>
    </row>
    <row r="704" spans="1:8">
      <c r="A704" s="6" t="s">
        <v>438</v>
      </c>
      <c r="B704" s="7" t="s">
        <v>1649</v>
      </c>
      <c r="C704" s="7" t="s">
        <v>1649</v>
      </c>
      <c r="D704" s="7" t="s">
        <v>6787</v>
      </c>
      <c r="E704" s="6" t="s">
        <v>6168</v>
      </c>
      <c r="F704" s="8"/>
      <c r="G704" s="8"/>
      <c r="H704" s="8"/>
    </row>
    <row r="705" spans="1:8">
      <c r="A705" s="6" t="s">
        <v>438</v>
      </c>
      <c r="B705" s="7" t="s">
        <v>1529</v>
      </c>
      <c r="C705" s="7" t="s">
        <v>1529</v>
      </c>
      <c r="D705" s="7" t="s">
        <v>6788</v>
      </c>
      <c r="E705" s="6" t="s">
        <v>6789</v>
      </c>
      <c r="F705" s="8" t="s">
        <v>6931</v>
      </c>
      <c r="G705" s="8" t="s">
        <v>6999</v>
      </c>
      <c r="H705" s="8" t="s">
        <v>7119</v>
      </c>
    </row>
    <row r="706" spans="1:8">
      <c r="A706" s="6" t="s">
        <v>438</v>
      </c>
      <c r="B706" s="7" t="s">
        <v>6790</v>
      </c>
      <c r="C706" s="7" t="s">
        <v>1649</v>
      </c>
      <c r="D706" s="7" t="s">
        <v>6791</v>
      </c>
      <c r="E706" s="6" t="s">
        <v>6792</v>
      </c>
      <c r="F706" s="8" t="s">
        <v>6939</v>
      </c>
      <c r="G706" s="8" t="s">
        <v>6953</v>
      </c>
      <c r="H706" s="8" t="s">
        <v>6932</v>
      </c>
    </row>
    <row r="707" spans="1:8">
      <c r="A707" s="6" t="s">
        <v>438</v>
      </c>
      <c r="B707" s="7" t="s">
        <v>4618</v>
      </c>
      <c r="C707" s="7" t="s">
        <v>4618</v>
      </c>
      <c r="D707" s="7" t="s">
        <v>6793</v>
      </c>
      <c r="E707" s="6" t="s">
        <v>2680</v>
      </c>
      <c r="F707" s="8"/>
      <c r="G707" s="8"/>
      <c r="H707" s="8"/>
    </row>
    <row r="708" spans="1:8">
      <c r="A708" s="6" t="s">
        <v>438</v>
      </c>
      <c r="B708" s="7" t="s">
        <v>1600</v>
      </c>
      <c r="C708" s="7" t="s">
        <v>1600</v>
      </c>
      <c r="D708" s="7" t="s">
        <v>6794</v>
      </c>
      <c r="E708" s="6" t="s">
        <v>6795</v>
      </c>
      <c r="F708" s="8"/>
      <c r="G708" s="8"/>
      <c r="H708" s="8"/>
    </row>
    <row r="709" spans="1:8">
      <c r="A709" s="6" t="s">
        <v>438</v>
      </c>
      <c r="B709" s="7" t="s">
        <v>1600</v>
      </c>
      <c r="C709" s="7" t="s">
        <v>1600</v>
      </c>
      <c r="D709" s="7" t="s">
        <v>6796</v>
      </c>
      <c r="E709" s="6" t="s">
        <v>6797</v>
      </c>
      <c r="F709" s="8"/>
      <c r="G709" s="8"/>
      <c r="H709" s="8"/>
    </row>
    <row r="710" spans="1:8">
      <c r="A710" s="6" t="s">
        <v>438</v>
      </c>
      <c r="B710" s="7" t="s">
        <v>6798</v>
      </c>
      <c r="C710" s="7" t="s">
        <v>6798</v>
      </c>
      <c r="D710" s="7" t="s">
        <v>6799</v>
      </c>
      <c r="E710" s="6" t="s">
        <v>6800</v>
      </c>
      <c r="F710" s="8"/>
      <c r="G710" s="8"/>
      <c r="H710" s="8"/>
    </row>
    <row r="711" spans="1:8">
      <c r="A711" s="6" t="s">
        <v>991</v>
      </c>
      <c r="B711" s="7" t="s">
        <v>992</v>
      </c>
      <c r="C711" s="7" t="s">
        <v>993</v>
      </c>
      <c r="D711" s="7" t="s">
        <v>994</v>
      </c>
      <c r="E711" s="6" t="s">
        <v>995</v>
      </c>
      <c r="F711" s="8"/>
      <c r="G711" s="8"/>
      <c r="H711" s="8"/>
    </row>
    <row r="712" spans="1:8">
      <c r="A712" s="6" t="s">
        <v>991</v>
      </c>
      <c r="B712" s="7" t="s">
        <v>1834</v>
      </c>
      <c r="C712" s="7" t="s">
        <v>1834</v>
      </c>
      <c r="D712" s="7" t="s">
        <v>1835</v>
      </c>
      <c r="E712" s="6" t="s">
        <v>1836</v>
      </c>
      <c r="F712" s="8"/>
      <c r="G712" s="8"/>
      <c r="H712" s="8"/>
    </row>
    <row r="713" spans="1:8">
      <c r="A713" s="6" t="s">
        <v>991</v>
      </c>
      <c r="B713" s="7" t="s">
        <v>2742</v>
      </c>
      <c r="C713" s="7" t="s">
        <v>2742</v>
      </c>
      <c r="D713" s="7" t="s">
        <v>2743</v>
      </c>
      <c r="E713" s="6" t="s">
        <v>2744</v>
      </c>
      <c r="F713" s="8"/>
      <c r="G713" s="8"/>
      <c r="H713" s="8"/>
    </row>
    <row r="714" spans="1:8">
      <c r="A714" s="6" t="s">
        <v>991</v>
      </c>
      <c r="B714" s="7" t="s">
        <v>1834</v>
      </c>
      <c r="C714" s="7" t="s">
        <v>1834</v>
      </c>
      <c r="D714" s="7" t="s">
        <v>2745</v>
      </c>
      <c r="E714" s="6" t="s">
        <v>2746</v>
      </c>
      <c r="F714" s="8" t="s">
        <v>6931</v>
      </c>
      <c r="G714" s="8" t="s">
        <v>6929</v>
      </c>
      <c r="H714" s="8" t="s">
        <v>6951</v>
      </c>
    </row>
    <row r="715" spans="1:8">
      <c r="A715" s="6" t="s">
        <v>991</v>
      </c>
      <c r="B715" s="7" t="s">
        <v>1834</v>
      </c>
      <c r="C715" s="7" t="s">
        <v>1834</v>
      </c>
      <c r="D715" s="7" t="s">
        <v>2747</v>
      </c>
      <c r="E715" s="6" t="s">
        <v>2748</v>
      </c>
      <c r="F715" s="8" t="s">
        <v>6931</v>
      </c>
      <c r="G715" s="8" t="s">
        <v>6929</v>
      </c>
      <c r="H715" s="8" t="s">
        <v>6951</v>
      </c>
    </row>
    <row r="716" spans="1:8">
      <c r="A716" s="6" t="s">
        <v>991</v>
      </c>
      <c r="B716" s="7" t="s">
        <v>1834</v>
      </c>
      <c r="C716" s="7" t="s">
        <v>1834</v>
      </c>
      <c r="D716" s="7" t="s">
        <v>2749</v>
      </c>
      <c r="E716" s="6" t="s">
        <v>2750</v>
      </c>
      <c r="F716" s="8" t="s">
        <v>6931</v>
      </c>
      <c r="G716" s="8" t="s">
        <v>6929</v>
      </c>
      <c r="H716" s="8" t="s">
        <v>6951</v>
      </c>
    </row>
    <row r="717" spans="1:8">
      <c r="A717" s="6" t="s">
        <v>991</v>
      </c>
      <c r="B717" s="7" t="s">
        <v>1834</v>
      </c>
      <c r="C717" s="7" t="s">
        <v>1834</v>
      </c>
      <c r="D717" s="7" t="s">
        <v>2751</v>
      </c>
      <c r="E717" s="6" t="s">
        <v>2752</v>
      </c>
      <c r="F717" s="8"/>
      <c r="G717" s="8"/>
      <c r="H717" s="8"/>
    </row>
    <row r="718" spans="1:8">
      <c r="A718" s="6" t="s">
        <v>991</v>
      </c>
      <c r="B718" s="7" t="s">
        <v>1834</v>
      </c>
      <c r="C718" s="7" t="s">
        <v>1834</v>
      </c>
      <c r="D718" s="7" t="s">
        <v>2753</v>
      </c>
      <c r="E718" s="6" t="s">
        <v>2754</v>
      </c>
      <c r="F718" s="8"/>
      <c r="G718" s="8"/>
      <c r="H718" s="8"/>
    </row>
    <row r="719" spans="1:8">
      <c r="A719" s="6" t="s">
        <v>991</v>
      </c>
      <c r="B719" s="7" t="s">
        <v>992</v>
      </c>
      <c r="C719" s="7" t="s">
        <v>992</v>
      </c>
      <c r="D719" s="7" t="s">
        <v>2755</v>
      </c>
      <c r="E719" s="6" t="s">
        <v>2756</v>
      </c>
      <c r="F719" s="8"/>
      <c r="G719" s="8"/>
      <c r="H719" s="8"/>
    </row>
    <row r="720" spans="1:8">
      <c r="A720" s="6" t="s">
        <v>991</v>
      </c>
      <c r="B720" s="7" t="s">
        <v>992</v>
      </c>
      <c r="C720" s="7" t="s">
        <v>992</v>
      </c>
      <c r="D720" s="7" t="s">
        <v>2757</v>
      </c>
      <c r="E720" s="6" t="s">
        <v>2758</v>
      </c>
      <c r="F720" s="8"/>
      <c r="G720" s="8"/>
      <c r="H720" s="8"/>
    </row>
    <row r="721" spans="1:8">
      <c r="A721" s="6" t="s">
        <v>991</v>
      </c>
      <c r="B721" s="7" t="s">
        <v>992</v>
      </c>
      <c r="C721" s="7" t="s">
        <v>992</v>
      </c>
      <c r="D721" s="7" t="s">
        <v>2759</v>
      </c>
      <c r="E721" s="6" t="s">
        <v>2760</v>
      </c>
      <c r="F721" s="8"/>
      <c r="G721" s="8"/>
      <c r="H721" s="8"/>
    </row>
    <row r="722" spans="1:8">
      <c r="A722" s="6" t="s">
        <v>991</v>
      </c>
      <c r="B722" s="7" t="s">
        <v>992</v>
      </c>
      <c r="C722" s="7" t="s">
        <v>992</v>
      </c>
      <c r="D722" s="7" t="s">
        <v>2761</v>
      </c>
      <c r="E722" s="6" t="s">
        <v>2762</v>
      </c>
      <c r="F722" s="8"/>
      <c r="G722" s="8"/>
      <c r="H722" s="8"/>
    </row>
    <row r="723" spans="1:8">
      <c r="A723" s="6" t="s">
        <v>991</v>
      </c>
      <c r="B723" s="7" t="s">
        <v>992</v>
      </c>
      <c r="C723" s="7" t="s">
        <v>992</v>
      </c>
      <c r="D723" s="7" t="s">
        <v>2763</v>
      </c>
      <c r="E723" s="6" t="s">
        <v>2764</v>
      </c>
      <c r="F723" s="8"/>
      <c r="G723" s="8"/>
      <c r="H723" s="8"/>
    </row>
    <row r="724" spans="1:8">
      <c r="A724" s="6" t="s">
        <v>991</v>
      </c>
      <c r="B724" s="7" t="s">
        <v>2765</v>
      </c>
      <c r="C724" s="7" t="s">
        <v>2765</v>
      </c>
      <c r="D724" s="7" t="s">
        <v>2766</v>
      </c>
      <c r="E724" s="6" t="s">
        <v>2767</v>
      </c>
      <c r="F724" s="8" t="s">
        <v>6931</v>
      </c>
      <c r="G724" s="8" t="s">
        <v>6929</v>
      </c>
      <c r="H724" s="8" t="s">
        <v>7068</v>
      </c>
    </row>
    <row r="725" spans="1:8">
      <c r="A725" s="6" t="s">
        <v>991</v>
      </c>
      <c r="B725" s="7" t="s">
        <v>2765</v>
      </c>
      <c r="C725" s="7" t="s">
        <v>2765</v>
      </c>
      <c r="D725" s="7" t="s">
        <v>2768</v>
      </c>
      <c r="E725" s="6" t="s">
        <v>2769</v>
      </c>
      <c r="F725" s="8"/>
      <c r="G725" s="8"/>
      <c r="H725" s="8"/>
    </row>
    <row r="726" spans="1:8">
      <c r="A726" s="6" t="s">
        <v>991</v>
      </c>
      <c r="B726" s="7" t="s">
        <v>2765</v>
      </c>
      <c r="C726" s="7" t="s">
        <v>2765</v>
      </c>
      <c r="D726" s="7" t="s">
        <v>2770</v>
      </c>
      <c r="E726" s="6" t="s">
        <v>2769</v>
      </c>
      <c r="F726" s="8"/>
      <c r="G726" s="8"/>
      <c r="H726" s="8"/>
    </row>
    <row r="727" spans="1:8">
      <c r="A727" s="6" t="s">
        <v>1163</v>
      </c>
      <c r="B727" s="7" t="s">
        <v>1131</v>
      </c>
      <c r="C727" s="7" t="s">
        <v>1131</v>
      </c>
      <c r="D727" s="7" t="s">
        <v>1164</v>
      </c>
      <c r="E727" s="6" t="s">
        <v>1165</v>
      </c>
      <c r="F727" s="8" t="s">
        <v>7120</v>
      </c>
      <c r="G727" s="8" t="s">
        <v>7099</v>
      </c>
      <c r="H727" s="8" t="s">
        <v>7121</v>
      </c>
    </row>
    <row r="728" spans="1:8">
      <c r="A728" s="6" t="s">
        <v>3904</v>
      </c>
      <c r="B728" s="7" t="s">
        <v>3905</v>
      </c>
      <c r="C728" s="7" t="s">
        <v>2161</v>
      </c>
      <c r="D728" s="7" t="s">
        <v>3906</v>
      </c>
      <c r="E728" s="6" t="s">
        <v>1004</v>
      </c>
      <c r="F728" s="8"/>
      <c r="G728" s="8"/>
      <c r="H728" s="8"/>
    </row>
    <row r="729" spans="1:8">
      <c r="A729" s="6" t="s">
        <v>3904</v>
      </c>
      <c r="B729" s="7" t="s">
        <v>3907</v>
      </c>
      <c r="C729" s="7" t="s">
        <v>1319</v>
      </c>
      <c r="D729" s="7" t="s">
        <v>3908</v>
      </c>
      <c r="E729" s="6" t="s">
        <v>3909</v>
      </c>
      <c r="F729" s="8"/>
      <c r="G729" s="8"/>
      <c r="H729" s="8"/>
    </row>
    <row r="730" spans="1:8">
      <c r="A730" s="6" t="s">
        <v>920</v>
      </c>
      <c r="B730" s="7" t="s">
        <v>921</v>
      </c>
      <c r="C730" s="7" t="s">
        <v>922</v>
      </c>
      <c r="D730" s="7" t="s">
        <v>923</v>
      </c>
      <c r="E730" s="6" t="s">
        <v>924</v>
      </c>
      <c r="F730" s="8"/>
      <c r="G730" s="8"/>
      <c r="H730" s="8"/>
    </row>
    <row r="731" spans="1:8">
      <c r="A731" s="6" t="s">
        <v>920</v>
      </c>
      <c r="B731" s="7" t="s">
        <v>1079</v>
      </c>
      <c r="C731" s="7" t="s">
        <v>1079</v>
      </c>
      <c r="D731" s="7" t="s">
        <v>1080</v>
      </c>
      <c r="E731" s="6" t="s">
        <v>1081</v>
      </c>
      <c r="F731" s="8"/>
      <c r="G731" s="8"/>
      <c r="H731" s="8"/>
    </row>
    <row r="732" spans="1:8">
      <c r="A732" s="6" t="s">
        <v>920</v>
      </c>
      <c r="B732" s="7" t="s">
        <v>1079</v>
      </c>
      <c r="C732" s="7" t="s">
        <v>429</v>
      </c>
      <c r="D732" s="7" t="s">
        <v>1261</v>
      </c>
      <c r="E732" s="6" t="s">
        <v>1262</v>
      </c>
      <c r="F732" s="8"/>
      <c r="G732" s="8"/>
      <c r="H732" s="8"/>
    </row>
    <row r="733" spans="1:8">
      <c r="A733" s="6" t="s">
        <v>920</v>
      </c>
      <c r="B733" s="7" t="s">
        <v>1079</v>
      </c>
      <c r="C733" s="7" t="s">
        <v>429</v>
      </c>
      <c r="D733" s="7" t="s">
        <v>1940</v>
      </c>
      <c r="E733" s="6" t="s">
        <v>1941</v>
      </c>
      <c r="F733" s="8"/>
      <c r="G733" s="8"/>
      <c r="H733" s="8"/>
    </row>
    <row r="734" spans="1:8">
      <c r="A734" s="6" t="s">
        <v>920</v>
      </c>
      <c r="B734" s="7" t="s">
        <v>4794</v>
      </c>
      <c r="C734" s="7" t="s">
        <v>429</v>
      </c>
      <c r="D734" s="7" t="s">
        <v>4795</v>
      </c>
      <c r="E734" s="6" t="s">
        <v>4796</v>
      </c>
      <c r="F734" s="8"/>
      <c r="G734" s="8"/>
      <c r="H734" s="8"/>
    </row>
    <row r="735" spans="1:8">
      <c r="A735" s="6" t="s">
        <v>920</v>
      </c>
      <c r="B735" s="7" t="s">
        <v>1079</v>
      </c>
      <c r="C735" s="7" t="s">
        <v>921</v>
      </c>
      <c r="D735" s="7" t="s">
        <v>4797</v>
      </c>
      <c r="E735" s="6" t="s">
        <v>4798</v>
      </c>
      <c r="F735" s="8"/>
      <c r="G735" s="8"/>
      <c r="H735" s="8"/>
    </row>
    <row r="736" spans="1:8">
      <c r="A736" s="6" t="s">
        <v>920</v>
      </c>
      <c r="B736" s="7" t="s">
        <v>1079</v>
      </c>
      <c r="C736" s="7" t="s">
        <v>921</v>
      </c>
      <c r="D736" s="7" t="s">
        <v>4799</v>
      </c>
      <c r="E736" s="6" t="s">
        <v>4800</v>
      </c>
      <c r="F736" s="8"/>
      <c r="G736" s="8"/>
      <c r="H736" s="8"/>
    </row>
    <row r="737" spans="1:8">
      <c r="A737" s="6" t="s">
        <v>920</v>
      </c>
      <c r="B737" s="7" t="s">
        <v>1079</v>
      </c>
      <c r="C737" s="7" t="s">
        <v>4801</v>
      </c>
      <c r="D737" s="7" t="s">
        <v>4802</v>
      </c>
      <c r="E737" s="6" t="s">
        <v>4803</v>
      </c>
      <c r="F737" s="8" t="s">
        <v>7030</v>
      </c>
      <c r="G737" s="8" t="s">
        <v>6929</v>
      </c>
      <c r="H737" s="8" t="s">
        <v>6951</v>
      </c>
    </row>
    <row r="738" spans="1:8">
      <c r="A738" s="6" t="s">
        <v>920</v>
      </c>
      <c r="B738" s="7" t="s">
        <v>1079</v>
      </c>
      <c r="C738" s="7" t="s">
        <v>4804</v>
      </c>
      <c r="D738" s="7" t="s">
        <v>4805</v>
      </c>
      <c r="E738" s="6" t="s">
        <v>4806</v>
      </c>
      <c r="F738" s="8"/>
      <c r="G738" s="8"/>
      <c r="H738" s="8"/>
    </row>
    <row r="739" spans="1:8">
      <c r="A739" s="6" t="s">
        <v>920</v>
      </c>
      <c r="B739" s="7" t="s">
        <v>1079</v>
      </c>
      <c r="C739" s="7" t="s">
        <v>429</v>
      </c>
      <c r="D739" s="7" t="s">
        <v>4807</v>
      </c>
      <c r="E739" s="6" t="s">
        <v>4808</v>
      </c>
      <c r="F739" s="8"/>
      <c r="G739" s="8"/>
      <c r="H739" s="8"/>
    </row>
    <row r="740" spans="1:8">
      <c r="A740" s="6" t="s">
        <v>920</v>
      </c>
      <c r="B740" s="7" t="s">
        <v>1079</v>
      </c>
      <c r="C740" s="7" t="s">
        <v>4809</v>
      </c>
      <c r="D740" s="7" t="s">
        <v>4810</v>
      </c>
      <c r="E740" s="6" t="s">
        <v>4809</v>
      </c>
      <c r="F740" s="8"/>
      <c r="G740" s="8"/>
      <c r="H740" s="8"/>
    </row>
    <row r="741" spans="1:8">
      <c r="A741" s="6" t="s">
        <v>2628</v>
      </c>
      <c r="B741" s="7" t="s">
        <v>2629</v>
      </c>
      <c r="C741" s="7" t="s">
        <v>1131</v>
      </c>
      <c r="D741" s="7" t="s">
        <v>2630</v>
      </c>
      <c r="E741" s="6" t="s">
        <v>2631</v>
      </c>
      <c r="F741" s="8"/>
      <c r="G741" s="8"/>
      <c r="H741" s="8"/>
    </row>
    <row r="742" spans="1:8">
      <c r="A742" s="6" t="s">
        <v>1923</v>
      </c>
      <c r="B742" s="7" t="s">
        <v>508</v>
      </c>
      <c r="C742" s="7" t="s">
        <v>508</v>
      </c>
      <c r="D742" s="7" t="s">
        <v>1924</v>
      </c>
      <c r="E742" s="6" t="s">
        <v>1342</v>
      </c>
      <c r="F742" s="8"/>
      <c r="G742" s="8"/>
      <c r="H742" s="8"/>
    </row>
    <row r="743" spans="1:8">
      <c r="A743" s="6" t="s">
        <v>1923</v>
      </c>
      <c r="B743" s="7" t="s">
        <v>1131</v>
      </c>
      <c r="C743" s="7" t="s">
        <v>1131</v>
      </c>
      <c r="D743" s="7" t="s">
        <v>3524</v>
      </c>
      <c r="E743" s="6" t="s">
        <v>3525</v>
      </c>
      <c r="F743" s="8" t="s">
        <v>6982</v>
      </c>
      <c r="G743" s="8" t="s">
        <v>6953</v>
      </c>
      <c r="H743" s="8" t="s">
        <v>7123</v>
      </c>
    </row>
    <row r="744" spans="1:8">
      <c r="A744" s="6" t="s">
        <v>1923</v>
      </c>
      <c r="B744" s="7" t="s">
        <v>3526</v>
      </c>
      <c r="C744" s="7" t="s">
        <v>3526</v>
      </c>
      <c r="D744" s="7" t="s">
        <v>3527</v>
      </c>
      <c r="E744" s="6" t="s">
        <v>3528</v>
      </c>
      <c r="F744" s="8"/>
      <c r="G744" s="8"/>
      <c r="H744" s="8"/>
    </row>
    <row r="745" spans="1:8">
      <c r="A745" s="6" t="s">
        <v>1923</v>
      </c>
      <c r="B745" s="7" t="s">
        <v>3529</v>
      </c>
      <c r="C745" s="7" t="s">
        <v>3529</v>
      </c>
      <c r="D745" s="7" t="s">
        <v>3530</v>
      </c>
      <c r="E745" s="6" t="s">
        <v>3531</v>
      </c>
      <c r="F745" s="8" t="s">
        <v>6931</v>
      </c>
      <c r="G745" s="8" t="s">
        <v>6953</v>
      </c>
      <c r="H745" s="8" t="s">
        <v>6940</v>
      </c>
    </row>
    <row r="746" spans="1:8">
      <c r="A746" s="6" t="s">
        <v>1923</v>
      </c>
      <c r="B746" s="7" t="s">
        <v>3529</v>
      </c>
      <c r="C746" s="7" t="s">
        <v>3529</v>
      </c>
      <c r="D746" s="7" t="s">
        <v>3532</v>
      </c>
      <c r="E746" s="6" t="s">
        <v>3533</v>
      </c>
      <c r="F746" s="8"/>
      <c r="G746" s="8"/>
      <c r="H746" s="8"/>
    </row>
    <row r="747" spans="1:8">
      <c r="A747" s="6" t="s">
        <v>1923</v>
      </c>
      <c r="B747" s="7" t="s">
        <v>3529</v>
      </c>
      <c r="C747" s="7" t="s">
        <v>3529</v>
      </c>
      <c r="D747" s="7" t="s">
        <v>3534</v>
      </c>
      <c r="E747" s="6" t="s">
        <v>3535</v>
      </c>
      <c r="F747" s="8"/>
      <c r="G747" s="8"/>
      <c r="H747" s="8"/>
    </row>
    <row r="748" spans="1:8">
      <c r="A748" s="6" t="s">
        <v>1923</v>
      </c>
      <c r="B748" s="7" t="s">
        <v>134</v>
      </c>
      <c r="C748" s="7" t="s">
        <v>134</v>
      </c>
      <c r="D748" s="7" t="s">
        <v>3536</v>
      </c>
      <c r="E748" s="6" t="s">
        <v>3537</v>
      </c>
      <c r="F748" s="8" t="s">
        <v>6931</v>
      </c>
      <c r="G748" s="8" t="s">
        <v>7056</v>
      </c>
      <c r="H748" s="8" t="s">
        <v>7122</v>
      </c>
    </row>
    <row r="749" spans="1:8">
      <c r="A749" s="6" t="s">
        <v>1923</v>
      </c>
      <c r="B749" s="7" t="s">
        <v>3529</v>
      </c>
      <c r="C749" s="7" t="s">
        <v>3529</v>
      </c>
      <c r="D749" s="7" t="s">
        <v>3538</v>
      </c>
      <c r="E749" s="6" t="s">
        <v>3539</v>
      </c>
      <c r="F749" s="8" t="s">
        <v>6931</v>
      </c>
      <c r="G749" s="8" t="s">
        <v>6944</v>
      </c>
      <c r="H749" s="8" t="s">
        <v>6951</v>
      </c>
    </row>
    <row r="750" spans="1:8">
      <c r="A750" s="6" t="s">
        <v>2173</v>
      </c>
      <c r="B750" s="7" t="s">
        <v>9</v>
      </c>
      <c r="C750" s="7" t="s">
        <v>9</v>
      </c>
      <c r="D750" s="7" t="s">
        <v>2174</v>
      </c>
      <c r="E750" s="6" t="s">
        <v>2175</v>
      </c>
      <c r="F750" s="8"/>
      <c r="G750" s="8"/>
      <c r="H750" s="8"/>
    </row>
    <row r="751" spans="1:8">
      <c r="A751" s="6" t="s">
        <v>2173</v>
      </c>
      <c r="B751" s="7" t="s">
        <v>9</v>
      </c>
      <c r="C751" s="7" t="s">
        <v>9</v>
      </c>
      <c r="D751" s="7" t="s">
        <v>2176</v>
      </c>
      <c r="E751" s="6" t="s">
        <v>2177</v>
      </c>
      <c r="F751" s="8"/>
      <c r="G751" s="8"/>
      <c r="H751" s="8"/>
    </row>
    <row r="752" spans="1:8">
      <c r="A752" s="6" t="s">
        <v>2173</v>
      </c>
      <c r="B752" s="7" t="s">
        <v>9</v>
      </c>
      <c r="C752" s="7" t="s">
        <v>9</v>
      </c>
      <c r="D752" s="7" t="s">
        <v>2178</v>
      </c>
      <c r="E752" s="6" t="s">
        <v>2179</v>
      </c>
      <c r="F752" s="8"/>
      <c r="G752" s="8"/>
      <c r="H752" s="8"/>
    </row>
    <row r="753" spans="1:8">
      <c r="A753" s="6" t="s">
        <v>750</v>
      </c>
      <c r="B753" s="7" t="s">
        <v>675</v>
      </c>
      <c r="C753" s="7" t="s">
        <v>675</v>
      </c>
      <c r="D753" s="7" t="s">
        <v>751</v>
      </c>
      <c r="E753" s="6" t="s">
        <v>752</v>
      </c>
      <c r="F753" s="8"/>
      <c r="G753" s="8"/>
      <c r="H753" s="8"/>
    </row>
    <row r="754" spans="1:8">
      <c r="A754" s="6" t="s">
        <v>750</v>
      </c>
      <c r="B754" s="7" t="s">
        <v>365</v>
      </c>
      <c r="C754" s="7" t="s">
        <v>365</v>
      </c>
      <c r="D754" s="7" t="s">
        <v>753</v>
      </c>
      <c r="E754" s="6" t="s">
        <v>754</v>
      </c>
      <c r="F754" s="8"/>
      <c r="G754" s="8"/>
      <c r="H754" s="8"/>
    </row>
    <row r="755" spans="1:8">
      <c r="A755" s="6" t="s">
        <v>750</v>
      </c>
      <c r="B755" s="7" t="s">
        <v>365</v>
      </c>
      <c r="C755" s="7" t="s">
        <v>365</v>
      </c>
      <c r="D755" s="7" t="s">
        <v>1547</v>
      </c>
      <c r="E755" s="6" t="s">
        <v>1548</v>
      </c>
      <c r="F755" s="8"/>
      <c r="G755" s="8"/>
      <c r="H755" s="8"/>
    </row>
    <row r="756" spans="1:8">
      <c r="A756" s="6" t="s">
        <v>750</v>
      </c>
      <c r="B756" s="7" t="s">
        <v>675</v>
      </c>
      <c r="C756" s="7" t="s">
        <v>675</v>
      </c>
      <c r="D756" s="7" t="s">
        <v>1686</v>
      </c>
      <c r="E756" s="6" t="s">
        <v>1687</v>
      </c>
      <c r="F756" s="8" t="s">
        <v>6939</v>
      </c>
      <c r="G756" s="8" t="s">
        <v>6953</v>
      </c>
      <c r="H756" s="8" t="s">
        <v>6927</v>
      </c>
    </row>
    <row r="757" spans="1:8">
      <c r="A757" s="6" t="s">
        <v>750</v>
      </c>
      <c r="B757" s="7" t="s">
        <v>965</v>
      </c>
      <c r="C757" s="7" t="s">
        <v>965</v>
      </c>
      <c r="D757" s="7" t="s">
        <v>1721</v>
      </c>
      <c r="E757" s="6" t="s">
        <v>1722</v>
      </c>
      <c r="F757" s="8" t="s">
        <v>6960</v>
      </c>
      <c r="G757" s="8" t="s">
        <v>6961</v>
      </c>
      <c r="H757" s="8" t="s">
        <v>6962</v>
      </c>
    </row>
    <row r="758" spans="1:8">
      <c r="A758" s="6" t="s">
        <v>750</v>
      </c>
      <c r="B758" s="7" t="s">
        <v>2330</v>
      </c>
      <c r="C758" s="7" t="s">
        <v>2330</v>
      </c>
      <c r="D758" s="7" t="s">
        <v>5637</v>
      </c>
      <c r="E758" s="6" t="s">
        <v>5638</v>
      </c>
      <c r="F758" s="8"/>
      <c r="G758" s="8"/>
      <c r="H758" s="8"/>
    </row>
    <row r="759" spans="1:8">
      <c r="A759" s="6" t="s">
        <v>750</v>
      </c>
      <c r="B759" s="7" t="s">
        <v>1131</v>
      </c>
      <c r="C759" s="7" t="s">
        <v>1131</v>
      </c>
      <c r="D759" s="7" t="s">
        <v>5639</v>
      </c>
      <c r="E759" s="6" t="s">
        <v>5640</v>
      </c>
      <c r="F759" s="8"/>
      <c r="G759" s="8"/>
      <c r="H759" s="8"/>
    </row>
    <row r="760" spans="1:8">
      <c r="A760" s="6" t="s">
        <v>750</v>
      </c>
      <c r="B760" s="7" t="s">
        <v>74</v>
      </c>
      <c r="C760" s="7" t="s">
        <v>74</v>
      </c>
      <c r="D760" s="7" t="s">
        <v>5641</v>
      </c>
      <c r="E760" s="6" t="s">
        <v>5642</v>
      </c>
      <c r="F760" s="8" t="s">
        <v>6964</v>
      </c>
      <c r="G760" s="8" t="s">
        <v>6965</v>
      </c>
      <c r="H760" s="8" t="s">
        <v>6966</v>
      </c>
    </row>
    <row r="761" spans="1:8">
      <c r="A761" s="6" t="s">
        <v>750</v>
      </c>
      <c r="B761" s="7" t="s">
        <v>5643</v>
      </c>
      <c r="C761" s="7" t="s">
        <v>5644</v>
      </c>
      <c r="D761" s="7" t="s">
        <v>5645</v>
      </c>
      <c r="E761" s="6" t="s">
        <v>3077</v>
      </c>
      <c r="F761" s="8"/>
      <c r="G761" s="8"/>
      <c r="H761" s="8"/>
    </row>
    <row r="762" spans="1:8">
      <c r="A762" s="6" t="s">
        <v>750</v>
      </c>
      <c r="B762" s="7" t="s">
        <v>5643</v>
      </c>
      <c r="C762" s="7" t="s">
        <v>5643</v>
      </c>
      <c r="D762" s="7" t="s">
        <v>5646</v>
      </c>
      <c r="E762" s="6" t="s">
        <v>5647</v>
      </c>
      <c r="F762" s="8" t="s">
        <v>6960</v>
      </c>
      <c r="G762" s="8" t="s">
        <v>6929</v>
      </c>
      <c r="H762" s="8" t="s">
        <v>6967</v>
      </c>
    </row>
    <row r="763" spans="1:8">
      <c r="A763" s="6" t="s">
        <v>750</v>
      </c>
      <c r="B763" s="7" t="s">
        <v>5643</v>
      </c>
      <c r="C763" s="7" t="s">
        <v>5644</v>
      </c>
      <c r="D763" s="7" t="s">
        <v>5648</v>
      </c>
      <c r="E763" s="6" t="s">
        <v>5649</v>
      </c>
      <c r="F763" s="8"/>
      <c r="G763" s="8"/>
      <c r="H763" s="8"/>
    </row>
    <row r="764" spans="1:8">
      <c r="A764" s="6" t="s">
        <v>750</v>
      </c>
      <c r="B764" s="7" t="s">
        <v>5650</v>
      </c>
      <c r="C764" s="7" t="s">
        <v>5651</v>
      </c>
      <c r="D764" s="7" t="s">
        <v>5652</v>
      </c>
      <c r="E764" s="6" t="s">
        <v>5653</v>
      </c>
      <c r="F764" s="8" t="s">
        <v>6934</v>
      </c>
      <c r="G764" s="8" t="s">
        <v>6953</v>
      </c>
      <c r="H764" s="8" t="s">
        <v>6968</v>
      </c>
    </row>
    <row r="765" spans="1:8">
      <c r="A765" s="6" t="s">
        <v>750</v>
      </c>
      <c r="B765" s="7" t="s">
        <v>5654</v>
      </c>
      <c r="C765" s="7" t="s">
        <v>5651</v>
      </c>
      <c r="D765" s="7" t="s">
        <v>5655</v>
      </c>
      <c r="E765" s="6" t="s">
        <v>5656</v>
      </c>
      <c r="F765" s="8" t="s">
        <v>6934</v>
      </c>
      <c r="G765" s="8" t="s">
        <v>6953</v>
      </c>
      <c r="H765" s="8" t="s">
        <v>6968</v>
      </c>
    </row>
    <row r="766" spans="1:8">
      <c r="A766" s="6" t="s">
        <v>750</v>
      </c>
      <c r="B766" s="7" t="s">
        <v>5657</v>
      </c>
      <c r="C766" s="7" t="s">
        <v>5658</v>
      </c>
      <c r="D766" s="7" t="s">
        <v>5659</v>
      </c>
      <c r="E766" s="6" t="s">
        <v>4076</v>
      </c>
      <c r="F766" s="8" t="s">
        <v>6957</v>
      </c>
      <c r="G766" s="8" t="s">
        <v>6953</v>
      </c>
      <c r="H766" s="8" t="s">
        <v>6963</v>
      </c>
    </row>
    <row r="767" spans="1:8">
      <c r="A767" s="6" t="s">
        <v>750</v>
      </c>
      <c r="B767" s="7" t="s">
        <v>5657</v>
      </c>
      <c r="C767" s="7" t="s">
        <v>5660</v>
      </c>
      <c r="D767" s="7" t="s">
        <v>5661</v>
      </c>
      <c r="E767" s="6" t="s">
        <v>5662</v>
      </c>
      <c r="F767" s="8"/>
      <c r="G767" s="8"/>
      <c r="H767" s="8"/>
    </row>
    <row r="768" spans="1:8">
      <c r="A768" s="6" t="s">
        <v>750</v>
      </c>
      <c r="B768" s="7" t="s">
        <v>5663</v>
      </c>
      <c r="C768" s="7" t="s">
        <v>965</v>
      </c>
      <c r="D768" s="7" t="s">
        <v>5664</v>
      </c>
      <c r="E768" s="6" t="s">
        <v>5665</v>
      </c>
      <c r="F768" s="8"/>
      <c r="G768" s="8"/>
      <c r="H768" s="8"/>
    </row>
    <row r="769" spans="1:8">
      <c r="A769" s="6" t="s">
        <v>750</v>
      </c>
      <c r="B769" s="7" t="s">
        <v>5666</v>
      </c>
      <c r="C769" s="7" t="s">
        <v>365</v>
      </c>
      <c r="D769" s="7" t="s">
        <v>5667</v>
      </c>
      <c r="E769" s="6" t="s">
        <v>5668</v>
      </c>
      <c r="F769" s="8"/>
      <c r="G769" s="8"/>
      <c r="H769" s="8"/>
    </row>
    <row r="770" spans="1:8">
      <c r="A770" s="6" t="s">
        <v>750</v>
      </c>
      <c r="B770" s="7" t="s">
        <v>5666</v>
      </c>
      <c r="C770" s="7" t="s">
        <v>675</v>
      </c>
      <c r="D770" s="7" t="s">
        <v>5669</v>
      </c>
      <c r="E770" s="6" t="s">
        <v>5670</v>
      </c>
      <c r="F770" s="8"/>
      <c r="G770" s="8"/>
      <c r="H770" s="8"/>
    </row>
    <row r="771" spans="1:8">
      <c r="A771" s="6" t="s">
        <v>750</v>
      </c>
      <c r="B771" s="7" t="s">
        <v>5671</v>
      </c>
      <c r="C771" s="7" t="s">
        <v>5672</v>
      </c>
      <c r="D771" s="7" t="s">
        <v>5673</v>
      </c>
      <c r="E771" s="6" t="s">
        <v>5674</v>
      </c>
      <c r="F771" s="8"/>
      <c r="G771" s="8"/>
      <c r="H771" s="8"/>
    </row>
    <row r="772" spans="1:8">
      <c r="A772" s="6" t="s">
        <v>750</v>
      </c>
      <c r="B772" s="7" t="s">
        <v>5675</v>
      </c>
      <c r="C772" s="7" t="s">
        <v>5676</v>
      </c>
      <c r="D772" s="7" t="s">
        <v>5677</v>
      </c>
      <c r="E772" s="6" t="s">
        <v>5678</v>
      </c>
      <c r="F772" s="8"/>
      <c r="G772" s="8"/>
      <c r="H772" s="8"/>
    </row>
    <row r="773" spans="1:8">
      <c r="A773" s="6" t="s">
        <v>750</v>
      </c>
      <c r="B773" s="7" t="s">
        <v>5675</v>
      </c>
      <c r="C773" s="7" t="s">
        <v>675</v>
      </c>
      <c r="D773" s="7" t="s">
        <v>5679</v>
      </c>
      <c r="E773" s="6" t="s">
        <v>5680</v>
      </c>
      <c r="F773" s="8" t="s">
        <v>6939</v>
      </c>
      <c r="G773" s="8" t="s">
        <v>6953</v>
      </c>
      <c r="H773" s="8" t="s">
        <v>6959</v>
      </c>
    </row>
    <row r="774" spans="1:8">
      <c r="A774" s="6" t="s">
        <v>750</v>
      </c>
      <c r="B774" s="7" t="s">
        <v>675</v>
      </c>
      <c r="C774" s="7" t="s">
        <v>675</v>
      </c>
      <c r="D774" s="7" t="s">
        <v>5681</v>
      </c>
      <c r="E774" s="6" t="s">
        <v>5682</v>
      </c>
      <c r="F774" s="8"/>
      <c r="G774" s="8"/>
      <c r="H774" s="8"/>
    </row>
    <row r="775" spans="1:8">
      <c r="A775" s="6" t="s">
        <v>750</v>
      </c>
      <c r="B775" s="7" t="s">
        <v>675</v>
      </c>
      <c r="C775" s="7" t="s">
        <v>5683</v>
      </c>
      <c r="D775" s="7" t="s">
        <v>5684</v>
      </c>
      <c r="E775" s="6" t="s">
        <v>5685</v>
      </c>
      <c r="F775" s="8"/>
      <c r="G775" s="8"/>
      <c r="H775" s="8"/>
    </row>
    <row r="776" spans="1:8">
      <c r="A776" s="6" t="s">
        <v>750</v>
      </c>
      <c r="B776" s="7" t="s">
        <v>5686</v>
      </c>
      <c r="C776" s="7" t="s">
        <v>675</v>
      </c>
      <c r="D776" s="7" t="s">
        <v>5687</v>
      </c>
      <c r="E776" s="6" t="s">
        <v>5688</v>
      </c>
      <c r="F776" s="8"/>
      <c r="G776" s="8"/>
      <c r="H776" s="8"/>
    </row>
    <row r="777" spans="1:8">
      <c r="A777" s="6" t="s">
        <v>750</v>
      </c>
      <c r="B777" s="7" t="s">
        <v>5689</v>
      </c>
      <c r="C777" s="7" t="s">
        <v>365</v>
      </c>
      <c r="D777" s="7" t="s">
        <v>5690</v>
      </c>
      <c r="E777" s="6" t="s">
        <v>5691</v>
      </c>
      <c r="F777" s="8"/>
      <c r="G777" s="8"/>
      <c r="H777" s="8"/>
    </row>
    <row r="778" spans="1:8">
      <c r="A778" s="6" t="s">
        <v>750</v>
      </c>
      <c r="B778" s="7" t="s">
        <v>493</v>
      </c>
      <c r="C778" s="7" t="s">
        <v>365</v>
      </c>
      <c r="D778" s="7" t="s">
        <v>5692</v>
      </c>
      <c r="E778" s="6" t="s">
        <v>5693</v>
      </c>
      <c r="F778" s="8" t="s">
        <v>3334</v>
      </c>
      <c r="G778" s="8" t="s">
        <v>6929</v>
      </c>
      <c r="H778" s="8" t="s">
        <v>6940</v>
      </c>
    </row>
    <row r="779" spans="1:8">
      <c r="A779" s="6" t="s">
        <v>734</v>
      </c>
      <c r="B779" s="7" t="s">
        <v>735</v>
      </c>
      <c r="C779" s="7" t="s">
        <v>736</v>
      </c>
      <c r="D779" s="7" t="s">
        <v>737</v>
      </c>
      <c r="E779" s="6" t="s">
        <v>738</v>
      </c>
      <c r="F779" s="8" t="s">
        <v>6931</v>
      </c>
      <c r="G779" s="8" t="s">
        <v>6929</v>
      </c>
      <c r="H779" s="8" t="s">
        <v>6970</v>
      </c>
    </row>
    <row r="780" spans="1:8">
      <c r="A780" s="6" t="s">
        <v>734</v>
      </c>
      <c r="B780" s="7" t="s">
        <v>735</v>
      </c>
      <c r="C780" s="7" t="s">
        <v>736</v>
      </c>
      <c r="D780" s="7" t="s">
        <v>888</v>
      </c>
      <c r="E780" s="6" t="s">
        <v>889</v>
      </c>
      <c r="F780" s="8"/>
      <c r="G780" s="8"/>
      <c r="H780" s="8"/>
    </row>
    <row r="781" spans="1:8">
      <c r="A781" s="6" t="s">
        <v>734</v>
      </c>
      <c r="B781" s="7" t="s">
        <v>2372</v>
      </c>
      <c r="C781" s="7" t="s">
        <v>2373</v>
      </c>
      <c r="D781" s="7" t="s">
        <v>2374</v>
      </c>
      <c r="E781" s="6" t="s">
        <v>2375</v>
      </c>
      <c r="F781" s="8"/>
      <c r="G781" s="8"/>
      <c r="H781" s="8"/>
    </row>
    <row r="782" spans="1:8">
      <c r="A782" s="6" t="s">
        <v>734</v>
      </c>
      <c r="B782" s="7" t="s">
        <v>2376</v>
      </c>
      <c r="C782" s="7" t="s">
        <v>2376</v>
      </c>
      <c r="D782" s="7" t="s">
        <v>2377</v>
      </c>
      <c r="E782" s="6" t="s">
        <v>2378</v>
      </c>
      <c r="F782" s="8" t="s">
        <v>6934</v>
      </c>
      <c r="G782" s="8" t="s">
        <v>6944</v>
      </c>
      <c r="H782" s="8" t="s">
        <v>6971</v>
      </c>
    </row>
    <row r="783" spans="1:8">
      <c r="A783" s="6" t="s">
        <v>734</v>
      </c>
      <c r="B783" s="7" t="s">
        <v>2379</v>
      </c>
      <c r="C783" s="7" t="s">
        <v>2379</v>
      </c>
      <c r="D783" s="7" t="s">
        <v>2380</v>
      </c>
      <c r="E783" s="6" t="s">
        <v>2381</v>
      </c>
      <c r="F783" s="8"/>
      <c r="G783" s="8"/>
      <c r="H783" s="8"/>
    </row>
    <row r="784" spans="1:8">
      <c r="A784" s="6" t="s">
        <v>734</v>
      </c>
      <c r="B784" s="7" t="s">
        <v>735</v>
      </c>
      <c r="C784" s="7" t="s">
        <v>1764</v>
      </c>
      <c r="D784" s="7" t="s">
        <v>2382</v>
      </c>
      <c r="E784" s="6" t="s">
        <v>2383</v>
      </c>
      <c r="F784" s="8"/>
      <c r="G784" s="8"/>
      <c r="H784" s="8"/>
    </row>
    <row r="785" spans="1:8">
      <c r="A785" s="6" t="s">
        <v>734</v>
      </c>
      <c r="B785" s="7" t="s">
        <v>735</v>
      </c>
      <c r="C785" s="7" t="s">
        <v>1764</v>
      </c>
      <c r="D785" s="7" t="s">
        <v>2384</v>
      </c>
      <c r="E785" s="6" t="s">
        <v>2385</v>
      </c>
      <c r="F785" s="8"/>
      <c r="G785" s="8"/>
      <c r="H785" s="8"/>
    </row>
    <row r="786" spans="1:8">
      <c r="A786" s="6" t="s">
        <v>3787</v>
      </c>
      <c r="B786" s="7" t="s">
        <v>9</v>
      </c>
      <c r="C786" s="7" t="s">
        <v>9</v>
      </c>
      <c r="D786" s="7" t="s">
        <v>3788</v>
      </c>
      <c r="E786" s="6" t="s">
        <v>3789</v>
      </c>
      <c r="F786" s="8"/>
      <c r="G786" s="8"/>
      <c r="H786" s="8"/>
    </row>
    <row r="787" spans="1:8">
      <c r="A787" s="6" t="s">
        <v>950</v>
      </c>
      <c r="B787" s="7" t="s">
        <v>951</v>
      </c>
      <c r="C787" s="7" t="s">
        <v>951</v>
      </c>
      <c r="D787" s="7" t="s">
        <v>952</v>
      </c>
      <c r="E787" s="6" t="s">
        <v>953</v>
      </c>
      <c r="F787" s="8"/>
      <c r="G787" s="8"/>
      <c r="H787" s="8"/>
    </row>
    <row r="788" spans="1:8">
      <c r="A788" s="6" t="s">
        <v>950</v>
      </c>
      <c r="B788" s="7" t="s">
        <v>951</v>
      </c>
      <c r="C788" s="7" t="s">
        <v>951</v>
      </c>
      <c r="D788" s="7" t="s">
        <v>1169</v>
      </c>
      <c r="E788" s="6" t="s">
        <v>1170</v>
      </c>
      <c r="F788" s="8"/>
      <c r="G788" s="8"/>
      <c r="H788" s="8"/>
    </row>
    <row r="789" spans="1:8">
      <c r="A789" s="6" t="s">
        <v>950</v>
      </c>
      <c r="B789" s="7" t="s">
        <v>9</v>
      </c>
      <c r="C789" s="7" t="s">
        <v>3343</v>
      </c>
      <c r="D789" s="7" t="s">
        <v>3344</v>
      </c>
      <c r="E789" s="6" t="s">
        <v>3345</v>
      </c>
      <c r="F789" s="8"/>
      <c r="G789" s="8"/>
      <c r="H789" s="8"/>
    </row>
    <row r="790" spans="1:8">
      <c r="A790" s="6" t="s">
        <v>950</v>
      </c>
      <c r="B790" s="7" t="s">
        <v>9</v>
      </c>
      <c r="C790" s="7" t="s">
        <v>951</v>
      </c>
      <c r="D790" s="7" t="s">
        <v>3346</v>
      </c>
      <c r="E790" s="6" t="s">
        <v>3347</v>
      </c>
      <c r="F790" s="8"/>
      <c r="G790" s="8"/>
      <c r="H790" s="8"/>
    </row>
    <row r="791" spans="1:8">
      <c r="A791" s="6" t="s">
        <v>950</v>
      </c>
      <c r="B791" s="7" t="s">
        <v>9</v>
      </c>
      <c r="C791" s="7" t="s">
        <v>2133</v>
      </c>
      <c r="D791" s="7" t="s">
        <v>3348</v>
      </c>
      <c r="E791" s="6" t="s">
        <v>3349</v>
      </c>
      <c r="F791" s="8"/>
      <c r="G791" s="8"/>
      <c r="H791" s="8"/>
    </row>
    <row r="792" spans="1:8">
      <c r="A792" s="6" t="s">
        <v>2075</v>
      </c>
      <c r="B792" s="7" t="s">
        <v>9</v>
      </c>
      <c r="C792" s="7" t="s">
        <v>9</v>
      </c>
      <c r="D792" s="7" t="s">
        <v>2076</v>
      </c>
      <c r="E792" s="6" t="s">
        <v>580</v>
      </c>
      <c r="F792" s="8"/>
      <c r="G792" s="8"/>
      <c r="H792" s="8"/>
    </row>
    <row r="793" spans="1:8">
      <c r="A793" s="6" t="s">
        <v>129</v>
      </c>
      <c r="B793" s="7" t="s">
        <v>130</v>
      </c>
      <c r="C793" s="7" t="s">
        <v>130</v>
      </c>
      <c r="D793" s="7" t="s">
        <v>131</v>
      </c>
      <c r="E793" s="6" t="s">
        <v>132</v>
      </c>
      <c r="F793" s="8"/>
      <c r="G793" s="8"/>
      <c r="H793" s="8"/>
    </row>
    <row r="794" spans="1:8">
      <c r="A794" s="6" t="s">
        <v>129</v>
      </c>
      <c r="B794" s="7" t="s">
        <v>358</v>
      </c>
      <c r="C794" s="7" t="s">
        <v>358</v>
      </c>
      <c r="D794" s="7" t="s">
        <v>359</v>
      </c>
      <c r="E794" s="6" t="s">
        <v>360</v>
      </c>
      <c r="F794" s="8"/>
      <c r="G794" s="8"/>
      <c r="H794" s="8"/>
    </row>
    <row r="795" spans="1:8">
      <c r="A795" s="6" t="s">
        <v>129</v>
      </c>
      <c r="B795" s="7" t="s">
        <v>358</v>
      </c>
      <c r="C795" s="7" t="s">
        <v>358</v>
      </c>
      <c r="D795" s="7" t="s">
        <v>1007</v>
      </c>
      <c r="E795" s="6" t="s">
        <v>1008</v>
      </c>
      <c r="F795" s="8"/>
      <c r="G795" s="8"/>
      <c r="H795" s="8"/>
    </row>
    <row r="796" spans="1:8">
      <c r="A796" s="6" t="s">
        <v>129</v>
      </c>
      <c r="B796" s="7" t="s">
        <v>358</v>
      </c>
      <c r="C796" s="7" t="s">
        <v>358</v>
      </c>
      <c r="D796" s="7" t="s">
        <v>1064</v>
      </c>
      <c r="E796" s="6" t="s">
        <v>1065</v>
      </c>
      <c r="F796" s="8" t="s">
        <v>6931</v>
      </c>
      <c r="G796" s="8" t="s">
        <v>6929</v>
      </c>
      <c r="H796" s="8" t="s">
        <v>6954</v>
      </c>
    </row>
    <row r="797" spans="1:8">
      <c r="A797" s="6" t="s">
        <v>129</v>
      </c>
      <c r="B797" s="7" t="s">
        <v>358</v>
      </c>
      <c r="C797" s="7" t="s">
        <v>358</v>
      </c>
      <c r="D797" s="7" t="s">
        <v>1200</v>
      </c>
      <c r="E797" s="6" t="s">
        <v>1201</v>
      </c>
      <c r="F797" s="8"/>
      <c r="G797" s="8"/>
      <c r="H797" s="8"/>
    </row>
    <row r="798" spans="1:8">
      <c r="A798" s="6" t="s">
        <v>129</v>
      </c>
      <c r="B798" s="7" t="s">
        <v>358</v>
      </c>
      <c r="C798" s="7" t="s">
        <v>358</v>
      </c>
      <c r="D798" s="7" t="s">
        <v>2107</v>
      </c>
      <c r="E798" s="6" t="s">
        <v>2108</v>
      </c>
      <c r="F798" s="8"/>
      <c r="G798" s="8"/>
      <c r="H798" s="8"/>
    </row>
    <row r="799" spans="1:8">
      <c r="A799" s="6" t="s">
        <v>129</v>
      </c>
      <c r="B799" s="7" t="s">
        <v>358</v>
      </c>
      <c r="C799" s="7" t="s">
        <v>358</v>
      </c>
      <c r="D799" s="7" t="s">
        <v>2109</v>
      </c>
      <c r="E799" s="6" t="s">
        <v>2110</v>
      </c>
      <c r="F799" s="8"/>
      <c r="G799" s="8"/>
      <c r="H799" s="8"/>
    </row>
    <row r="800" spans="1:8">
      <c r="A800" s="6" t="s">
        <v>129</v>
      </c>
      <c r="B800" s="7" t="s">
        <v>134</v>
      </c>
      <c r="C800" s="7" t="s">
        <v>134</v>
      </c>
      <c r="D800" s="7" t="s">
        <v>2111</v>
      </c>
      <c r="E800" s="6" t="s">
        <v>2112</v>
      </c>
      <c r="F800" s="8" t="s">
        <v>6931</v>
      </c>
      <c r="G800" s="8" t="s">
        <v>6953</v>
      </c>
      <c r="H800" s="8" t="s">
        <v>6932</v>
      </c>
    </row>
    <row r="801" spans="1:8">
      <c r="A801" s="6" t="s">
        <v>129</v>
      </c>
      <c r="B801" s="7" t="s">
        <v>134</v>
      </c>
      <c r="C801" s="7" t="s">
        <v>134</v>
      </c>
      <c r="D801" s="7" t="s">
        <v>2113</v>
      </c>
      <c r="E801" s="6" t="s">
        <v>2114</v>
      </c>
      <c r="F801" s="8"/>
      <c r="G801" s="8"/>
      <c r="H801" s="8"/>
    </row>
    <row r="802" spans="1:8">
      <c r="A802" s="6" t="s">
        <v>129</v>
      </c>
      <c r="B802" s="7" t="s">
        <v>2115</v>
      </c>
      <c r="C802" s="7" t="s">
        <v>2115</v>
      </c>
      <c r="D802" s="7" t="s">
        <v>2116</v>
      </c>
      <c r="E802" s="6" t="s">
        <v>2117</v>
      </c>
      <c r="F802" s="8" t="s">
        <v>6931</v>
      </c>
      <c r="G802" s="8" t="s">
        <v>6973</v>
      </c>
      <c r="H802" s="8" t="s">
        <v>6951</v>
      </c>
    </row>
    <row r="803" spans="1:8">
      <c r="A803" s="6" t="s">
        <v>129</v>
      </c>
      <c r="B803" s="7" t="s">
        <v>358</v>
      </c>
      <c r="C803" s="7" t="s">
        <v>358</v>
      </c>
      <c r="D803" s="7" t="s">
        <v>2118</v>
      </c>
      <c r="E803" s="6" t="s">
        <v>2119</v>
      </c>
      <c r="F803" s="8"/>
      <c r="G803" s="8"/>
      <c r="H803" s="8"/>
    </row>
    <row r="804" spans="1:8">
      <c r="A804" s="6" t="s">
        <v>2639</v>
      </c>
      <c r="B804" s="7" t="s">
        <v>9</v>
      </c>
      <c r="C804" s="7" t="s">
        <v>1763</v>
      </c>
      <c r="D804" s="7" t="s">
        <v>2640</v>
      </c>
      <c r="E804" s="6" t="s">
        <v>2641</v>
      </c>
      <c r="F804" s="8"/>
      <c r="G804" s="8"/>
      <c r="H804" s="8"/>
    </row>
    <row r="805" spans="1:8">
      <c r="A805" s="6" t="s">
        <v>103</v>
      </c>
      <c r="B805" s="7" t="s">
        <v>69</v>
      </c>
      <c r="C805" s="7" t="s">
        <v>69</v>
      </c>
      <c r="D805" s="7" t="s">
        <v>104</v>
      </c>
      <c r="E805" s="6" t="s">
        <v>105</v>
      </c>
      <c r="F805" s="8"/>
      <c r="G805" s="8"/>
      <c r="H805" s="8"/>
    </row>
    <row r="806" spans="1:8">
      <c r="A806" s="6" t="s">
        <v>653</v>
      </c>
      <c r="B806" s="7" t="s">
        <v>69</v>
      </c>
      <c r="C806" s="7" t="s">
        <v>69</v>
      </c>
      <c r="D806" s="7" t="s">
        <v>654</v>
      </c>
      <c r="E806" s="6" t="s">
        <v>655</v>
      </c>
      <c r="F806" s="8"/>
      <c r="G806" s="8"/>
      <c r="H806" s="8"/>
    </row>
    <row r="807" spans="1:8">
      <c r="A807" s="6" t="s">
        <v>3049</v>
      </c>
      <c r="B807" s="7" t="s">
        <v>3050</v>
      </c>
      <c r="C807" s="7" t="s">
        <v>3050</v>
      </c>
      <c r="D807" s="7" t="s">
        <v>3051</v>
      </c>
      <c r="E807" s="6" t="s">
        <v>3052</v>
      </c>
      <c r="F807" s="8"/>
      <c r="G807" s="8"/>
      <c r="H807" s="8"/>
    </row>
    <row r="808" spans="1:8">
      <c r="A808" s="6" t="s">
        <v>3049</v>
      </c>
      <c r="B808" s="7" t="s">
        <v>3050</v>
      </c>
      <c r="C808" s="7" t="s">
        <v>3050</v>
      </c>
      <c r="D808" s="7" t="s">
        <v>3053</v>
      </c>
      <c r="E808" s="6" t="s">
        <v>3054</v>
      </c>
      <c r="F808" s="8"/>
      <c r="G808" s="8"/>
      <c r="H808" s="8"/>
    </row>
    <row r="809" spans="1:8">
      <c r="A809" s="6" t="s">
        <v>3049</v>
      </c>
      <c r="B809" s="7" t="s">
        <v>3050</v>
      </c>
      <c r="C809" s="7" t="s">
        <v>3050</v>
      </c>
      <c r="D809" s="7" t="s">
        <v>3055</v>
      </c>
      <c r="E809" s="6" t="s">
        <v>3056</v>
      </c>
      <c r="F809" s="8"/>
      <c r="G809" s="8"/>
      <c r="H809" s="8"/>
    </row>
    <row r="810" spans="1:8">
      <c r="A810" s="6" t="s">
        <v>1515</v>
      </c>
      <c r="B810" s="7" t="s">
        <v>1411</v>
      </c>
      <c r="C810" s="7" t="s">
        <v>1512</v>
      </c>
      <c r="D810" s="7" t="s">
        <v>1516</v>
      </c>
      <c r="E810" s="6" t="s">
        <v>1517</v>
      </c>
      <c r="F810" s="8"/>
      <c r="G810" s="8"/>
      <c r="H810" s="8"/>
    </row>
    <row r="811" spans="1:8">
      <c r="A811" s="6" t="s">
        <v>1515</v>
      </c>
      <c r="B811" s="7" t="s">
        <v>1411</v>
      </c>
      <c r="C811" s="7" t="s">
        <v>1512</v>
      </c>
      <c r="D811" s="7" t="s">
        <v>2435</v>
      </c>
      <c r="E811" s="6" t="s">
        <v>2436</v>
      </c>
      <c r="F811" s="8"/>
      <c r="G811" s="8"/>
      <c r="H811" s="8"/>
    </row>
    <row r="812" spans="1:8">
      <c r="A812" s="6" t="s">
        <v>1515</v>
      </c>
      <c r="B812" s="7" t="s">
        <v>1411</v>
      </c>
      <c r="C812" s="7" t="s">
        <v>1512</v>
      </c>
      <c r="D812" s="7" t="s">
        <v>2437</v>
      </c>
      <c r="E812" s="6" t="s">
        <v>2438</v>
      </c>
      <c r="F812" s="8" t="s">
        <v>6931</v>
      </c>
      <c r="G812" s="8" t="s">
        <v>6929</v>
      </c>
      <c r="H812" s="8" t="s">
        <v>7124</v>
      </c>
    </row>
    <row r="813" spans="1:8">
      <c r="A813" s="6" t="s">
        <v>1515</v>
      </c>
      <c r="B813" s="7" t="s">
        <v>1411</v>
      </c>
      <c r="C813" s="7" t="s">
        <v>1512</v>
      </c>
      <c r="D813" s="7" t="s">
        <v>2439</v>
      </c>
      <c r="E813" s="6" t="s">
        <v>2350</v>
      </c>
      <c r="F813" s="8"/>
      <c r="G813" s="8"/>
      <c r="H813" s="8"/>
    </row>
    <row r="814" spans="1:8">
      <c r="A814" s="6" t="s">
        <v>34</v>
      </c>
      <c r="B814" s="7" t="s">
        <v>35</v>
      </c>
      <c r="C814" s="7" t="s">
        <v>9</v>
      </c>
      <c r="D814" s="7" t="s">
        <v>36</v>
      </c>
      <c r="E814" s="6" t="s">
        <v>37</v>
      </c>
      <c r="F814" s="8"/>
      <c r="G814" s="8"/>
      <c r="H814" s="8"/>
    </row>
    <row r="815" spans="1:8">
      <c r="A815" s="6" t="s">
        <v>34</v>
      </c>
      <c r="B815" s="7" t="s">
        <v>839</v>
      </c>
      <c r="C815" s="7" t="s">
        <v>839</v>
      </c>
      <c r="D815" s="7" t="s">
        <v>840</v>
      </c>
      <c r="E815" s="6" t="s">
        <v>841</v>
      </c>
      <c r="F815" s="8"/>
      <c r="G815" s="8"/>
      <c r="H815" s="8"/>
    </row>
    <row r="816" spans="1:8">
      <c r="A816" s="6" t="s">
        <v>34</v>
      </c>
      <c r="B816" s="7" t="s">
        <v>839</v>
      </c>
      <c r="C816" s="7" t="s">
        <v>839</v>
      </c>
      <c r="D816" s="7" t="s">
        <v>1092</v>
      </c>
      <c r="E816" s="6" t="s">
        <v>1093</v>
      </c>
      <c r="F816" s="8" t="s">
        <v>5162</v>
      </c>
      <c r="G816" s="8" t="s">
        <v>6929</v>
      </c>
      <c r="H816" s="8" t="s">
        <v>6932</v>
      </c>
    </row>
    <row r="817" spans="1:8">
      <c r="A817" s="6" t="s">
        <v>34</v>
      </c>
      <c r="B817" s="7" t="s">
        <v>839</v>
      </c>
      <c r="C817" s="7" t="s">
        <v>839</v>
      </c>
      <c r="D817" s="7" t="s">
        <v>1126</v>
      </c>
      <c r="E817" s="6" t="s">
        <v>1127</v>
      </c>
      <c r="F817" s="8"/>
      <c r="G817" s="8"/>
      <c r="H817" s="8"/>
    </row>
    <row r="818" spans="1:8">
      <c r="A818" s="6" t="s">
        <v>34</v>
      </c>
      <c r="B818" s="7" t="s">
        <v>839</v>
      </c>
      <c r="C818" s="7" t="s">
        <v>839</v>
      </c>
      <c r="D818" s="7" t="s">
        <v>1220</v>
      </c>
      <c r="E818" s="6" t="s">
        <v>1221</v>
      </c>
      <c r="F818" s="8" t="s">
        <v>6939</v>
      </c>
      <c r="G818" s="8" t="s">
        <v>6929</v>
      </c>
      <c r="H818" s="8" t="s">
        <v>6967</v>
      </c>
    </row>
    <row r="819" spans="1:8">
      <c r="A819" s="6" t="s">
        <v>34</v>
      </c>
      <c r="B819" s="7" t="s">
        <v>839</v>
      </c>
      <c r="C819" s="7" t="s">
        <v>839</v>
      </c>
      <c r="D819" s="7" t="s">
        <v>1429</v>
      </c>
      <c r="E819" s="6" t="s">
        <v>1430</v>
      </c>
      <c r="F819" s="8"/>
      <c r="G819" s="8"/>
      <c r="H819" s="8"/>
    </row>
    <row r="820" spans="1:8">
      <c r="A820" s="6" t="s">
        <v>34</v>
      </c>
      <c r="B820" s="7" t="s">
        <v>320</v>
      </c>
      <c r="C820" s="7" t="s">
        <v>320</v>
      </c>
      <c r="D820" s="7" t="s">
        <v>1454</v>
      </c>
      <c r="E820" s="6" t="s">
        <v>1455</v>
      </c>
      <c r="F820" s="8"/>
      <c r="G820" s="8"/>
      <c r="H820" s="8"/>
    </row>
    <row r="821" spans="1:8">
      <c r="A821" s="6" t="s">
        <v>34</v>
      </c>
      <c r="B821" s="7" t="s">
        <v>839</v>
      </c>
      <c r="C821" s="7" t="s">
        <v>839</v>
      </c>
      <c r="D821" s="7" t="s">
        <v>1456</v>
      </c>
      <c r="E821" s="6" t="s">
        <v>1457</v>
      </c>
      <c r="F821" s="8"/>
      <c r="G821" s="8"/>
      <c r="H821" s="8"/>
    </row>
    <row r="822" spans="1:8">
      <c r="A822" s="6" t="s">
        <v>34</v>
      </c>
      <c r="B822" s="7" t="s">
        <v>320</v>
      </c>
      <c r="C822" s="7" t="s">
        <v>320</v>
      </c>
      <c r="D822" s="7" t="s">
        <v>1458</v>
      </c>
      <c r="E822" s="6" t="s">
        <v>1459</v>
      </c>
      <c r="F822" s="8"/>
      <c r="G822" s="8"/>
      <c r="H822" s="8"/>
    </row>
    <row r="823" spans="1:8">
      <c r="A823" s="6" t="s">
        <v>34</v>
      </c>
      <c r="B823" s="7" t="s">
        <v>1827</v>
      </c>
      <c r="C823" s="7" t="s">
        <v>1827</v>
      </c>
      <c r="D823" s="7" t="s">
        <v>1828</v>
      </c>
      <c r="E823" s="6" t="s">
        <v>1829</v>
      </c>
      <c r="F823" s="8" t="s">
        <v>6934</v>
      </c>
      <c r="G823" s="8" t="s">
        <v>6961</v>
      </c>
      <c r="H823" s="8" t="s">
        <v>7112</v>
      </c>
    </row>
    <row r="824" spans="1:8">
      <c r="A824" s="6" t="s">
        <v>507</v>
      </c>
      <c r="B824" s="7" t="s">
        <v>508</v>
      </c>
      <c r="C824" s="7" t="s">
        <v>508</v>
      </c>
      <c r="D824" s="7" t="s">
        <v>509</v>
      </c>
      <c r="E824" s="6" t="s">
        <v>510</v>
      </c>
      <c r="F824" s="8"/>
      <c r="G824" s="8"/>
      <c r="H824" s="8"/>
    </row>
    <row r="825" spans="1:8">
      <c r="A825" s="6" t="s">
        <v>434</v>
      </c>
      <c r="B825" s="7" t="s">
        <v>435</v>
      </c>
      <c r="C825" s="7" t="s">
        <v>435</v>
      </c>
      <c r="D825" s="7" t="s">
        <v>436</v>
      </c>
      <c r="E825" s="6" t="s">
        <v>437</v>
      </c>
      <c r="F825" s="8" t="s">
        <v>6931</v>
      </c>
      <c r="G825" s="8" t="s">
        <v>6929</v>
      </c>
      <c r="H825" s="8" t="s">
        <v>7126</v>
      </c>
    </row>
    <row r="826" spans="1:8">
      <c r="A826" s="6" t="s">
        <v>434</v>
      </c>
      <c r="B826" s="7" t="s">
        <v>496</v>
      </c>
      <c r="C826" s="7" t="s">
        <v>496</v>
      </c>
      <c r="D826" s="7" t="s">
        <v>497</v>
      </c>
      <c r="E826" s="6" t="s">
        <v>498</v>
      </c>
      <c r="F826" s="8"/>
      <c r="G826" s="8"/>
      <c r="H826" s="8"/>
    </row>
    <row r="827" spans="1:8">
      <c r="A827" s="6" t="s">
        <v>434</v>
      </c>
      <c r="B827" s="7" t="s">
        <v>1873</v>
      </c>
      <c r="C827" s="7" t="s">
        <v>1874</v>
      </c>
      <c r="D827" s="7" t="s">
        <v>1875</v>
      </c>
      <c r="E827" s="6" t="s">
        <v>1876</v>
      </c>
      <c r="F827" s="8"/>
      <c r="G827" s="8"/>
      <c r="H827" s="8"/>
    </row>
    <row r="828" spans="1:8">
      <c r="A828" s="6" t="s">
        <v>434</v>
      </c>
      <c r="B828" s="7" t="s">
        <v>1873</v>
      </c>
      <c r="C828" s="7" t="s">
        <v>1874</v>
      </c>
      <c r="D828" s="7" t="s">
        <v>2226</v>
      </c>
      <c r="E828" s="6" t="s">
        <v>2227</v>
      </c>
      <c r="F828" s="8"/>
      <c r="G828" s="8"/>
      <c r="H828" s="8"/>
    </row>
    <row r="829" spans="1:8">
      <c r="A829" s="6" t="s">
        <v>434</v>
      </c>
      <c r="B829" s="7" t="s">
        <v>1873</v>
      </c>
      <c r="C829" s="7" t="s">
        <v>1874</v>
      </c>
      <c r="D829" s="7" t="s">
        <v>2228</v>
      </c>
      <c r="E829" s="6" t="s">
        <v>2229</v>
      </c>
      <c r="F829" s="8"/>
      <c r="G829" s="8"/>
      <c r="H829" s="8"/>
    </row>
    <row r="830" spans="1:8">
      <c r="A830" s="6" t="s">
        <v>434</v>
      </c>
      <c r="B830" s="7" t="s">
        <v>1873</v>
      </c>
      <c r="C830" s="7" t="s">
        <v>1874</v>
      </c>
      <c r="D830" s="7" t="s">
        <v>2230</v>
      </c>
      <c r="E830" s="6" t="s">
        <v>2231</v>
      </c>
      <c r="F830" s="8"/>
      <c r="G830" s="8"/>
      <c r="H830" s="8"/>
    </row>
    <row r="831" spans="1:8">
      <c r="A831" s="6" t="s">
        <v>434</v>
      </c>
      <c r="B831" s="7" t="s">
        <v>106</v>
      </c>
      <c r="C831" s="7" t="s">
        <v>106</v>
      </c>
      <c r="D831" s="7" t="s">
        <v>2232</v>
      </c>
      <c r="E831" s="6" t="s">
        <v>2233</v>
      </c>
      <c r="F831" s="8"/>
      <c r="G831" s="8"/>
      <c r="H831" s="8"/>
    </row>
    <row r="832" spans="1:8">
      <c r="A832" s="6" t="s">
        <v>434</v>
      </c>
      <c r="B832" s="7" t="s">
        <v>496</v>
      </c>
      <c r="C832" s="7" t="s">
        <v>496</v>
      </c>
      <c r="D832" s="7" t="s">
        <v>2234</v>
      </c>
      <c r="E832" s="6" t="s">
        <v>2235</v>
      </c>
      <c r="F832" s="8"/>
      <c r="G832" s="8"/>
      <c r="H832" s="8"/>
    </row>
    <row r="833" spans="1:8">
      <c r="A833" s="6" t="s">
        <v>434</v>
      </c>
      <c r="B833" s="7" t="s">
        <v>496</v>
      </c>
      <c r="C833" s="7" t="s">
        <v>496</v>
      </c>
      <c r="D833" s="7" t="s">
        <v>2236</v>
      </c>
      <c r="E833" s="6" t="s">
        <v>2237</v>
      </c>
      <c r="F833" s="8"/>
      <c r="G833" s="8"/>
      <c r="H833" s="8"/>
    </row>
    <row r="834" spans="1:8">
      <c r="A834" s="6" t="s">
        <v>434</v>
      </c>
      <c r="B834" s="7" t="s">
        <v>496</v>
      </c>
      <c r="C834" s="7" t="s">
        <v>496</v>
      </c>
      <c r="D834" s="7" t="s">
        <v>2238</v>
      </c>
      <c r="E834" s="6" t="s">
        <v>2239</v>
      </c>
      <c r="F834" s="8"/>
      <c r="G834" s="8"/>
      <c r="H834" s="8"/>
    </row>
    <row r="835" spans="1:8">
      <c r="A835" s="6" t="s">
        <v>434</v>
      </c>
      <c r="B835" s="7" t="s">
        <v>496</v>
      </c>
      <c r="C835" s="7" t="s">
        <v>496</v>
      </c>
      <c r="D835" s="7" t="s">
        <v>2240</v>
      </c>
      <c r="E835" s="6" t="s">
        <v>2241</v>
      </c>
      <c r="F835" s="8"/>
      <c r="G835" s="8"/>
      <c r="H835" s="8"/>
    </row>
    <row r="836" spans="1:8">
      <c r="A836" s="6" t="s">
        <v>434</v>
      </c>
      <c r="B836" s="7" t="s">
        <v>496</v>
      </c>
      <c r="C836" s="7" t="s">
        <v>496</v>
      </c>
      <c r="D836" s="7" t="s">
        <v>2242</v>
      </c>
      <c r="E836" s="6" t="s">
        <v>2243</v>
      </c>
      <c r="F836" s="8"/>
      <c r="G836" s="8"/>
      <c r="H836" s="8"/>
    </row>
    <row r="837" spans="1:8">
      <c r="A837" s="6" t="s">
        <v>343</v>
      </c>
      <c r="B837" s="7" t="s">
        <v>9</v>
      </c>
      <c r="C837" s="7" t="s">
        <v>9</v>
      </c>
      <c r="D837" s="7" t="s">
        <v>344</v>
      </c>
      <c r="E837" s="6" t="s">
        <v>345</v>
      </c>
      <c r="F837" s="8"/>
      <c r="G837" s="8"/>
      <c r="H837" s="8"/>
    </row>
    <row r="838" spans="1:8">
      <c r="A838" s="6" t="s">
        <v>5258</v>
      </c>
      <c r="B838" s="7" t="s">
        <v>9</v>
      </c>
      <c r="C838" s="7" t="s">
        <v>9</v>
      </c>
      <c r="D838" s="7" t="s">
        <v>5259</v>
      </c>
      <c r="E838" s="6" t="s">
        <v>5260</v>
      </c>
      <c r="F838" s="8"/>
      <c r="G838" s="8"/>
      <c r="H838" s="8"/>
    </row>
    <row r="839" spans="1:8">
      <c r="A839" s="6" t="s">
        <v>5258</v>
      </c>
      <c r="B839" s="7" t="s">
        <v>9</v>
      </c>
      <c r="C839" s="7" t="s">
        <v>9</v>
      </c>
      <c r="D839" s="7" t="s">
        <v>5261</v>
      </c>
      <c r="E839" s="6" t="s">
        <v>5262</v>
      </c>
      <c r="F839" s="8"/>
      <c r="G839" s="8"/>
      <c r="H839" s="8"/>
    </row>
    <row r="840" spans="1:8">
      <c r="A840" s="6" t="s">
        <v>1171</v>
      </c>
      <c r="B840" s="7" t="s">
        <v>202</v>
      </c>
      <c r="C840" s="7" t="s">
        <v>202</v>
      </c>
      <c r="D840" s="7" t="s">
        <v>1172</v>
      </c>
      <c r="E840" s="6" t="s">
        <v>397</v>
      </c>
      <c r="F840" s="8"/>
      <c r="G840" s="8"/>
      <c r="H840" s="8"/>
    </row>
    <row r="841" spans="1:8">
      <c r="A841" s="6" t="s">
        <v>1171</v>
      </c>
      <c r="B841" s="7" t="s">
        <v>1079</v>
      </c>
      <c r="C841" s="7" t="s">
        <v>5263</v>
      </c>
      <c r="D841" s="7" t="s">
        <v>5264</v>
      </c>
      <c r="E841" s="6" t="s">
        <v>400</v>
      </c>
      <c r="F841" s="8"/>
      <c r="G841" s="8"/>
      <c r="H841" s="8"/>
    </row>
    <row r="842" spans="1:8">
      <c r="A842" s="6" t="s">
        <v>1171</v>
      </c>
      <c r="B842" s="7" t="s">
        <v>1079</v>
      </c>
      <c r="C842" s="7" t="s">
        <v>5263</v>
      </c>
      <c r="D842" s="7" t="s">
        <v>5265</v>
      </c>
      <c r="E842" s="6" t="s">
        <v>5266</v>
      </c>
      <c r="F842" s="8"/>
      <c r="G842" s="8"/>
      <c r="H842" s="8"/>
    </row>
    <row r="843" spans="1:8">
      <c r="A843" s="6" t="s">
        <v>1171</v>
      </c>
      <c r="B843" s="7" t="s">
        <v>1079</v>
      </c>
      <c r="C843" s="7" t="s">
        <v>202</v>
      </c>
      <c r="D843" s="7" t="s">
        <v>5267</v>
      </c>
      <c r="E843" s="6" t="s">
        <v>5268</v>
      </c>
      <c r="F843" s="8"/>
      <c r="G843" s="8"/>
      <c r="H843" s="8"/>
    </row>
    <row r="844" spans="1:8">
      <c r="A844" s="6" t="s">
        <v>1171</v>
      </c>
      <c r="B844" s="7" t="s">
        <v>1079</v>
      </c>
      <c r="C844" s="7" t="s">
        <v>202</v>
      </c>
      <c r="D844" s="7" t="s">
        <v>5269</v>
      </c>
      <c r="E844" s="6" t="s">
        <v>5270</v>
      </c>
      <c r="F844" s="8"/>
      <c r="G844" s="8"/>
      <c r="H844" s="8"/>
    </row>
    <row r="845" spans="1:8">
      <c r="A845" s="6" t="s">
        <v>1171</v>
      </c>
      <c r="B845" s="7" t="s">
        <v>1079</v>
      </c>
      <c r="C845" s="7" t="s">
        <v>9</v>
      </c>
      <c r="D845" s="7" t="s">
        <v>5271</v>
      </c>
      <c r="E845" s="6" t="s">
        <v>5272</v>
      </c>
      <c r="F845" s="8"/>
      <c r="G845" s="8"/>
      <c r="H845" s="8"/>
    </row>
    <row r="846" spans="1:8">
      <c r="A846" s="6" t="s">
        <v>1171</v>
      </c>
      <c r="B846" s="7" t="s">
        <v>1079</v>
      </c>
      <c r="C846" s="7" t="s">
        <v>1079</v>
      </c>
      <c r="D846" s="7" t="s">
        <v>5273</v>
      </c>
      <c r="E846" s="6" t="s">
        <v>5274</v>
      </c>
      <c r="F846" s="8"/>
      <c r="G846" s="8"/>
      <c r="H846" s="8"/>
    </row>
    <row r="847" spans="1:8">
      <c r="A847" s="6" t="s">
        <v>1171</v>
      </c>
      <c r="B847" s="7" t="s">
        <v>1079</v>
      </c>
      <c r="C847" s="7" t="s">
        <v>1079</v>
      </c>
      <c r="D847" s="7" t="s">
        <v>5275</v>
      </c>
      <c r="E847" s="6" t="s">
        <v>5276</v>
      </c>
      <c r="F847" s="8"/>
      <c r="G847" s="8"/>
      <c r="H847" s="8"/>
    </row>
    <row r="848" spans="1:8">
      <c r="A848" s="6" t="s">
        <v>1171</v>
      </c>
      <c r="B848" s="7" t="s">
        <v>5126</v>
      </c>
      <c r="C848" s="7" t="s">
        <v>5126</v>
      </c>
      <c r="D848" s="7" t="s">
        <v>5277</v>
      </c>
      <c r="E848" s="6" t="s">
        <v>5278</v>
      </c>
      <c r="F848" s="8" t="s">
        <v>6934</v>
      </c>
      <c r="G848" s="8" t="s">
        <v>6929</v>
      </c>
      <c r="H848" s="8" t="s">
        <v>6951</v>
      </c>
    </row>
    <row r="849" spans="1:8">
      <c r="A849" s="6" t="s">
        <v>1171</v>
      </c>
      <c r="B849" s="7" t="s">
        <v>5126</v>
      </c>
      <c r="C849" s="7" t="s">
        <v>5126</v>
      </c>
      <c r="D849" s="7" t="s">
        <v>5279</v>
      </c>
      <c r="E849" s="6" t="s">
        <v>5280</v>
      </c>
      <c r="F849" s="8" t="s">
        <v>6934</v>
      </c>
      <c r="G849" s="8" t="s">
        <v>6929</v>
      </c>
      <c r="H849" s="8" t="s">
        <v>6951</v>
      </c>
    </row>
    <row r="850" spans="1:8">
      <c r="A850" s="6" t="s">
        <v>239</v>
      </c>
      <c r="B850" s="7" t="s">
        <v>69</v>
      </c>
      <c r="C850" s="7" t="s">
        <v>69</v>
      </c>
      <c r="D850" s="7" t="s">
        <v>240</v>
      </c>
      <c r="E850" s="6" t="s">
        <v>241</v>
      </c>
      <c r="F850" s="8"/>
      <c r="G850" s="8"/>
      <c r="H850" s="8"/>
    </row>
    <row r="851" spans="1:8">
      <c r="A851" s="6" t="s">
        <v>239</v>
      </c>
      <c r="B851" s="7" t="s">
        <v>1094</v>
      </c>
      <c r="C851" s="7" t="s">
        <v>1094</v>
      </c>
      <c r="D851" s="7" t="s">
        <v>1095</v>
      </c>
      <c r="E851" s="6" t="s">
        <v>1096</v>
      </c>
      <c r="F851" s="8"/>
      <c r="G851" s="8"/>
      <c r="H851" s="8"/>
    </row>
    <row r="852" spans="1:8">
      <c r="A852" s="6" t="s">
        <v>239</v>
      </c>
      <c r="B852" s="7" t="s">
        <v>1094</v>
      </c>
      <c r="C852" s="7" t="s">
        <v>9</v>
      </c>
      <c r="D852" s="7" t="s">
        <v>1379</v>
      </c>
      <c r="E852" s="6" t="s">
        <v>1380</v>
      </c>
      <c r="F852" s="8"/>
      <c r="G852" s="8"/>
      <c r="H852" s="8"/>
    </row>
    <row r="853" spans="1:8">
      <c r="A853" s="6" t="s">
        <v>239</v>
      </c>
      <c r="B853" s="7" t="s">
        <v>69</v>
      </c>
      <c r="C853" s="7" t="s">
        <v>69</v>
      </c>
      <c r="D853" s="7" t="s">
        <v>1958</v>
      </c>
      <c r="E853" s="6" t="s">
        <v>1959</v>
      </c>
      <c r="F853" s="8"/>
      <c r="G853" s="8"/>
      <c r="H853" s="8"/>
    </row>
    <row r="854" spans="1:8">
      <c r="A854" s="6" t="s">
        <v>239</v>
      </c>
      <c r="B854" s="7" t="s">
        <v>3359</v>
      </c>
      <c r="C854" s="7" t="s">
        <v>3359</v>
      </c>
      <c r="D854" s="7" t="s">
        <v>3360</v>
      </c>
      <c r="E854" s="6" t="s">
        <v>3361</v>
      </c>
      <c r="F854" s="8"/>
      <c r="G854" s="8"/>
      <c r="H854" s="8"/>
    </row>
    <row r="855" spans="1:8">
      <c r="A855" s="6" t="s">
        <v>239</v>
      </c>
      <c r="B855" s="7" t="s">
        <v>134</v>
      </c>
      <c r="C855" s="7" t="s">
        <v>134</v>
      </c>
      <c r="D855" s="7" t="s">
        <v>3362</v>
      </c>
      <c r="E855" s="6" t="s">
        <v>3353</v>
      </c>
      <c r="F855" s="8"/>
      <c r="G855" s="8"/>
      <c r="H855" s="8"/>
    </row>
    <row r="856" spans="1:8">
      <c r="A856" s="6" t="s">
        <v>239</v>
      </c>
      <c r="B856" s="7" t="s">
        <v>134</v>
      </c>
      <c r="C856" s="7" t="s">
        <v>134</v>
      </c>
      <c r="D856" s="7" t="s">
        <v>3363</v>
      </c>
      <c r="E856" s="6" t="s">
        <v>3364</v>
      </c>
      <c r="F856" s="8"/>
      <c r="G856" s="8"/>
      <c r="H856" s="8"/>
    </row>
    <row r="857" spans="1:8">
      <c r="A857" s="6" t="s">
        <v>239</v>
      </c>
      <c r="B857" s="7" t="s">
        <v>69</v>
      </c>
      <c r="C857" s="7" t="s">
        <v>69</v>
      </c>
      <c r="D857" s="7" t="s">
        <v>3365</v>
      </c>
      <c r="E857" s="6" t="s">
        <v>3366</v>
      </c>
      <c r="F857" s="8"/>
      <c r="G857" s="8"/>
      <c r="H857" s="8"/>
    </row>
    <row r="858" spans="1:8">
      <c r="A858" s="6" t="s">
        <v>239</v>
      </c>
      <c r="B858" s="7" t="s">
        <v>3343</v>
      </c>
      <c r="C858" s="7" t="s">
        <v>3343</v>
      </c>
      <c r="D858" s="7" t="s">
        <v>3367</v>
      </c>
      <c r="E858" s="6" t="s">
        <v>3368</v>
      </c>
      <c r="F858" s="8"/>
      <c r="G858" s="8"/>
      <c r="H858" s="8"/>
    </row>
    <row r="859" spans="1:8">
      <c r="A859" s="6" t="s">
        <v>239</v>
      </c>
      <c r="B859" s="7" t="s">
        <v>134</v>
      </c>
      <c r="C859" s="7" t="s">
        <v>134</v>
      </c>
      <c r="D859" s="7" t="s">
        <v>3369</v>
      </c>
      <c r="E859" s="6" t="s">
        <v>3370</v>
      </c>
      <c r="F859" s="8"/>
      <c r="G859" s="8"/>
      <c r="H859" s="8"/>
    </row>
    <row r="860" spans="1:8">
      <c r="A860" s="6" t="s">
        <v>239</v>
      </c>
      <c r="B860" s="7" t="s">
        <v>134</v>
      </c>
      <c r="C860" s="7" t="s">
        <v>134</v>
      </c>
      <c r="D860" s="7" t="s">
        <v>3371</v>
      </c>
      <c r="E860" s="6" t="s">
        <v>1063</v>
      </c>
      <c r="F860" s="8"/>
      <c r="G860" s="8"/>
      <c r="H860" s="8"/>
    </row>
    <row r="861" spans="1:8">
      <c r="A861" s="6" t="s">
        <v>239</v>
      </c>
      <c r="B861" s="7" t="s">
        <v>134</v>
      </c>
      <c r="C861" s="7" t="s">
        <v>134</v>
      </c>
      <c r="D861" s="7" t="s">
        <v>3372</v>
      </c>
      <c r="E861" s="6" t="s">
        <v>2365</v>
      </c>
      <c r="F861" s="8"/>
      <c r="G861" s="8"/>
      <c r="H861" s="8"/>
    </row>
    <row r="862" spans="1:8">
      <c r="A862" s="6" t="s">
        <v>239</v>
      </c>
      <c r="B862" s="7" t="s">
        <v>134</v>
      </c>
      <c r="C862" s="7" t="s">
        <v>134</v>
      </c>
      <c r="D862" s="7" t="s">
        <v>3373</v>
      </c>
      <c r="E862" s="6" t="s">
        <v>3374</v>
      </c>
      <c r="F862" s="8"/>
      <c r="G862" s="8"/>
      <c r="H862" s="8"/>
    </row>
    <row r="863" spans="1:8">
      <c r="A863" s="6" t="s">
        <v>239</v>
      </c>
      <c r="B863" s="7" t="s">
        <v>69</v>
      </c>
      <c r="C863" s="7" t="s">
        <v>69</v>
      </c>
      <c r="D863" s="7" t="s">
        <v>3375</v>
      </c>
      <c r="E863" s="6" t="s">
        <v>3376</v>
      </c>
      <c r="F863" s="8"/>
      <c r="G863" s="8"/>
      <c r="H863" s="8"/>
    </row>
    <row r="864" spans="1:8">
      <c r="A864" s="6" t="s">
        <v>239</v>
      </c>
      <c r="B864" s="7" t="s">
        <v>3343</v>
      </c>
      <c r="C864" s="7" t="s">
        <v>3343</v>
      </c>
      <c r="D864" s="7" t="s">
        <v>3377</v>
      </c>
      <c r="E864" s="6" t="s">
        <v>3378</v>
      </c>
      <c r="F864" s="8"/>
      <c r="G864" s="8"/>
      <c r="H864" s="8"/>
    </row>
    <row r="865" spans="1:8">
      <c r="A865" s="6" t="s">
        <v>239</v>
      </c>
      <c r="B865" s="7" t="s">
        <v>69</v>
      </c>
      <c r="C865" s="7" t="s">
        <v>69</v>
      </c>
      <c r="D865" s="7" t="s">
        <v>3379</v>
      </c>
      <c r="E865" s="6" t="s">
        <v>3380</v>
      </c>
      <c r="F865" s="8"/>
      <c r="G865" s="8"/>
      <c r="H865" s="8"/>
    </row>
    <row r="866" spans="1:8">
      <c r="A866" s="6" t="s">
        <v>239</v>
      </c>
      <c r="B866" s="7" t="s">
        <v>69</v>
      </c>
      <c r="C866" s="7" t="s">
        <v>69</v>
      </c>
      <c r="D866" s="7" t="s">
        <v>3381</v>
      </c>
      <c r="E866" s="6" t="s">
        <v>3382</v>
      </c>
      <c r="F866" s="8"/>
      <c r="G866" s="8"/>
      <c r="H866" s="8"/>
    </row>
    <row r="867" spans="1:8">
      <c r="A867" s="6" t="s">
        <v>239</v>
      </c>
      <c r="B867" s="7" t="s">
        <v>69</v>
      </c>
      <c r="C867" s="7" t="s">
        <v>69</v>
      </c>
      <c r="D867" s="7" t="s">
        <v>3383</v>
      </c>
      <c r="E867" s="6" t="s">
        <v>3384</v>
      </c>
      <c r="F867" s="8"/>
      <c r="G867" s="8"/>
      <c r="H867" s="8"/>
    </row>
    <row r="868" spans="1:8">
      <c r="A868" s="6" t="s">
        <v>239</v>
      </c>
      <c r="B868" s="7" t="s">
        <v>69</v>
      </c>
      <c r="C868" s="7" t="s">
        <v>69</v>
      </c>
      <c r="D868" s="7" t="s">
        <v>3385</v>
      </c>
      <c r="E868" s="6" t="s">
        <v>3386</v>
      </c>
      <c r="F868" s="8"/>
      <c r="G868" s="8"/>
      <c r="H868" s="8"/>
    </row>
    <row r="869" spans="1:8">
      <c r="A869" s="6" t="s">
        <v>530</v>
      </c>
      <c r="B869" s="7" t="s">
        <v>69</v>
      </c>
      <c r="C869" s="7" t="s">
        <v>531</v>
      </c>
      <c r="D869" s="7" t="s">
        <v>532</v>
      </c>
      <c r="E869" s="6" t="s">
        <v>533</v>
      </c>
      <c r="F869" s="8"/>
      <c r="G869" s="8"/>
      <c r="H869" s="8"/>
    </row>
    <row r="870" spans="1:8">
      <c r="A870" s="6" t="s">
        <v>530</v>
      </c>
      <c r="B870" s="7" t="s">
        <v>264</v>
      </c>
      <c r="C870" s="7" t="s">
        <v>135</v>
      </c>
      <c r="D870" s="7" t="s">
        <v>540</v>
      </c>
      <c r="E870" s="6" t="s">
        <v>541</v>
      </c>
      <c r="F870" s="8"/>
      <c r="G870" s="8"/>
      <c r="H870" s="8"/>
    </row>
    <row r="871" spans="1:8">
      <c r="A871" s="6" t="s">
        <v>530</v>
      </c>
      <c r="B871" s="7" t="s">
        <v>69</v>
      </c>
      <c r="C871" s="7" t="s">
        <v>531</v>
      </c>
      <c r="D871" s="7" t="s">
        <v>1233</v>
      </c>
      <c r="E871" s="6" t="s">
        <v>1234</v>
      </c>
      <c r="F871" s="8" t="s">
        <v>7129</v>
      </c>
      <c r="G871" s="8" t="s">
        <v>6929</v>
      </c>
      <c r="H871" s="8" t="s">
        <v>7007</v>
      </c>
    </row>
    <row r="872" spans="1:8">
      <c r="A872" s="6" t="s">
        <v>530</v>
      </c>
      <c r="B872" s="7" t="s">
        <v>1434</v>
      </c>
      <c r="C872" s="7" t="s">
        <v>1435</v>
      </c>
      <c r="D872" s="7" t="s">
        <v>1436</v>
      </c>
      <c r="E872" s="6" t="s">
        <v>1437</v>
      </c>
      <c r="F872" s="8" t="s">
        <v>6931</v>
      </c>
      <c r="G872" s="8" t="s">
        <v>6929</v>
      </c>
      <c r="H872" s="8" t="s">
        <v>7128</v>
      </c>
    </row>
    <row r="873" spans="1:8">
      <c r="A873" s="6" t="s">
        <v>530</v>
      </c>
      <c r="B873" s="7" t="s">
        <v>1434</v>
      </c>
      <c r="C873" s="7" t="s">
        <v>1435</v>
      </c>
      <c r="D873" s="7" t="s">
        <v>1598</v>
      </c>
      <c r="E873" s="6" t="s">
        <v>1599</v>
      </c>
      <c r="F873" s="8"/>
      <c r="G873" s="8"/>
      <c r="H873" s="8"/>
    </row>
    <row r="874" spans="1:8">
      <c r="A874" s="6" t="s">
        <v>530</v>
      </c>
      <c r="B874" s="7" t="s">
        <v>69</v>
      </c>
      <c r="C874" s="7" t="s">
        <v>3500</v>
      </c>
      <c r="D874" s="7" t="s">
        <v>3501</v>
      </c>
      <c r="E874" s="6" t="s">
        <v>759</v>
      </c>
      <c r="F874" s="8"/>
      <c r="G874" s="8"/>
      <c r="H874" s="8"/>
    </row>
    <row r="875" spans="1:8">
      <c r="A875" s="6" t="s">
        <v>530</v>
      </c>
      <c r="B875" s="7" t="s">
        <v>789</v>
      </c>
      <c r="C875" s="7" t="s">
        <v>135</v>
      </c>
      <c r="D875" s="7" t="s">
        <v>3502</v>
      </c>
      <c r="E875" s="6" t="s">
        <v>3503</v>
      </c>
      <c r="F875" s="8"/>
      <c r="G875" s="8"/>
      <c r="H875" s="8"/>
    </row>
    <row r="876" spans="1:8">
      <c r="A876" s="6" t="s">
        <v>530</v>
      </c>
      <c r="B876" s="7" t="s">
        <v>789</v>
      </c>
      <c r="C876" s="7" t="s">
        <v>789</v>
      </c>
      <c r="D876" s="7" t="s">
        <v>3504</v>
      </c>
      <c r="E876" s="6" t="s">
        <v>3505</v>
      </c>
      <c r="F876" s="8"/>
      <c r="G876" s="8"/>
      <c r="H876" s="8"/>
    </row>
    <row r="877" spans="1:8">
      <c r="A877" s="6" t="s">
        <v>530</v>
      </c>
      <c r="B877" s="7" t="s">
        <v>264</v>
      </c>
      <c r="C877" s="7" t="s">
        <v>135</v>
      </c>
      <c r="D877" s="7" t="s">
        <v>3506</v>
      </c>
      <c r="E877" s="6" t="s">
        <v>3507</v>
      </c>
      <c r="F877" s="8"/>
      <c r="G877" s="8"/>
      <c r="H877" s="8"/>
    </row>
    <row r="878" spans="1:8">
      <c r="A878" s="6" t="s">
        <v>530</v>
      </c>
      <c r="B878" s="7" t="s">
        <v>718</v>
      </c>
      <c r="C878" s="7" t="s">
        <v>135</v>
      </c>
      <c r="D878" s="7" t="s">
        <v>3508</v>
      </c>
      <c r="E878" s="6" t="s">
        <v>3509</v>
      </c>
      <c r="F878" s="8"/>
      <c r="G878" s="8"/>
      <c r="H878" s="8"/>
    </row>
    <row r="879" spans="1:8">
      <c r="A879" s="6" t="s">
        <v>2462</v>
      </c>
      <c r="B879" s="7" t="s">
        <v>2463</v>
      </c>
      <c r="C879" s="7" t="s">
        <v>2463</v>
      </c>
      <c r="D879" s="7" t="s">
        <v>2464</v>
      </c>
      <c r="E879" s="6" t="s">
        <v>2013</v>
      </c>
      <c r="F879" s="8"/>
      <c r="G879" s="8"/>
      <c r="H879" s="8"/>
    </row>
    <row r="880" spans="1:8">
      <c r="A880" s="6" t="s">
        <v>2462</v>
      </c>
      <c r="B880" s="7" t="s">
        <v>2463</v>
      </c>
      <c r="C880" s="7" t="s">
        <v>2463</v>
      </c>
      <c r="D880" s="7" t="s">
        <v>2465</v>
      </c>
      <c r="E880" s="6" t="s">
        <v>2466</v>
      </c>
      <c r="F880" s="8"/>
      <c r="G880" s="8"/>
      <c r="H880" s="8"/>
    </row>
    <row r="881" spans="1:8">
      <c r="A881" s="6" t="s">
        <v>2462</v>
      </c>
      <c r="B881" s="7" t="s">
        <v>2467</v>
      </c>
      <c r="C881" s="7" t="s">
        <v>2467</v>
      </c>
      <c r="D881" s="7" t="s">
        <v>2468</v>
      </c>
      <c r="E881" s="6" t="s">
        <v>2469</v>
      </c>
      <c r="F881" s="8"/>
      <c r="G881" s="8"/>
      <c r="H881" s="8"/>
    </row>
    <row r="882" spans="1:8">
      <c r="A882" s="6" t="s">
        <v>73</v>
      </c>
      <c r="B882" s="7" t="s">
        <v>74</v>
      </c>
      <c r="C882" s="7" t="s">
        <v>74</v>
      </c>
      <c r="D882" s="7" t="s">
        <v>75</v>
      </c>
      <c r="E882" s="6" t="s">
        <v>76</v>
      </c>
      <c r="F882" s="8"/>
      <c r="G882" s="8"/>
      <c r="H882" s="8"/>
    </row>
    <row r="883" spans="1:8">
      <c r="A883" s="6" t="s">
        <v>73</v>
      </c>
      <c r="B883" s="7" t="s">
        <v>191</v>
      </c>
      <c r="C883" s="7" t="s">
        <v>191</v>
      </c>
      <c r="D883" s="7" t="s">
        <v>192</v>
      </c>
      <c r="E883" s="6" t="s">
        <v>193</v>
      </c>
      <c r="F883" s="8"/>
      <c r="G883" s="8"/>
      <c r="H883" s="8"/>
    </row>
    <row r="884" spans="1:8">
      <c r="A884" s="6" t="s">
        <v>73</v>
      </c>
      <c r="B884" s="7" t="s">
        <v>191</v>
      </c>
      <c r="C884" s="7" t="s">
        <v>191</v>
      </c>
      <c r="D884" s="7" t="s">
        <v>194</v>
      </c>
      <c r="E884" s="6" t="s">
        <v>195</v>
      </c>
      <c r="F884" s="8" t="s">
        <v>6939</v>
      </c>
      <c r="G884" s="8" t="s">
        <v>6929</v>
      </c>
      <c r="H884" s="8" t="s">
        <v>6940</v>
      </c>
    </row>
    <row r="885" spans="1:8">
      <c r="A885" s="6" t="s">
        <v>73</v>
      </c>
      <c r="B885" s="7" t="s">
        <v>191</v>
      </c>
      <c r="C885" s="7" t="s">
        <v>191</v>
      </c>
      <c r="D885" s="7" t="s">
        <v>196</v>
      </c>
      <c r="E885" s="6" t="s">
        <v>197</v>
      </c>
      <c r="F885" s="8"/>
      <c r="G885" s="8"/>
      <c r="H885" s="8"/>
    </row>
    <row r="886" spans="1:8">
      <c r="A886" s="6" t="s">
        <v>73</v>
      </c>
      <c r="B886" s="7" t="s">
        <v>191</v>
      </c>
      <c r="C886" s="7" t="s">
        <v>191</v>
      </c>
      <c r="D886" s="7" t="s">
        <v>198</v>
      </c>
      <c r="E886" s="6" t="s">
        <v>199</v>
      </c>
      <c r="F886" s="8"/>
      <c r="G886" s="8"/>
      <c r="H886" s="8"/>
    </row>
    <row r="887" spans="1:8">
      <c r="A887" s="6" t="s">
        <v>73</v>
      </c>
      <c r="B887" s="7" t="s">
        <v>365</v>
      </c>
      <c r="C887" s="7" t="s">
        <v>365</v>
      </c>
      <c r="D887" s="7" t="s">
        <v>366</v>
      </c>
      <c r="E887" s="6" t="s">
        <v>367</v>
      </c>
      <c r="F887" s="8" t="s">
        <v>5162</v>
      </c>
      <c r="G887" s="8" t="s">
        <v>6929</v>
      </c>
      <c r="H887" s="8" t="s">
        <v>7134</v>
      </c>
    </row>
    <row r="888" spans="1:8">
      <c r="A888" s="6" t="s">
        <v>73</v>
      </c>
      <c r="B888" s="7" t="s">
        <v>526</v>
      </c>
      <c r="C888" s="7" t="s">
        <v>527</v>
      </c>
      <c r="D888" s="7" t="s">
        <v>528</v>
      </c>
      <c r="E888" s="6" t="s">
        <v>529</v>
      </c>
      <c r="F888" s="8"/>
      <c r="G888" s="8"/>
      <c r="H888" s="8"/>
    </row>
    <row r="889" spans="1:8">
      <c r="A889" s="6" t="s">
        <v>73</v>
      </c>
      <c r="B889" s="7" t="s">
        <v>603</v>
      </c>
      <c r="C889" s="7" t="s">
        <v>603</v>
      </c>
      <c r="D889" s="7" t="s">
        <v>604</v>
      </c>
      <c r="E889" s="6" t="s">
        <v>369</v>
      </c>
      <c r="F889" s="8"/>
      <c r="G889" s="8"/>
      <c r="H889" s="8"/>
    </row>
    <row r="890" spans="1:8">
      <c r="A890" s="6" t="s">
        <v>73</v>
      </c>
      <c r="B890" s="7" t="s">
        <v>709</v>
      </c>
      <c r="C890" s="7" t="s">
        <v>709</v>
      </c>
      <c r="D890" s="7" t="s">
        <v>710</v>
      </c>
      <c r="E890" s="6" t="s">
        <v>711</v>
      </c>
      <c r="F890" s="8"/>
      <c r="G890" s="8"/>
      <c r="H890" s="8"/>
    </row>
    <row r="891" spans="1:8">
      <c r="A891" s="6" t="s">
        <v>73</v>
      </c>
      <c r="B891" s="7" t="s">
        <v>757</v>
      </c>
      <c r="C891" s="7" t="s">
        <v>757</v>
      </c>
      <c r="D891" s="7" t="s">
        <v>758</v>
      </c>
      <c r="E891" s="6" t="s">
        <v>759</v>
      </c>
      <c r="F891" s="8"/>
      <c r="G891" s="8"/>
      <c r="H891" s="8"/>
    </row>
    <row r="892" spans="1:8">
      <c r="A892" s="6" t="s">
        <v>73</v>
      </c>
      <c r="B892" s="7" t="s">
        <v>603</v>
      </c>
      <c r="C892" s="7" t="s">
        <v>603</v>
      </c>
      <c r="D892" s="7" t="s">
        <v>771</v>
      </c>
      <c r="E892" s="6" t="s">
        <v>772</v>
      </c>
      <c r="F892" s="8"/>
      <c r="G892" s="8"/>
      <c r="H892" s="8"/>
    </row>
    <row r="893" spans="1:8">
      <c r="A893" s="6" t="s">
        <v>73</v>
      </c>
      <c r="B893" s="7" t="s">
        <v>988</v>
      </c>
      <c r="C893" s="7" t="s">
        <v>988</v>
      </c>
      <c r="D893" s="7" t="s">
        <v>989</v>
      </c>
      <c r="E893" s="6" t="s">
        <v>990</v>
      </c>
      <c r="F893" s="8"/>
      <c r="G893" s="8"/>
      <c r="H893" s="8"/>
    </row>
    <row r="894" spans="1:8">
      <c r="A894" s="6" t="s">
        <v>73</v>
      </c>
      <c r="B894" s="7" t="s">
        <v>1029</v>
      </c>
      <c r="C894" s="7" t="s">
        <v>1029</v>
      </c>
      <c r="D894" s="7" t="s">
        <v>1030</v>
      </c>
      <c r="E894" s="6" t="s">
        <v>1031</v>
      </c>
      <c r="F894" s="8"/>
      <c r="G894" s="8"/>
      <c r="H894" s="8"/>
    </row>
    <row r="895" spans="1:8">
      <c r="A895" s="6" t="s">
        <v>73</v>
      </c>
      <c r="B895" s="7" t="s">
        <v>1267</v>
      </c>
      <c r="C895" s="7" t="s">
        <v>1267</v>
      </c>
      <c r="D895" s="7" t="s">
        <v>1268</v>
      </c>
      <c r="E895" s="6" t="s">
        <v>1269</v>
      </c>
      <c r="F895" s="8"/>
      <c r="G895" s="8"/>
      <c r="H895" s="8"/>
    </row>
    <row r="896" spans="1:8">
      <c r="A896" s="6" t="s">
        <v>73</v>
      </c>
      <c r="B896" s="7" t="s">
        <v>526</v>
      </c>
      <c r="C896" s="7" t="s">
        <v>527</v>
      </c>
      <c r="D896" s="7" t="s">
        <v>1285</v>
      </c>
      <c r="E896" s="6" t="s">
        <v>1286</v>
      </c>
      <c r="F896" s="8"/>
      <c r="G896" s="8"/>
      <c r="H896" s="8"/>
    </row>
    <row r="897" spans="1:8">
      <c r="A897" s="6" t="s">
        <v>73</v>
      </c>
      <c r="B897" s="7" t="s">
        <v>526</v>
      </c>
      <c r="C897" s="7" t="s">
        <v>527</v>
      </c>
      <c r="D897" s="7" t="s">
        <v>1287</v>
      </c>
      <c r="E897" s="6" t="s">
        <v>1288</v>
      </c>
      <c r="F897" s="8"/>
      <c r="G897" s="8"/>
      <c r="H897" s="8"/>
    </row>
    <row r="898" spans="1:8">
      <c r="A898" s="6" t="s">
        <v>73</v>
      </c>
      <c r="B898" s="7" t="s">
        <v>1354</v>
      </c>
      <c r="C898" s="7" t="s">
        <v>1354</v>
      </c>
      <c r="D898" s="7" t="s">
        <v>1355</v>
      </c>
      <c r="E898" s="6" t="s">
        <v>1356</v>
      </c>
      <c r="F898" s="8"/>
      <c r="G898" s="8"/>
      <c r="H898" s="8"/>
    </row>
    <row r="899" spans="1:8">
      <c r="A899" s="6" t="s">
        <v>73</v>
      </c>
      <c r="B899" s="7" t="s">
        <v>1397</v>
      </c>
      <c r="C899" s="7" t="s">
        <v>1397</v>
      </c>
      <c r="D899" s="7" t="s">
        <v>1398</v>
      </c>
      <c r="E899" s="6" t="s">
        <v>1399</v>
      </c>
      <c r="F899" s="8"/>
      <c r="G899" s="8"/>
      <c r="H899" s="8"/>
    </row>
    <row r="900" spans="1:8">
      <c r="A900" s="6" t="s">
        <v>73</v>
      </c>
      <c r="B900" s="7" t="s">
        <v>898</v>
      </c>
      <c r="C900" s="7" t="s">
        <v>898</v>
      </c>
      <c r="D900" s="7" t="s">
        <v>1525</v>
      </c>
      <c r="E900" s="6" t="s">
        <v>1526</v>
      </c>
      <c r="F900" s="8"/>
      <c r="G900" s="8"/>
      <c r="H900" s="8"/>
    </row>
    <row r="901" spans="1:8">
      <c r="A901" s="6" t="s">
        <v>73</v>
      </c>
      <c r="B901" s="7" t="s">
        <v>365</v>
      </c>
      <c r="C901" s="7" t="s">
        <v>365</v>
      </c>
      <c r="D901" s="7" t="s">
        <v>1639</v>
      </c>
      <c r="E901" s="6" t="s">
        <v>1640</v>
      </c>
      <c r="F901" s="8"/>
      <c r="G901" s="8"/>
      <c r="H901" s="8"/>
    </row>
    <row r="902" spans="1:8">
      <c r="A902" s="6" t="s">
        <v>73</v>
      </c>
      <c r="B902" s="7" t="s">
        <v>1688</v>
      </c>
      <c r="C902" s="7" t="s">
        <v>1688</v>
      </c>
      <c r="D902" s="7" t="s">
        <v>1689</v>
      </c>
      <c r="E902" s="6" t="s">
        <v>1690</v>
      </c>
      <c r="F902" s="8"/>
      <c r="G902" s="8"/>
      <c r="H902" s="8"/>
    </row>
    <row r="903" spans="1:8">
      <c r="A903" s="6" t="s">
        <v>73</v>
      </c>
      <c r="B903" s="7" t="s">
        <v>162</v>
      </c>
      <c r="C903" s="7" t="s">
        <v>162</v>
      </c>
      <c r="D903" s="7" t="s">
        <v>1778</v>
      </c>
      <c r="E903" s="6" t="s">
        <v>1779</v>
      </c>
      <c r="F903" s="8"/>
      <c r="G903" s="8"/>
      <c r="H903" s="8"/>
    </row>
    <row r="904" spans="1:8">
      <c r="A904" s="6" t="s">
        <v>73</v>
      </c>
      <c r="B904" s="7" t="s">
        <v>1820</v>
      </c>
      <c r="C904" s="7" t="s">
        <v>1820</v>
      </c>
      <c r="D904" s="7" t="s">
        <v>1821</v>
      </c>
      <c r="E904" s="6" t="s">
        <v>1822</v>
      </c>
      <c r="F904" s="8"/>
      <c r="G904" s="8"/>
      <c r="H904" s="8"/>
    </row>
    <row r="905" spans="1:8">
      <c r="A905" s="6" t="s">
        <v>73</v>
      </c>
      <c r="B905" s="7" t="s">
        <v>526</v>
      </c>
      <c r="C905" s="7" t="s">
        <v>527</v>
      </c>
      <c r="D905" s="7" t="s">
        <v>1852</v>
      </c>
      <c r="E905" s="6" t="s">
        <v>1853</v>
      </c>
      <c r="F905" s="8"/>
      <c r="G905" s="8"/>
      <c r="H905" s="8"/>
    </row>
    <row r="906" spans="1:8">
      <c r="A906" s="6" t="s">
        <v>73</v>
      </c>
      <c r="B906" s="7" t="s">
        <v>526</v>
      </c>
      <c r="C906" s="7" t="s">
        <v>527</v>
      </c>
      <c r="D906" s="7" t="s">
        <v>1854</v>
      </c>
      <c r="E906" s="6" t="s">
        <v>1855</v>
      </c>
      <c r="F906" s="8" t="s">
        <v>6957</v>
      </c>
      <c r="G906" s="8" t="s">
        <v>6929</v>
      </c>
      <c r="H906" s="8" t="s">
        <v>6967</v>
      </c>
    </row>
    <row r="907" spans="1:8">
      <c r="A907" s="6" t="s">
        <v>73</v>
      </c>
      <c r="B907" s="7" t="s">
        <v>526</v>
      </c>
      <c r="C907" s="7" t="s">
        <v>527</v>
      </c>
      <c r="D907" s="7" t="s">
        <v>1856</v>
      </c>
      <c r="E907" s="6" t="s">
        <v>1857</v>
      </c>
      <c r="F907" s="8"/>
      <c r="G907" s="8"/>
      <c r="H907" s="8"/>
    </row>
    <row r="908" spans="1:8">
      <c r="A908" s="6" t="s">
        <v>73</v>
      </c>
      <c r="B908" s="7" t="s">
        <v>74</v>
      </c>
      <c r="C908" s="7" t="s">
        <v>74</v>
      </c>
      <c r="D908" s="7" t="s">
        <v>1992</v>
      </c>
      <c r="E908" s="6" t="s">
        <v>1993</v>
      </c>
      <c r="F908" s="8"/>
      <c r="G908" s="8"/>
      <c r="H908" s="8"/>
    </row>
    <row r="909" spans="1:8">
      <c r="A909" s="6" t="s">
        <v>73</v>
      </c>
      <c r="B909" s="7" t="s">
        <v>6439</v>
      </c>
      <c r="C909" s="7" t="s">
        <v>6439</v>
      </c>
      <c r="D909" s="7" t="s">
        <v>6440</v>
      </c>
      <c r="E909" s="6" t="s">
        <v>6441</v>
      </c>
      <c r="F909" s="8"/>
      <c r="G909" s="8"/>
      <c r="H909" s="8"/>
    </row>
    <row r="910" spans="1:8">
      <c r="A910" s="6" t="s">
        <v>73</v>
      </c>
      <c r="B910" s="7" t="s">
        <v>603</v>
      </c>
      <c r="C910" s="7" t="s">
        <v>603</v>
      </c>
      <c r="D910" s="7" t="s">
        <v>6442</v>
      </c>
      <c r="E910" s="6" t="s">
        <v>6443</v>
      </c>
      <c r="F910" s="8"/>
      <c r="G910" s="8"/>
      <c r="H910" s="8"/>
    </row>
    <row r="911" spans="1:8">
      <c r="A911" s="6" t="s">
        <v>73</v>
      </c>
      <c r="B911" s="7" t="s">
        <v>1029</v>
      </c>
      <c r="C911" s="7" t="s">
        <v>1029</v>
      </c>
      <c r="D911" s="7" t="s">
        <v>6444</v>
      </c>
      <c r="E911" s="6" t="s">
        <v>6445</v>
      </c>
      <c r="F911" s="8"/>
      <c r="G911" s="8"/>
      <c r="H911" s="8"/>
    </row>
    <row r="912" spans="1:8">
      <c r="A912" s="6" t="s">
        <v>73</v>
      </c>
      <c r="B912" s="7" t="s">
        <v>6446</v>
      </c>
      <c r="C912" s="7" t="s">
        <v>709</v>
      </c>
      <c r="D912" s="7" t="s">
        <v>6447</v>
      </c>
      <c r="E912" s="6" t="s">
        <v>6448</v>
      </c>
      <c r="F912" s="8"/>
      <c r="G912" s="8"/>
      <c r="H912" s="8"/>
    </row>
    <row r="913" spans="1:8">
      <c r="A913" s="6" t="s">
        <v>73</v>
      </c>
      <c r="B913" s="7" t="s">
        <v>4716</v>
      </c>
      <c r="C913" s="7" t="s">
        <v>4716</v>
      </c>
      <c r="D913" s="7" t="s">
        <v>6450</v>
      </c>
      <c r="E913" s="6" t="s">
        <v>6451</v>
      </c>
      <c r="F913" s="8"/>
      <c r="G913" s="8"/>
      <c r="H913" s="8"/>
    </row>
    <row r="914" spans="1:8">
      <c r="A914" s="6" t="s">
        <v>73</v>
      </c>
      <c r="B914" s="7" t="s">
        <v>162</v>
      </c>
      <c r="C914" s="7" t="s">
        <v>162</v>
      </c>
      <c r="D914" s="7" t="s">
        <v>6452</v>
      </c>
      <c r="E914" s="6" t="s">
        <v>6453</v>
      </c>
      <c r="F914" s="8"/>
      <c r="G914" s="8"/>
      <c r="H914" s="8"/>
    </row>
    <row r="915" spans="1:8">
      <c r="A915" s="6" t="s">
        <v>73</v>
      </c>
      <c r="B915" s="7" t="s">
        <v>1179</v>
      </c>
      <c r="C915" s="7" t="s">
        <v>1179</v>
      </c>
      <c r="D915" s="7" t="s">
        <v>6454</v>
      </c>
      <c r="E915" s="6" t="s">
        <v>1766</v>
      </c>
      <c r="F915" s="8"/>
      <c r="G915" s="8"/>
      <c r="H915" s="8"/>
    </row>
    <row r="916" spans="1:8">
      <c r="A916" s="6" t="s">
        <v>73</v>
      </c>
      <c r="B916" s="7" t="s">
        <v>1179</v>
      </c>
      <c r="C916" s="7" t="s">
        <v>1179</v>
      </c>
      <c r="D916" s="7" t="s">
        <v>6455</v>
      </c>
      <c r="E916" s="6" t="s">
        <v>1766</v>
      </c>
      <c r="F916" s="8"/>
      <c r="G916" s="8"/>
      <c r="H916" s="8"/>
    </row>
    <row r="917" spans="1:8">
      <c r="A917" s="6" t="s">
        <v>73</v>
      </c>
      <c r="B917" s="7" t="s">
        <v>1179</v>
      </c>
      <c r="C917" s="7" t="s">
        <v>1179</v>
      </c>
      <c r="D917" s="7" t="s">
        <v>6456</v>
      </c>
      <c r="E917" s="6" t="s">
        <v>6457</v>
      </c>
      <c r="F917" s="8"/>
      <c r="G917" s="8"/>
      <c r="H917" s="8"/>
    </row>
    <row r="918" spans="1:8">
      <c r="A918" s="6" t="s">
        <v>73</v>
      </c>
      <c r="B918" s="7" t="s">
        <v>1179</v>
      </c>
      <c r="C918" s="7" t="s">
        <v>1179</v>
      </c>
      <c r="D918" s="7" t="s">
        <v>6458</v>
      </c>
      <c r="E918" s="6" t="s">
        <v>6459</v>
      </c>
      <c r="F918" s="8"/>
      <c r="G918" s="8"/>
      <c r="H918" s="8"/>
    </row>
    <row r="919" spans="1:8">
      <c r="A919" s="6" t="s">
        <v>73</v>
      </c>
      <c r="B919" s="7" t="s">
        <v>1179</v>
      </c>
      <c r="C919" s="7" t="s">
        <v>1179</v>
      </c>
      <c r="D919" s="7" t="s">
        <v>6460</v>
      </c>
      <c r="E919" s="6" t="s">
        <v>6461</v>
      </c>
      <c r="F919" s="8"/>
      <c r="G919" s="8"/>
      <c r="H919" s="8"/>
    </row>
    <row r="920" spans="1:8">
      <c r="A920" s="6" t="s">
        <v>73</v>
      </c>
      <c r="B920" s="7" t="s">
        <v>6462</v>
      </c>
      <c r="C920" s="7" t="s">
        <v>6462</v>
      </c>
      <c r="D920" s="7" t="s">
        <v>6463</v>
      </c>
      <c r="E920" s="6" t="s">
        <v>5541</v>
      </c>
      <c r="F920" s="8"/>
      <c r="G920" s="8"/>
      <c r="H920" s="8"/>
    </row>
    <row r="921" spans="1:8">
      <c r="A921" s="6" t="s">
        <v>73</v>
      </c>
      <c r="B921" s="7" t="s">
        <v>6462</v>
      </c>
      <c r="C921" s="7" t="s">
        <v>6462</v>
      </c>
      <c r="D921" s="7" t="s">
        <v>6464</v>
      </c>
      <c r="E921" s="6" t="s">
        <v>6465</v>
      </c>
      <c r="F921" s="8"/>
      <c r="G921" s="8"/>
      <c r="H921" s="8"/>
    </row>
    <row r="922" spans="1:8">
      <c r="A922" s="6" t="s">
        <v>73</v>
      </c>
      <c r="B922" s="7" t="s">
        <v>6462</v>
      </c>
      <c r="C922" s="7" t="s">
        <v>6462</v>
      </c>
      <c r="D922" s="7" t="s">
        <v>6466</v>
      </c>
      <c r="E922" s="6" t="s">
        <v>6467</v>
      </c>
      <c r="F922" s="8"/>
      <c r="G922" s="8"/>
      <c r="H922" s="8"/>
    </row>
    <row r="923" spans="1:8">
      <c r="A923" s="6" t="s">
        <v>73</v>
      </c>
      <c r="B923" s="7" t="s">
        <v>6462</v>
      </c>
      <c r="C923" s="7" t="s">
        <v>6462</v>
      </c>
      <c r="D923" s="7" t="s">
        <v>6468</v>
      </c>
      <c r="E923" s="6" t="s">
        <v>6469</v>
      </c>
      <c r="F923" s="8"/>
      <c r="G923" s="8"/>
      <c r="H923" s="8"/>
    </row>
    <row r="924" spans="1:8">
      <c r="A924" s="6" t="s">
        <v>73</v>
      </c>
      <c r="B924" s="7" t="s">
        <v>365</v>
      </c>
      <c r="C924" s="7" t="s">
        <v>365</v>
      </c>
      <c r="D924" s="7" t="s">
        <v>6470</v>
      </c>
      <c r="E924" s="6" t="s">
        <v>6471</v>
      </c>
      <c r="F924" s="8"/>
      <c r="G924" s="8"/>
      <c r="H924" s="8"/>
    </row>
    <row r="925" spans="1:8">
      <c r="A925" s="6" t="s">
        <v>73</v>
      </c>
      <c r="B925" s="7" t="s">
        <v>6472</v>
      </c>
      <c r="C925" s="7" t="s">
        <v>6472</v>
      </c>
      <c r="D925" s="7" t="s">
        <v>6473</v>
      </c>
      <c r="E925" s="6" t="s">
        <v>6474</v>
      </c>
      <c r="F925" s="8"/>
      <c r="G925" s="8"/>
      <c r="H925" s="8"/>
    </row>
    <row r="926" spans="1:8">
      <c r="A926" s="6" t="s">
        <v>73</v>
      </c>
      <c r="B926" s="7" t="s">
        <v>365</v>
      </c>
      <c r="C926" s="7" t="s">
        <v>365</v>
      </c>
      <c r="D926" s="7" t="s">
        <v>6475</v>
      </c>
      <c r="E926" s="6" t="s">
        <v>6476</v>
      </c>
      <c r="F926" s="8" t="s">
        <v>3334</v>
      </c>
      <c r="G926" s="8" t="s">
        <v>6929</v>
      </c>
      <c r="H926" s="8" t="s">
        <v>7135</v>
      </c>
    </row>
    <row r="927" spans="1:8">
      <c r="A927" s="6" t="s">
        <v>73</v>
      </c>
      <c r="B927" s="7" t="s">
        <v>709</v>
      </c>
      <c r="C927" s="7" t="s">
        <v>709</v>
      </c>
      <c r="D927" s="7" t="s">
        <v>6477</v>
      </c>
      <c r="E927" s="6" t="s">
        <v>6478</v>
      </c>
      <c r="F927" s="8" t="s">
        <v>6943</v>
      </c>
      <c r="G927" s="8" t="s">
        <v>6929</v>
      </c>
      <c r="H927" s="8" t="s">
        <v>7060</v>
      </c>
    </row>
    <row r="928" spans="1:8">
      <c r="A928" s="6" t="s">
        <v>73</v>
      </c>
      <c r="B928" s="7" t="s">
        <v>709</v>
      </c>
      <c r="C928" s="7" t="s">
        <v>709</v>
      </c>
      <c r="D928" s="7" t="s">
        <v>6479</v>
      </c>
      <c r="E928" s="6" t="s">
        <v>6480</v>
      </c>
      <c r="F928" s="8"/>
      <c r="G928" s="8"/>
      <c r="H928" s="8"/>
    </row>
    <row r="929" spans="1:8">
      <c r="A929" s="6" t="s">
        <v>73</v>
      </c>
      <c r="B929" s="7" t="s">
        <v>709</v>
      </c>
      <c r="C929" s="7" t="s">
        <v>709</v>
      </c>
      <c r="D929" s="7" t="s">
        <v>6481</v>
      </c>
      <c r="E929" s="6" t="s">
        <v>283</v>
      </c>
      <c r="F929" s="8"/>
      <c r="G929" s="8"/>
      <c r="H929" s="8"/>
    </row>
    <row r="930" spans="1:8">
      <c r="A930" s="6" t="s">
        <v>73</v>
      </c>
      <c r="B930" s="7" t="s">
        <v>709</v>
      </c>
      <c r="C930" s="7" t="s">
        <v>709</v>
      </c>
      <c r="D930" s="7" t="s">
        <v>6482</v>
      </c>
      <c r="E930" s="6" t="s">
        <v>6483</v>
      </c>
      <c r="F930" s="8"/>
      <c r="G930" s="8"/>
      <c r="H930" s="8"/>
    </row>
    <row r="931" spans="1:8">
      <c r="A931" s="6" t="s">
        <v>73</v>
      </c>
      <c r="B931" s="7" t="s">
        <v>227</v>
      </c>
      <c r="C931" s="7" t="s">
        <v>227</v>
      </c>
      <c r="D931" s="7" t="s">
        <v>6484</v>
      </c>
      <c r="E931" s="6" t="s">
        <v>702</v>
      </c>
      <c r="F931" s="8"/>
      <c r="G931" s="8"/>
      <c r="H931" s="8"/>
    </row>
    <row r="932" spans="1:8">
      <c r="A932" s="6" t="s">
        <v>73</v>
      </c>
      <c r="B932" s="7" t="s">
        <v>227</v>
      </c>
      <c r="C932" s="7" t="s">
        <v>227</v>
      </c>
      <c r="D932" s="7" t="s">
        <v>6485</v>
      </c>
      <c r="E932" s="6" t="s">
        <v>6486</v>
      </c>
      <c r="F932" s="8"/>
      <c r="G932" s="8"/>
      <c r="H932" s="8"/>
    </row>
    <row r="933" spans="1:8">
      <c r="A933" s="6" t="s">
        <v>73</v>
      </c>
      <c r="B933" s="7" t="s">
        <v>898</v>
      </c>
      <c r="C933" s="7" t="s">
        <v>898</v>
      </c>
      <c r="D933" s="7" t="s">
        <v>6487</v>
      </c>
      <c r="E933" s="6" t="s">
        <v>3153</v>
      </c>
      <c r="F933" s="8"/>
      <c r="G933" s="8"/>
      <c r="H933" s="8"/>
    </row>
    <row r="934" spans="1:8">
      <c r="A934" s="6" t="s">
        <v>73</v>
      </c>
      <c r="B934" s="7" t="s">
        <v>898</v>
      </c>
      <c r="C934" s="7" t="s">
        <v>898</v>
      </c>
      <c r="D934" s="7" t="s">
        <v>6489</v>
      </c>
      <c r="E934" s="6" t="s">
        <v>6490</v>
      </c>
      <c r="F934" s="8"/>
      <c r="G934" s="8"/>
      <c r="H934" s="8"/>
    </row>
    <row r="935" spans="1:8">
      <c r="A935" s="6" t="s">
        <v>73</v>
      </c>
      <c r="B935" s="7" t="s">
        <v>898</v>
      </c>
      <c r="C935" s="7" t="s">
        <v>898</v>
      </c>
      <c r="D935" s="7" t="s">
        <v>6491</v>
      </c>
      <c r="E935" s="6" t="s">
        <v>1040</v>
      </c>
      <c r="F935" s="8" t="s">
        <v>7046</v>
      </c>
      <c r="G935" s="8" t="s">
        <v>6929</v>
      </c>
      <c r="H935" s="8" t="s">
        <v>6927</v>
      </c>
    </row>
    <row r="936" spans="1:8">
      <c r="A936" s="6" t="s">
        <v>73</v>
      </c>
      <c r="B936" s="7" t="s">
        <v>898</v>
      </c>
      <c r="C936" s="7" t="s">
        <v>898</v>
      </c>
      <c r="D936" s="7" t="s">
        <v>6492</v>
      </c>
      <c r="E936" s="6" t="s">
        <v>6493</v>
      </c>
      <c r="F936" s="8"/>
      <c r="G936" s="8"/>
      <c r="H936" s="8"/>
    </row>
    <row r="937" spans="1:8">
      <c r="A937" s="6" t="s">
        <v>73</v>
      </c>
      <c r="B937" s="7" t="s">
        <v>898</v>
      </c>
      <c r="C937" s="7" t="s">
        <v>898</v>
      </c>
      <c r="D937" s="7" t="s">
        <v>6494</v>
      </c>
      <c r="E937" s="6" t="s">
        <v>6488</v>
      </c>
      <c r="F937" s="8"/>
      <c r="G937" s="8"/>
      <c r="H937" s="8"/>
    </row>
    <row r="938" spans="1:8">
      <c r="A938" s="6" t="s">
        <v>73</v>
      </c>
      <c r="B938" s="7" t="s">
        <v>6495</v>
      </c>
      <c r="C938" s="7" t="s">
        <v>6495</v>
      </c>
      <c r="D938" s="7" t="s">
        <v>6496</v>
      </c>
      <c r="E938" s="6" t="s">
        <v>6497</v>
      </c>
      <c r="F938" s="8"/>
      <c r="G938" s="8"/>
      <c r="H938" s="8"/>
    </row>
    <row r="939" spans="1:8">
      <c r="A939" s="6" t="s">
        <v>73</v>
      </c>
      <c r="B939" s="7" t="s">
        <v>2397</v>
      </c>
      <c r="C939" s="7" t="s">
        <v>2397</v>
      </c>
      <c r="D939" s="7" t="s">
        <v>6498</v>
      </c>
      <c r="E939" s="6" t="s">
        <v>2486</v>
      </c>
      <c r="F939" s="8"/>
      <c r="G939" s="8"/>
      <c r="H939" s="8"/>
    </row>
    <row r="940" spans="1:8">
      <c r="A940" s="6" t="s">
        <v>73</v>
      </c>
      <c r="B940" s="7" t="s">
        <v>709</v>
      </c>
      <c r="C940" s="7" t="s">
        <v>709</v>
      </c>
      <c r="D940" s="7" t="s">
        <v>6499</v>
      </c>
      <c r="E940" s="6" t="s">
        <v>6500</v>
      </c>
      <c r="F940" s="8"/>
      <c r="G940" s="8"/>
      <c r="H940" s="8"/>
    </row>
    <row r="941" spans="1:8">
      <c r="A941" s="6" t="s">
        <v>73</v>
      </c>
      <c r="B941" s="7" t="s">
        <v>2397</v>
      </c>
      <c r="C941" s="7" t="s">
        <v>2397</v>
      </c>
      <c r="D941" s="7" t="s">
        <v>6501</v>
      </c>
      <c r="E941" s="6" t="s">
        <v>6502</v>
      </c>
      <c r="F941" s="8"/>
      <c r="G941" s="8"/>
      <c r="H941" s="8"/>
    </row>
    <row r="942" spans="1:8">
      <c r="A942" s="6" t="s">
        <v>73</v>
      </c>
      <c r="B942" s="7" t="s">
        <v>2397</v>
      </c>
      <c r="C942" s="7" t="s">
        <v>2397</v>
      </c>
      <c r="D942" s="7" t="s">
        <v>6503</v>
      </c>
      <c r="E942" s="6" t="s">
        <v>6504</v>
      </c>
      <c r="F942" s="8" t="s">
        <v>6939</v>
      </c>
      <c r="G942" s="8" t="s">
        <v>6929</v>
      </c>
      <c r="H942" s="8" t="s">
        <v>7070</v>
      </c>
    </row>
    <row r="943" spans="1:8">
      <c r="A943" s="6" t="s">
        <v>73</v>
      </c>
      <c r="B943" s="7" t="s">
        <v>1079</v>
      </c>
      <c r="C943" s="7" t="s">
        <v>1079</v>
      </c>
      <c r="D943" s="7" t="s">
        <v>6505</v>
      </c>
      <c r="E943" s="6" t="s">
        <v>6506</v>
      </c>
      <c r="F943" s="8"/>
      <c r="G943" s="8"/>
      <c r="H943" s="8"/>
    </row>
    <row r="944" spans="1:8">
      <c r="A944" s="6" t="s">
        <v>73</v>
      </c>
      <c r="B944" s="7" t="s">
        <v>6507</v>
      </c>
      <c r="C944" s="7" t="s">
        <v>6507</v>
      </c>
      <c r="D944" s="7" t="s">
        <v>6508</v>
      </c>
      <c r="E944" s="6" t="s">
        <v>6457</v>
      </c>
      <c r="F944" s="8"/>
      <c r="G944" s="8"/>
      <c r="H944" s="8"/>
    </row>
    <row r="945" spans="1:8">
      <c r="A945" s="6" t="s">
        <v>73</v>
      </c>
      <c r="B945" s="7" t="s">
        <v>6507</v>
      </c>
      <c r="C945" s="7" t="s">
        <v>6507</v>
      </c>
      <c r="D945" s="7" t="s">
        <v>6509</v>
      </c>
      <c r="E945" s="6" t="s">
        <v>6510</v>
      </c>
      <c r="F945" s="8"/>
      <c r="G945" s="8"/>
      <c r="H945" s="8"/>
    </row>
    <row r="946" spans="1:8">
      <c r="A946" s="6" t="s">
        <v>73</v>
      </c>
      <c r="B946" s="7" t="s">
        <v>6016</v>
      </c>
      <c r="C946" s="7" t="s">
        <v>6016</v>
      </c>
      <c r="D946" s="7" t="s">
        <v>6511</v>
      </c>
      <c r="E946" s="6" t="s">
        <v>6512</v>
      </c>
      <c r="F946" s="8"/>
      <c r="G946" s="8"/>
      <c r="H946" s="8"/>
    </row>
    <row r="947" spans="1:8">
      <c r="A947" s="6" t="s">
        <v>2470</v>
      </c>
      <c r="B947" s="7" t="s">
        <v>1411</v>
      </c>
      <c r="C947" s="7" t="s">
        <v>1411</v>
      </c>
      <c r="D947" s="7" t="s">
        <v>2471</v>
      </c>
      <c r="E947" s="6" t="s">
        <v>2472</v>
      </c>
      <c r="F947" s="8" t="s">
        <v>6931</v>
      </c>
      <c r="G947" s="8" t="s">
        <v>6929</v>
      </c>
      <c r="H947" s="8" t="s">
        <v>7060</v>
      </c>
    </row>
    <row r="948" spans="1:8">
      <c r="A948" s="6" t="s">
        <v>2470</v>
      </c>
      <c r="B948" s="7" t="s">
        <v>2473</v>
      </c>
      <c r="C948" s="7" t="s">
        <v>2473</v>
      </c>
      <c r="D948" s="7" t="s">
        <v>2474</v>
      </c>
      <c r="E948" s="6" t="s">
        <v>2475</v>
      </c>
      <c r="F948" s="8"/>
      <c r="G948" s="8"/>
      <c r="H948" s="8"/>
    </row>
    <row r="949" spans="1:8">
      <c r="A949" s="6" t="s">
        <v>2470</v>
      </c>
      <c r="B949" s="7" t="s">
        <v>1411</v>
      </c>
      <c r="C949" s="7" t="s">
        <v>1411</v>
      </c>
      <c r="D949" s="7" t="s">
        <v>2476</v>
      </c>
      <c r="E949" s="6" t="s">
        <v>1618</v>
      </c>
      <c r="F949" s="8"/>
      <c r="G949" s="8"/>
      <c r="H949" s="8"/>
    </row>
    <row r="950" spans="1:8">
      <c r="A950" s="6" t="s">
        <v>1543</v>
      </c>
      <c r="B950" s="7" t="s">
        <v>1544</v>
      </c>
      <c r="C950" s="7" t="s">
        <v>1544</v>
      </c>
      <c r="D950" s="7" t="s">
        <v>1545</v>
      </c>
      <c r="E950" s="6" t="s">
        <v>1546</v>
      </c>
      <c r="F950" s="8"/>
      <c r="G950" s="8"/>
      <c r="H950" s="8"/>
    </row>
    <row r="951" spans="1:8">
      <c r="A951" s="6" t="s">
        <v>1543</v>
      </c>
      <c r="B951" s="7" t="s">
        <v>1544</v>
      </c>
      <c r="C951" s="7" t="s">
        <v>1544</v>
      </c>
      <c r="D951" s="7" t="s">
        <v>5054</v>
      </c>
      <c r="E951" s="6" t="s">
        <v>5055</v>
      </c>
      <c r="F951" s="8"/>
      <c r="G951" s="8"/>
      <c r="H951" s="8"/>
    </row>
    <row r="952" spans="1:8">
      <c r="A952" s="6" t="s">
        <v>1543</v>
      </c>
      <c r="B952" s="7" t="s">
        <v>5056</v>
      </c>
      <c r="C952" s="7" t="s">
        <v>5056</v>
      </c>
      <c r="D952" s="7" t="s">
        <v>5057</v>
      </c>
      <c r="E952" s="6" t="s">
        <v>5058</v>
      </c>
      <c r="F952" s="8"/>
      <c r="G952" s="8"/>
      <c r="H952" s="8"/>
    </row>
    <row r="953" spans="1:8">
      <c r="A953" s="6" t="s">
        <v>1543</v>
      </c>
      <c r="B953" s="7" t="s">
        <v>5056</v>
      </c>
      <c r="C953" s="7" t="s">
        <v>5056</v>
      </c>
      <c r="D953" s="7" t="s">
        <v>5059</v>
      </c>
      <c r="E953" s="6" t="s">
        <v>5058</v>
      </c>
      <c r="F953" s="8"/>
      <c r="G953" s="8"/>
      <c r="H953" s="8"/>
    </row>
    <row r="954" spans="1:8">
      <c r="A954" s="6" t="s">
        <v>1543</v>
      </c>
      <c r="B954" s="7" t="s">
        <v>5060</v>
      </c>
      <c r="C954" s="7" t="s">
        <v>5061</v>
      </c>
      <c r="D954" s="7" t="s">
        <v>5062</v>
      </c>
      <c r="E954" s="6" t="s">
        <v>5063</v>
      </c>
      <c r="F954" s="8"/>
      <c r="G954" s="8"/>
      <c r="H954" s="8"/>
    </row>
    <row r="955" spans="1:8">
      <c r="A955" s="6" t="s">
        <v>1543</v>
      </c>
      <c r="B955" s="7" t="s">
        <v>5060</v>
      </c>
      <c r="C955" s="7" t="s">
        <v>5061</v>
      </c>
      <c r="D955" s="7" t="s">
        <v>5064</v>
      </c>
      <c r="E955" s="6" t="s">
        <v>5065</v>
      </c>
      <c r="F955" s="8"/>
      <c r="G955" s="8"/>
      <c r="H955" s="8"/>
    </row>
    <row r="956" spans="1:8">
      <c r="A956" s="6" t="s">
        <v>1543</v>
      </c>
      <c r="B956" s="7" t="s">
        <v>4829</v>
      </c>
      <c r="C956" s="7" t="s">
        <v>5066</v>
      </c>
      <c r="D956" s="7" t="s">
        <v>5067</v>
      </c>
      <c r="E956" s="6" t="s">
        <v>5068</v>
      </c>
      <c r="F956" s="8"/>
      <c r="G956" s="8"/>
      <c r="H956" s="8"/>
    </row>
    <row r="957" spans="1:8">
      <c r="A957" s="6" t="s">
        <v>1543</v>
      </c>
      <c r="B957" s="7" t="s">
        <v>4829</v>
      </c>
      <c r="C957" s="7" t="s">
        <v>1118</v>
      </c>
      <c r="D957" s="7" t="s">
        <v>5069</v>
      </c>
      <c r="E957" s="6" t="s">
        <v>5070</v>
      </c>
      <c r="F957" s="8"/>
      <c r="G957" s="8"/>
      <c r="H957" s="8"/>
    </row>
    <row r="958" spans="1:8">
      <c r="A958" s="6" t="s">
        <v>1543</v>
      </c>
      <c r="B958" s="7" t="s">
        <v>5071</v>
      </c>
      <c r="C958" s="7" t="s">
        <v>5071</v>
      </c>
      <c r="D958" s="7" t="s">
        <v>5072</v>
      </c>
      <c r="E958" s="6" t="s">
        <v>5073</v>
      </c>
      <c r="F958" s="8"/>
      <c r="G958" s="8"/>
      <c r="H958" s="8"/>
    </row>
    <row r="959" spans="1:8">
      <c r="A959" s="6" t="s">
        <v>1543</v>
      </c>
      <c r="B959" s="7" t="s">
        <v>5061</v>
      </c>
      <c r="C959" s="7" t="s">
        <v>5061</v>
      </c>
      <c r="D959" s="7" t="s">
        <v>5074</v>
      </c>
      <c r="E959" s="6" t="s">
        <v>5075</v>
      </c>
      <c r="F959" s="8"/>
      <c r="G959" s="8"/>
      <c r="H959" s="8"/>
    </row>
    <row r="960" spans="1:8">
      <c r="A960" s="6" t="s">
        <v>1543</v>
      </c>
      <c r="B960" s="7" t="s">
        <v>5061</v>
      </c>
      <c r="C960" s="7" t="s">
        <v>5076</v>
      </c>
      <c r="D960" s="7" t="s">
        <v>5077</v>
      </c>
      <c r="E960" s="6" t="s">
        <v>5078</v>
      </c>
      <c r="F960" s="8"/>
      <c r="G960" s="8"/>
      <c r="H960" s="8"/>
    </row>
    <row r="961" spans="1:8">
      <c r="A961" s="6" t="s">
        <v>1543</v>
      </c>
      <c r="B961" s="7" t="s">
        <v>5079</v>
      </c>
      <c r="C961" s="7" t="s">
        <v>429</v>
      </c>
      <c r="D961" s="7" t="s">
        <v>5080</v>
      </c>
      <c r="E961" s="6" t="s">
        <v>5081</v>
      </c>
      <c r="F961" s="8"/>
      <c r="G961" s="8"/>
      <c r="H961" s="8"/>
    </row>
    <row r="962" spans="1:8">
      <c r="A962" s="6" t="s">
        <v>1543</v>
      </c>
      <c r="B962" s="7" t="s">
        <v>5079</v>
      </c>
      <c r="C962" s="7" t="s">
        <v>429</v>
      </c>
      <c r="D962" s="7" t="s">
        <v>5082</v>
      </c>
      <c r="E962" s="6" t="s">
        <v>5083</v>
      </c>
      <c r="F962" s="8"/>
      <c r="G962" s="8"/>
      <c r="H962" s="8"/>
    </row>
    <row r="963" spans="1:8">
      <c r="A963" s="6" t="s">
        <v>1543</v>
      </c>
      <c r="B963" s="7" t="s">
        <v>5079</v>
      </c>
      <c r="C963" s="7" t="s">
        <v>429</v>
      </c>
      <c r="D963" s="7" t="s">
        <v>5084</v>
      </c>
      <c r="E963" s="6" t="s">
        <v>5085</v>
      </c>
      <c r="F963" s="8"/>
      <c r="G963" s="8"/>
      <c r="H963" s="8"/>
    </row>
    <row r="964" spans="1:8">
      <c r="A964" s="6" t="s">
        <v>2632</v>
      </c>
      <c r="B964" s="7" t="s">
        <v>1411</v>
      </c>
      <c r="C964" s="7" t="s">
        <v>1411</v>
      </c>
      <c r="D964" s="7" t="s">
        <v>2633</v>
      </c>
      <c r="E964" s="6" t="s">
        <v>2634</v>
      </c>
      <c r="F964" s="8" t="s">
        <v>6934</v>
      </c>
      <c r="G964" s="8" t="s">
        <v>6973</v>
      </c>
      <c r="H964" s="8" t="s">
        <v>7137</v>
      </c>
    </row>
    <row r="965" spans="1:8">
      <c r="A965" s="6" t="s">
        <v>2632</v>
      </c>
      <c r="B965" s="7" t="s">
        <v>1411</v>
      </c>
      <c r="C965" s="7" t="s">
        <v>1411</v>
      </c>
      <c r="D965" s="7" t="s">
        <v>2635</v>
      </c>
      <c r="E965" s="6" t="s">
        <v>2636</v>
      </c>
      <c r="F965" s="8"/>
      <c r="G965" s="8"/>
      <c r="H965" s="8"/>
    </row>
    <row r="966" spans="1:8">
      <c r="A966" s="6" t="s">
        <v>2632</v>
      </c>
      <c r="B966" s="7" t="s">
        <v>1411</v>
      </c>
      <c r="C966" s="7" t="s">
        <v>1411</v>
      </c>
      <c r="D966" s="7" t="s">
        <v>2637</v>
      </c>
      <c r="E966" s="6" t="s">
        <v>2638</v>
      </c>
      <c r="F966" s="8" t="s">
        <v>3334</v>
      </c>
      <c r="G966" s="8" t="s">
        <v>6929</v>
      </c>
      <c r="H966" s="8" t="s">
        <v>7060</v>
      </c>
    </row>
    <row r="967" spans="1:8">
      <c r="A967" s="6" t="s">
        <v>1239</v>
      </c>
      <c r="B967" s="7" t="s">
        <v>1240</v>
      </c>
      <c r="C967" s="7" t="s">
        <v>9</v>
      </c>
      <c r="D967" s="7" t="s">
        <v>1241</v>
      </c>
      <c r="E967" s="6" t="s">
        <v>1242</v>
      </c>
      <c r="F967" s="8"/>
      <c r="G967" s="8"/>
      <c r="H967" s="8"/>
    </row>
    <row r="968" spans="1:8">
      <c r="A968" s="6" t="s">
        <v>1239</v>
      </c>
      <c r="B968" s="7" t="s">
        <v>202</v>
      </c>
      <c r="C968" s="7" t="s">
        <v>1305</v>
      </c>
      <c r="D968" s="7" t="s">
        <v>1306</v>
      </c>
      <c r="E968" s="6" t="s">
        <v>1307</v>
      </c>
      <c r="F968" s="8"/>
      <c r="G968" s="8"/>
      <c r="H968" s="8"/>
    </row>
    <row r="969" spans="1:8">
      <c r="A969" s="6" t="s">
        <v>1239</v>
      </c>
      <c r="B969" s="7" t="s">
        <v>202</v>
      </c>
      <c r="C969" s="7" t="s">
        <v>1305</v>
      </c>
      <c r="D969" s="7" t="s">
        <v>1961</v>
      </c>
      <c r="E969" s="6" t="s">
        <v>1962</v>
      </c>
      <c r="F969" s="8"/>
      <c r="G969" s="8"/>
      <c r="H969" s="8"/>
    </row>
    <row r="970" spans="1:8">
      <c r="A970" s="6" t="s">
        <v>1239</v>
      </c>
      <c r="B970" s="7" t="s">
        <v>9</v>
      </c>
      <c r="C970" s="7" t="s">
        <v>202</v>
      </c>
      <c r="D970" s="7" t="s">
        <v>3812</v>
      </c>
      <c r="E970" s="6" t="s">
        <v>3813</v>
      </c>
      <c r="F970" s="8"/>
      <c r="G970" s="8"/>
      <c r="H970" s="8"/>
    </row>
    <row r="971" spans="1:8">
      <c r="A971" s="6" t="s">
        <v>1239</v>
      </c>
      <c r="B971" s="7" t="s">
        <v>5172</v>
      </c>
      <c r="C971" s="7" t="s">
        <v>9</v>
      </c>
      <c r="D971" s="7" t="s">
        <v>5229</v>
      </c>
      <c r="E971" s="6" t="s">
        <v>5230</v>
      </c>
      <c r="F971" s="8"/>
      <c r="G971" s="8"/>
      <c r="H971" s="8"/>
    </row>
    <row r="972" spans="1:8">
      <c r="A972" s="6" t="s">
        <v>1239</v>
      </c>
      <c r="B972" s="7" t="s">
        <v>5172</v>
      </c>
      <c r="C972" s="7" t="s">
        <v>9</v>
      </c>
      <c r="D972" s="7" t="s">
        <v>5231</v>
      </c>
      <c r="E972" s="6" t="s">
        <v>5230</v>
      </c>
      <c r="F972" s="8"/>
      <c r="G972" s="8"/>
      <c r="H972" s="8"/>
    </row>
    <row r="973" spans="1:8">
      <c r="A973" s="6" t="s">
        <v>1239</v>
      </c>
      <c r="B973" s="7" t="s">
        <v>5172</v>
      </c>
      <c r="C973" s="7" t="s">
        <v>9</v>
      </c>
      <c r="D973" s="7" t="s">
        <v>5232</v>
      </c>
      <c r="E973" s="6" t="s">
        <v>5230</v>
      </c>
      <c r="F973" s="8"/>
      <c r="G973" s="8"/>
      <c r="H973" s="8"/>
    </row>
    <row r="974" spans="1:8">
      <c r="A974" s="6" t="s">
        <v>1239</v>
      </c>
      <c r="B974" s="7" t="s">
        <v>5172</v>
      </c>
      <c r="C974" s="7" t="s">
        <v>9</v>
      </c>
      <c r="D974" s="7" t="s">
        <v>5233</v>
      </c>
      <c r="E974" s="6" t="s">
        <v>5230</v>
      </c>
      <c r="F974" s="8"/>
      <c r="G974" s="8"/>
      <c r="H974" s="8"/>
    </row>
    <row r="975" spans="1:8">
      <c r="A975" s="6" t="s">
        <v>1239</v>
      </c>
      <c r="B975" s="7" t="s">
        <v>202</v>
      </c>
      <c r="C975" s="7" t="s">
        <v>1305</v>
      </c>
      <c r="D975" s="7" t="s">
        <v>5234</v>
      </c>
      <c r="E975" s="6" t="s">
        <v>5235</v>
      </c>
      <c r="F975" s="8"/>
      <c r="G975" s="8"/>
      <c r="H975" s="8"/>
    </row>
    <row r="976" spans="1:8">
      <c r="A976" s="6" t="s">
        <v>1239</v>
      </c>
      <c r="B976" s="7" t="s">
        <v>202</v>
      </c>
      <c r="C976" s="7" t="s">
        <v>1305</v>
      </c>
      <c r="D976" s="7" t="s">
        <v>5236</v>
      </c>
      <c r="E976" s="6" t="s">
        <v>5237</v>
      </c>
      <c r="F976" s="8"/>
      <c r="G976" s="8"/>
      <c r="H976" s="8"/>
    </row>
    <row r="977" spans="1:8">
      <c r="A977" s="6" t="s">
        <v>1239</v>
      </c>
      <c r="B977" s="7" t="s">
        <v>202</v>
      </c>
      <c r="C977" s="7" t="s">
        <v>1305</v>
      </c>
      <c r="D977" s="7" t="s">
        <v>5238</v>
      </c>
      <c r="E977" s="6" t="s">
        <v>4980</v>
      </c>
      <c r="F977" s="8"/>
      <c r="G977" s="8"/>
      <c r="H977" s="8"/>
    </row>
    <row r="978" spans="1:8">
      <c r="A978" s="6" t="s">
        <v>1239</v>
      </c>
      <c r="B978" s="7" t="s">
        <v>202</v>
      </c>
      <c r="C978" s="7" t="s">
        <v>1305</v>
      </c>
      <c r="D978" s="7" t="s">
        <v>5239</v>
      </c>
      <c r="E978" s="6" t="s">
        <v>5240</v>
      </c>
      <c r="F978" s="8"/>
      <c r="G978" s="8"/>
      <c r="H978" s="8"/>
    </row>
    <row r="979" spans="1:8">
      <c r="A979" s="6" t="s">
        <v>1239</v>
      </c>
      <c r="B979" s="7" t="s">
        <v>202</v>
      </c>
      <c r="C979" s="7" t="s">
        <v>1305</v>
      </c>
      <c r="D979" s="7" t="s">
        <v>5241</v>
      </c>
      <c r="E979" s="6" t="s">
        <v>5242</v>
      </c>
      <c r="F979" s="8"/>
      <c r="G979" s="8"/>
      <c r="H979" s="8"/>
    </row>
    <row r="980" spans="1:8">
      <c r="A980" s="6" t="s">
        <v>1239</v>
      </c>
      <c r="B980" s="7" t="s">
        <v>202</v>
      </c>
      <c r="C980" s="7" t="s">
        <v>1305</v>
      </c>
      <c r="D980" s="7" t="s">
        <v>5243</v>
      </c>
      <c r="E980" s="6" t="s">
        <v>5244</v>
      </c>
      <c r="F980" s="8"/>
      <c r="G980" s="8"/>
      <c r="H980" s="8"/>
    </row>
    <row r="981" spans="1:8">
      <c r="A981" s="6" t="s">
        <v>1239</v>
      </c>
      <c r="B981" s="7" t="s">
        <v>202</v>
      </c>
      <c r="C981" s="7" t="s">
        <v>1305</v>
      </c>
      <c r="D981" s="7" t="s">
        <v>5245</v>
      </c>
      <c r="E981" s="6" t="s">
        <v>5246</v>
      </c>
      <c r="F981" s="8"/>
      <c r="G981" s="8"/>
      <c r="H981" s="8"/>
    </row>
    <row r="982" spans="1:8">
      <c r="A982" s="6" t="s">
        <v>1239</v>
      </c>
      <c r="B982" s="7" t="s">
        <v>4889</v>
      </c>
      <c r="C982" s="7" t="s">
        <v>4889</v>
      </c>
      <c r="D982" s="7" t="s">
        <v>5247</v>
      </c>
      <c r="E982" s="6" t="s">
        <v>2331</v>
      </c>
      <c r="F982" s="8"/>
      <c r="G982" s="8"/>
      <c r="H982" s="8"/>
    </row>
    <row r="983" spans="1:8">
      <c r="A983" s="6" t="s">
        <v>1239</v>
      </c>
      <c r="B983" s="7" t="s">
        <v>202</v>
      </c>
      <c r="C983" s="7" t="s">
        <v>1305</v>
      </c>
      <c r="D983" s="7" t="s">
        <v>5248</v>
      </c>
      <c r="E983" s="6" t="s">
        <v>5249</v>
      </c>
      <c r="F983" s="8"/>
      <c r="G983" s="8"/>
      <c r="H983" s="8"/>
    </row>
    <row r="984" spans="1:8">
      <c r="A984" s="6" t="s">
        <v>1239</v>
      </c>
      <c r="B984" s="7" t="s">
        <v>202</v>
      </c>
      <c r="C984" s="7" t="s">
        <v>1305</v>
      </c>
      <c r="D984" s="7" t="s">
        <v>5250</v>
      </c>
      <c r="E984" s="6" t="s">
        <v>5251</v>
      </c>
      <c r="F984" s="8"/>
      <c r="G984" s="8"/>
      <c r="H984" s="8"/>
    </row>
    <row r="985" spans="1:8">
      <c r="A985" s="6" t="s">
        <v>1239</v>
      </c>
      <c r="B985" s="7" t="s">
        <v>5252</v>
      </c>
      <c r="C985" s="7" t="s">
        <v>5252</v>
      </c>
      <c r="D985" s="7" t="s">
        <v>5253</v>
      </c>
      <c r="E985" s="6" t="s">
        <v>2331</v>
      </c>
      <c r="F985" s="8"/>
      <c r="G985" s="8"/>
      <c r="H985" s="8"/>
    </row>
    <row r="986" spans="1:8">
      <c r="A986" s="6" t="s">
        <v>1239</v>
      </c>
      <c r="B986" s="7" t="s">
        <v>202</v>
      </c>
      <c r="C986" s="7" t="s">
        <v>5126</v>
      </c>
      <c r="D986" s="7" t="s">
        <v>5254</v>
      </c>
      <c r="E986" s="6" t="s">
        <v>5255</v>
      </c>
      <c r="F986" s="8"/>
      <c r="G986" s="8"/>
      <c r="H986" s="8"/>
    </row>
    <row r="987" spans="1:8">
      <c r="A987" s="6" t="s">
        <v>1239</v>
      </c>
      <c r="B987" s="7" t="s">
        <v>202</v>
      </c>
      <c r="C987" s="7" t="s">
        <v>1305</v>
      </c>
      <c r="D987" s="7" t="s">
        <v>5256</v>
      </c>
      <c r="E987" s="6" t="s">
        <v>5257</v>
      </c>
      <c r="F987" s="8"/>
      <c r="G987" s="8"/>
      <c r="H987" s="8"/>
    </row>
    <row r="988" spans="1:8">
      <c r="A988" s="6" t="s">
        <v>3814</v>
      </c>
      <c r="B988" s="7" t="s">
        <v>9</v>
      </c>
      <c r="C988" s="7" t="s">
        <v>9</v>
      </c>
      <c r="D988" s="7" t="s">
        <v>3815</v>
      </c>
      <c r="E988" s="6" t="s">
        <v>3816</v>
      </c>
      <c r="F988" s="8"/>
      <c r="G988" s="8"/>
      <c r="H988" s="8"/>
    </row>
    <row r="989" spans="1:8">
      <c r="A989" s="6" t="s">
        <v>5223</v>
      </c>
      <c r="B989" s="7" t="s">
        <v>9</v>
      </c>
      <c r="C989" s="7" t="s">
        <v>5224</v>
      </c>
      <c r="D989" s="7" t="s">
        <v>5225</v>
      </c>
      <c r="E989" s="6" t="s">
        <v>2331</v>
      </c>
      <c r="F989" s="8"/>
      <c r="G989" s="8"/>
      <c r="H989" s="8"/>
    </row>
    <row r="990" spans="1:8">
      <c r="A990" s="6" t="s">
        <v>5223</v>
      </c>
      <c r="B990" s="7" t="s">
        <v>9</v>
      </c>
      <c r="C990" s="7" t="s">
        <v>5226</v>
      </c>
      <c r="D990" s="7" t="s">
        <v>5227</v>
      </c>
      <c r="E990" s="6" t="s">
        <v>5228</v>
      </c>
      <c r="F990" s="8"/>
      <c r="G990" s="8"/>
      <c r="H990" s="8"/>
    </row>
    <row r="991" spans="1:8">
      <c r="A991" s="6" t="s">
        <v>142</v>
      </c>
      <c r="B991" s="7" t="s">
        <v>143</v>
      </c>
      <c r="C991" s="7" t="s">
        <v>143</v>
      </c>
      <c r="D991" s="7" t="s">
        <v>144</v>
      </c>
      <c r="E991" s="6" t="s">
        <v>145</v>
      </c>
      <c r="F991" s="8"/>
      <c r="G991" s="8"/>
      <c r="H991" s="8"/>
    </row>
    <row r="992" spans="1:8">
      <c r="A992" s="6" t="s">
        <v>142</v>
      </c>
      <c r="B992" s="7" t="s">
        <v>146</v>
      </c>
      <c r="C992" s="7" t="s">
        <v>146</v>
      </c>
      <c r="D992" s="7" t="s">
        <v>147</v>
      </c>
      <c r="E992" s="6" t="s">
        <v>148</v>
      </c>
      <c r="F992" s="8"/>
      <c r="G992" s="8"/>
      <c r="H992" s="8"/>
    </row>
    <row r="993" spans="1:8">
      <c r="A993" s="6" t="s">
        <v>142</v>
      </c>
      <c r="B993" s="7" t="s">
        <v>165</v>
      </c>
      <c r="C993" s="7" t="s">
        <v>165</v>
      </c>
      <c r="D993" s="7" t="s">
        <v>166</v>
      </c>
      <c r="E993" s="6" t="s">
        <v>167</v>
      </c>
      <c r="F993" s="8"/>
      <c r="G993" s="8"/>
      <c r="H993" s="8"/>
    </row>
    <row r="994" spans="1:8">
      <c r="A994" s="6" t="s">
        <v>142</v>
      </c>
      <c r="B994" s="7" t="s">
        <v>223</v>
      </c>
      <c r="C994" s="7" t="s">
        <v>223</v>
      </c>
      <c r="D994" s="7" t="s">
        <v>224</v>
      </c>
      <c r="E994" s="6" t="s">
        <v>225</v>
      </c>
      <c r="F994" s="8"/>
      <c r="G994" s="8"/>
      <c r="H994" s="8"/>
    </row>
    <row r="995" spans="1:8">
      <c r="A995" s="6" t="s">
        <v>142</v>
      </c>
      <c r="B995" s="7" t="s">
        <v>561</v>
      </c>
      <c r="C995" s="7" t="s">
        <v>561</v>
      </c>
      <c r="D995" s="7" t="s">
        <v>562</v>
      </c>
      <c r="E995" s="6" t="s">
        <v>563</v>
      </c>
      <c r="F995" s="8"/>
      <c r="G995" s="8"/>
      <c r="H995" s="8"/>
    </row>
    <row r="996" spans="1:8">
      <c r="A996" s="6" t="s">
        <v>142</v>
      </c>
      <c r="B996" s="7" t="s">
        <v>216</v>
      </c>
      <c r="C996" s="7" t="s">
        <v>216</v>
      </c>
      <c r="D996" s="7" t="s">
        <v>1087</v>
      </c>
      <c r="E996" s="6" t="s">
        <v>1088</v>
      </c>
      <c r="F996" s="8"/>
      <c r="G996" s="8"/>
      <c r="H996" s="8"/>
    </row>
    <row r="997" spans="1:8">
      <c r="A997" s="6" t="s">
        <v>142</v>
      </c>
      <c r="B997" s="7" t="s">
        <v>1255</v>
      </c>
      <c r="C997" s="7" t="s">
        <v>1255</v>
      </c>
      <c r="D997" s="7" t="s">
        <v>1256</v>
      </c>
      <c r="E997" s="6" t="s">
        <v>1257</v>
      </c>
      <c r="F997" s="8"/>
      <c r="G997" s="8"/>
      <c r="H997" s="8"/>
    </row>
    <row r="998" spans="1:8">
      <c r="A998" s="6" t="s">
        <v>142</v>
      </c>
      <c r="B998" s="7" t="s">
        <v>1280</v>
      </c>
      <c r="C998" s="7" t="s">
        <v>1280</v>
      </c>
      <c r="D998" s="7" t="s">
        <v>1281</v>
      </c>
      <c r="E998" s="6" t="s">
        <v>1282</v>
      </c>
      <c r="F998" s="8" t="s">
        <v>3334</v>
      </c>
      <c r="G998" s="8" t="s">
        <v>6929</v>
      </c>
      <c r="H998" s="8" t="s">
        <v>7143</v>
      </c>
    </row>
    <row r="999" spans="1:8">
      <c r="A999" s="6" t="s">
        <v>142</v>
      </c>
      <c r="B999" s="7" t="s">
        <v>1357</v>
      </c>
      <c r="C999" s="7" t="s">
        <v>1357</v>
      </c>
      <c r="D999" s="7" t="s">
        <v>1358</v>
      </c>
      <c r="E999" s="6" t="s">
        <v>1359</v>
      </c>
      <c r="F999" s="8"/>
      <c r="G999" s="8"/>
      <c r="H999" s="8"/>
    </row>
    <row r="1000" spans="1:8">
      <c r="A1000" s="6" t="s">
        <v>142</v>
      </c>
      <c r="B1000" s="7" t="s">
        <v>216</v>
      </c>
      <c r="C1000" s="7" t="s">
        <v>216</v>
      </c>
      <c r="D1000" s="7" t="s">
        <v>1422</v>
      </c>
      <c r="E1000" s="6" t="s">
        <v>1423</v>
      </c>
      <c r="F1000" s="8"/>
      <c r="G1000" s="8"/>
      <c r="H1000" s="8"/>
    </row>
    <row r="1001" spans="1:8">
      <c r="A1001" s="6" t="s">
        <v>142</v>
      </c>
      <c r="B1001" s="7" t="s">
        <v>1438</v>
      </c>
      <c r="C1001" s="7" t="s">
        <v>1438</v>
      </c>
      <c r="D1001" s="7" t="s">
        <v>1439</v>
      </c>
      <c r="E1001" s="6" t="s">
        <v>1440</v>
      </c>
      <c r="F1001" s="8"/>
      <c r="G1001" s="8"/>
      <c r="H1001" s="8"/>
    </row>
    <row r="1002" spans="1:8">
      <c r="A1002" s="6" t="s">
        <v>142</v>
      </c>
      <c r="B1002" s="7" t="s">
        <v>1438</v>
      </c>
      <c r="C1002" s="7" t="s">
        <v>1438</v>
      </c>
      <c r="D1002" s="7" t="s">
        <v>1441</v>
      </c>
      <c r="E1002" s="6" t="s">
        <v>1442</v>
      </c>
      <c r="F1002" s="8"/>
      <c r="G1002" s="8"/>
      <c r="H1002" s="8"/>
    </row>
    <row r="1003" spans="1:8">
      <c r="A1003" s="6" t="s">
        <v>142</v>
      </c>
      <c r="B1003" s="7" t="s">
        <v>1451</v>
      </c>
      <c r="C1003" s="7" t="s">
        <v>1451</v>
      </c>
      <c r="D1003" s="7" t="s">
        <v>1452</v>
      </c>
      <c r="E1003" s="6" t="s">
        <v>1453</v>
      </c>
      <c r="F1003" s="8"/>
      <c r="G1003" s="8"/>
      <c r="H1003" s="8"/>
    </row>
    <row r="1004" spans="1:8">
      <c r="A1004" s="6" t="s">
        <v>142</v>
      </c>
      <c r="B1004" s="7" t="s">
        <v>1100</v>
      </c>
      <c r="C1004" s="7" t="s">
        <v>1100</v>
      </c>
      <c r="D1004" s="7" t="s">
        <v>1537</v>
      </c>
      <c r="E1004" s="6" t="s">
        <v>1538</v>
      </c>
      <c r="F1004" s="8"/>
      <c r="G1004" s="8"/>
      <c r="H1004" s="8"/>
    </row>
    <row r="1005" spans="1:8">
      <c r="A1005" s="6" t="s">
        <v>142</v>
      </c>
      <c r="B1005" s="7" t="s">
        <v>1100</v>
      </c>
      <c r="C1005" s="7" t="s">
        <v>1100</v>
      </c>
      <c r="D1005" s="7" t="s">
        <v>1539</v>
      </c>
      <c r="E1005" s="6" t="s">
        <v>1540</v>
      </c>
      <c r="F1005" s="8"/>
      <c r="G1005" s="8"/>
      <c r="H1005" s="8"/>
    </row>
    <row r="1006" spans="1:8">
      <c r="A1006" s="6" t="s">
        <v>142</v>
      </c>
      <c r="B1006" s="7" t="s">
        <v>1604</v>
      </c>
      <c r="C1006" s="7" t="s">
        <v>1604</v>
      </c>
      <c r="D1006" s="7" t="s">
        <v>1605</v>
      </c>
      <c r="E1006" s="6" t="s">
        <v>1606</v>
      </c>
      <c r="F1006" s="8"/>
      <c r="G1006" s="8"/>
      <c r="H1006" s="8"/>
    </row>
    <row r="1007" spans="1:8">
      <c r="A1007" s="6" t="s">
        <v>142</v>
      </c>
      <c r="B1007" s="7" t="s">
        <v>1791</v>
      </c>
      <c r="C1007" s="7" t="s">
        <v>1791</v>
      </c>
      <c r="D1007" s="7" t="s">
        <v>1792</v>
      </c>
      <c r="E1007" s="6" t="s">
        <v>1793</v>
      </c>
      <c r="F1007" s="8" t="s">
        <v>6955</v>
      </c>
      <c r="G1007" s="8" t="s">
        <v>6929</v>
      </c>
      <c r="H1007" s="8" t="s">
        <v>7141</v>
      </c>
    </row>
    <row r="1008" spans="1:8">
      <c r="A1008" s="6" t="s">
        <v>142</v>
      </c>
      <c r="B1008" s="7" t="s">
        <v>1438</v>
      </c>
      <c r="C1008" s="7" t="s">
        <v>1438</v>
      </c>
      <c r="D1008" s="7" t="s">
        <v>1801</v>
      </c>
      <c r="E1008" s="6" t="s">
        <v>1802</v>
      </c>
      <c r="F1008" s="8"/>
      <c r="G1008" s="8"/>
      <c r="H1008" s="8"/>
    </row>
    <row r="1009" spans="1:8">
      <c r="A1009" s="6" t="s">
        <v>142</v>
      </c>
      <c r="B1009" s="7" t="s">
        <v>1858</v>
      </c>
      <c r="C1009" s="7" t="s">
        <v>1858</v>
      </c>
      <c r="D1009" s="7" t="s">
        <v>1859</v>
      </c>
      <c r="E1009" s="6" t="s">
        <v>1860</v>
      </c>
      <c r="F1009" s="8" t="s">
        <v>3334</v>
      </c>
      <c r="G1009" s="8" t="s">
        <v>6944</v>
      </c>
      <c r="H1009" s="8" t="s">
        <v>6940</v>
      </c>
    </row>
    <row r="1010" spans="1:8">
      <c r="A1010" s="6" t="s">
        <v>142</v>
      </c>
      <c r="B1010" s="7" t="s">
        <v>216</v>
      </c>
      <c r="C1010" s="7" t="s">
        <v>216</v>
      </c>
      <c r="D1010" s="7" t="s">
        <v>1877</v>
      </c>
      <c r="E1010" s="6" t="s">
        <v>1878</v>
      </c>
      <c r="F1010" s="8"/>
      <c r="G1010" s="8"/>
      <c r="H1010" s="8"/>
    </row>
    <row r="1011" spans="1:8">
      <c r="A1011" s="6" t="s">
        <v>142</v>
      </c>
      <c r="B1011" s="7" t="s">
        <v>806</v>
      </c>
      <c r="C1011" s="7" t="s">
        <v>806</v>
      </c>
      <c r="D1011" s="7" t="s">
        <v>5508</v>
      </c>
      <c r="E1011" s="6" t="s">
        <v>5509</v>
      </c>
      <c r="F1011" s="8"/>
      <c r="G1011" s="8"/>
      <c r="H1011" s="8"/>
    </row>
    <row r="1012" spans="1:8">
      <c r="A1012" s="6" t="s">
        <v>142</v>
      </c>
      <c r="B1012" s="7" t="s">
        <v>5510</v>
      </c>
      <c r="C1012" s="7" t="s">
        <v>5510</v>
      </c>
      <c r="D1012" s="7" t="s">
        <v>5511</v>
      </c>
      <c r="E1012" s="6" t="s">
        <v>5512</v>
      </c>
      <c r="F1012" s="8" t="s">
        <v>5162</v>
      </c>
      <c r="G1012" s="8" t="s">
        <v>7011</v>
      </c>
      <c r="H1012" s="8" t="s">
        <v>7145</v>
      </c>
    </row>
    <row r="1013" spans="1:8">
      <c r="A1013" s="6" t="s">
        <v>142</v>
      </c>
      <c r="B1013" s="7" t="s">
        <v>5510</v>
      </c>
      <c r="C1013" s="7" t="s">
        <v>5510</v>
      </c>
      <c r="D1013" s="7" t="s">
        <v>5513</v>
      </c>
      <c r="E1013" s="6" t="s">
        <v>5514</v>
      </c>
      <c r="F1013" s="8" t="s">
        <v>5162</v>
      </c>
      <c r="G1013" s="8" t="s">
        <v>7011</v>
      </c>
      <c r="H1013" s="8" t="s">
        <v>7145</v>
      </c>
    </row>
    <row r="1014" spans="1:8">
      <c r="A1014" s="6" t="s">
        <v>142</v>
      </c>
      <c r="B1014" s="7" t="s">
        <v>5515</v>
      </c>
      <c r="C1014" s="7" t="s">
        <v>5515</v>
      </c>
      <c r="D1014" s="7" t="s">
        <v>5516</v>
      </c>
      <c r="E1014" s="6" t="s">
        <v>5517</v>
      </c>
      <c r="F1014" s="8"/>
      <c r="G1014" s="8"/>
      <c r="H1014" s="8"/>
    </row>
    <row r="1015" spans="1:8">
      <c r="A1015" s="6" t="s">
        <v>142</v>
      </c>
      <c r="B1015" s="7" t="s">
        <v>1100</v>
      </c>
      <c r="C1015" s="7" t="s">
        <v>1100</v>
      </c>
      <c r="D1015" s="7" t="s">
        <v>5518</v>
      </c>
      <c r="E1015" s="6" t="s">
        <v>5519</v>
      </c>
      <c r="F1015" s="8" t="s">
        <v>6931</v>
      </c>
      <c r="G1015" s="8" t="s">
        <v>6999</v>
      </c>
      <c r="H1015" s="8" t="s">
        <v>7139</v>
      </c>
    </row>
    <row r="1016" spans="1:8">
      <c r="A1016" s="6" t="s">
        <v>142</v>
      </c>
      <c r="B1016" s="7" t="s">
        <v>5515</v>
      </c>
      <c r="C1016" s="7" t="s">
        <v>5515</v>
      </c>
      <c r="D1016" s="7" t="s">
        <v>5520</v>
      </c>
      <c r="E1016" s="6" t="s">
        <v>5521</v>
      </c>
      <c r="F1016" s="8"/>
      <c r="G1016" s="8"/>
      <c r="H1016" s="8"/>
    </row>
    <row r="1017" spans="1:8">
      <c r="A1017" s="6" t="s">
        <v>142</v>
      </c>
      <c r="B1017" s="7" t="s">
        <v>5515</v>
      </c>
      <c r="C1017" s="7" t="s">
        <v>5515</v>
      </c>
      <c r="D1017" s="7" t="s">
        <v>5522</v>
      </c>
      <c r="E1017" s="6" t="s">
        <v>5523</v>
      </c>
      <c r="F1017" s="8"/>
      <c r="G1017" s="8"/>
      <c r="H1017" s="8"/>
    </row>
    <row r="1018" spans="1:8">
      <c r="A1018" s="6" t="s">
        <v>142</v>
      </c>
      <c r="B1018" s="7" t="s">
        <v>5515</v>
      </c>
      <c r="C1018" s="7" t="s">
        <v>5515</v>
      </c>
      <c r="D1018" s="7" t="s">
        <v>5524</v>
      </c>
      <c r="E1018" s="6" t="s">
        <v>5525</v>
      </c>
      <c r="F1018" s="8"/>
      <c r="G1018" s="8"/>
      <c r="H1018" s="8"/>
    </row>
    <row r="1019" spans="1:8">
      <c r="A1019" s="6" t="s">
        <v>142</v>
      </c>
      <c r="B1019" s="7" t="s">
        <v>5526</v>
      </c>
      <c r="C1019" s="7" t="s">
        <v>5526</v>
      </c>
      <c r="D1019" s="7" t="s">
        <v>5527</v>
      </c>
      <c r="E1019" s="6" t="s">
        <v>5528</v>
      </c>
      <c r="F1019" s="8"/>
      <c r="G1019" s="8"/>
      <c r="H1019" s="8"/>
    </row>
    <row r="1020" spans="1:8">
      <c r="A1020" s="6" t="s">
        <v>142</v>
      </c>
      <c r="B1020" s="7" t="s">
        <v>5529</v>
      </c>
      <c r="C1020" s="7" t="s">
        <v>5530</v>
      </c>
      <c r="D1020" s="7" t="s">
        <v>5531</v>
      </c>
      <c r="E1020" s="6" t="s">
        <v>5532</v>
      </c>
      <c r="F1020" s="8"/>
      <c r="G1020" s="8"/>
      <c r="H1020" s="8"/>
    </row>
    <row r="1021" spans="1:8">
      <c r="A1021" s="6" t="s">
        <v>142</v>
      </c>
      <c r="B1021" s="7" t="s">
        <v>1057</v>
      </c>
      <c r="C1021" s="7" t="s">
        <v>1057</v>
      </c>
      <c r="D1021" s="7" t="s">
        <v>5533</v>
      </c>
      <c r="E1021" s="6" t="s">
        <v>5534</v>
      </c>
      <c r="F1021" s="8"/>
      <c r="G1021" s="8"/>
      <c r="H1021" s="8"/>
    </row>
    <row r="1022" spans="1:8">
      <c r="A1022" s="6" t="s">
        <v>142</v>
      </c>
      <c r="B1022" s="7" t="s">
        <v>362</v>
      </c>
      <c r="C1022" s="7" t="s">
        <v>5535</v>
      </c>
      <c r="D1022" s="7" t="s">
        <v>5536</v>
      </c>
      <c r="E1022" s="6" t="s">
        <v>5537</v>
      </c>
      <c r="F1022" s="8"/>
      <c r="G1022" s="8"/>
      <c r="H1022" s="8"/>
    </row>
    <row r="1023" spans="1:8">
      <c r="A1023" s="6" t="s">
        <v>142</v>
      </c>
      <c r="B1023" s="7" t="s">
        <v>1057</v>
      </c>
      <c r="C1023" s="7" t="s">
        <v>1057</v>
      </c>
      <c r="D1023" s="7" t="s">
        <v>5538</v>
      </c>
      <c r="E1023" s="6" t="s">
        <v>5539</v>
      </c>
      <c r="F1023" s="8"/>
      <c r="G1023" s="8"/>
      <c r="H1023" s="8"/>
    </row>
    <row r="1024" spans="1:8">
      <c r="A1024" s="6" t="s">
        <v>142</v>
      </c>
      <c r="B1024" s="7" t="s">
        <v>1438</v>
      </c>
      <c r="C1024" s="7" t="s">
        <v>1438</v>
      </c>
      <c r="D1024" s="7" t="s">
        <v>5540</v>
      </c>
      <c r="E1024" s="6" t="s">
        <v>5541</v>
      </c>
      <c r="F1024" s="8"/>
      <c r="G1024" s="8"/>
      <c r="H1024" s="8"/>
    </row>
    <row r="1025" spans="1:8">
      <c r="A1025" s="6" t="s">
        <v>142</v>
      </c>
      <c r="B1025" s="7" t="s">
        <v>188</v>
      </c>
      <c r="C1025" s="7" t="s">
        <v>188</v>
      </c>
      <c r="D1025" s="7" t="s">
        <v>6631</v>
      </c>
      <c r="E1025" s="6" t="s">
        <v>6632</v>
      </c>
      <c r="F1025" s="8" t="s">
        <v>5162</v>
      </c>
      <c r="G1025" s="8" t="s">
        <v>6929</v>
      </c>
      <c r="H1025" s="8" t="s">
        <v>7140</v>
      </c>
    </row>
    <row r="1026" spans="1:8">
      <c r="A1026" s="6" t="s">
        <v>142</v>
      </c>
      <c r="B1026" s="7" t="s">
        <v>6633</v>
      </c>
      <c r="C1026" s="7" t="s">
        <v>6633</v>
      </c>
      <c r="D1026" s="7" t="s">
        <v>6634</v>
      </c>
      <c r="E1026" s="6" t="s">
        <v>6635</v>
      </c>
      <c r="F1026" s="8" t="s">
        <v>7142</v>
      </c>
      <c r="G1026" s="8" t="s">
        <v>6953</v>
      </c>
      <c r="H1026" s="8" t="s">
        <v>7057</v>
      </c>
    </row>
    <row r="1027" spans="1:8">
      <c r="A1027" s="6" t="s">
        <v>142</v>
      </c>
      <c r="B1027" s="7" t="s">
        <v>216</v>
      </c>
      <c r="C1027" s="7" t="s">
        <v>216</v>
      </c>
      <c r="D1027" s="7" t="s">
        <v>6636</v>
      </c>
      <c r="E1027" s="6" t="s">
        <v>6637</v>
      </c>
      <c r="F1027" s="8" t="s">
        <v>6931</v>
      </c>
      <c r="G1027" s="8" t="s">
        <v>7018</v>
      </c>
      <c r="H1027" s="8" t="s">
        <v>7146</v>
      </c>
    </row>
    <row r="1028" spans="1:8">
      <c r="A1028" s="6" t="s">
        <v>142</v>
      </c>
      <c r="B1028" s="7" t="s">
        <v>216</v>
      </c>
      <c r="C1028" s="7" t="s">
        <v>216</v>
      </c>
      <c r="D1028" s="7" t="s">
        <v>6638</v>
      </c>
      <c r="E1028" s="6" t="s">
        <v>6639</v>
      </c>
      <c r="F1028" s="8" t="s">
        <v>6931</v>
      </c>
      <c r="G1028" s="8" t="s">
        <v>7018</v>
      </c>
      <c r="H1028" s="8" t="s">
        <v>7146</v>
      </c>
    </row>
    <row r="1029" spans="1:8">
      <c r="A1029" s="6" t="s">
        <v>142</v>
      </c>
      <c r="B1029" s="7" t="s">
        <v>216</v>
      </c>
      <c r="C1029" s="7" t="s">
        <v>216</v>
      </c>
      <c r="D1029" s="7" t="s">
        <v>6640</v>
      </c>
      <c r="E1029" s="6" t="s">
        <v>6641</v>
      </c>
      <c r="F1029" s="8" t="s">
        <v>6931</v>
      </c>
      <c r="G1029" s="8" t="s">
        <v>7018</v>
      </c>
      <c r="H1029" s="8" t="s">
        <v>7146</v>
      </c>
    </row>
    <row r="1030" spans="1:8">
      <c r="A1030" s="6" t="s">
        <v>142</v>
      </c>
      <c r="B1030" s="7" t="s">
        <v>6642</v>
      </c>
      <c r="C1030" s="7" t="s">
        <v>6642</v>
      </c>
      <c r="D1030" s="7" t="s">
        <v>6643</v>
      </c>
      <c r="E1030" s="6" t="s">
        <v>2331</v>
      </c>
      <c r="F1030" s="8"/>
      <c r="G1030" s="8"/>
      <c r="H1030" s="8"/>
    </row>
    <row r="1031" spans="1:8">
      <c r="A1031" s="6" t="s">
        <v>142</v>
      </c>
      <c r="B1031" s="7" t="s">
        <v>6644</v>
      </c>
      <c r="C1031" s="7" t="s">
        <v>6645</v>
      </c>
      <c r="D1031" s="7" t="s">
        <v>6646</v>
      </c>
      <c r="E1031" s="6" t="s">
        <v>6647</v>
      </c>
      <c r="F1031" s="8"/>
      <c r="G1031" s="8"/>
      <c r="H1031" s="8"/>
    </row>
    <row r="1032" spans="1:8">
      <c r="A1032" s="6" t="s">
        <v>142</v>
      </c>
      <c r="B1032" s="7" t="s">
        <v>6644</v>
      </c>
      <c r="C1032" s="7" t="s">
        <v>6648</v>
      </c>
      <c r="D1032" s="7" t="s">
        <v>6649</v>
      </c>
      <c r="E1032" s="6" t="s">
        <v>6650</v>
      </c>
      <c r="F1032" s="8"/>
      <c r="G1032" s="8"/>
      <c r="H1032" s="8"/>
    </row>
    <row r="1033" spans="1:8">
      <c r="A1033" s="6" t="s">
        <v>142</v>
      </c>
      <c r="B1033" s="7" t="s">
        <v>5510</v>
      </c>
      <c r="C1033" s="7" t="s">
        <v>5510</v>
      </c>
      <c r="D1033" s="7" t="s">
        <v>6651</v>
      </c>
      <c r="E1033" s="6" t="s">
        <v>6652</v>
      </c>
      <c r="F1033" s="8"/>
      <c r="G1033" s="8"/>
      <c r="H1033" s="8"/>
    </row>
    <row r="1034" spans="1:8">
      <c r="A1034" s="6" t="s">
        <v>142</v>
      </c>
      <c r="B1034" s="7" t="s">
        <v>6644</v>
      </c>
      <c r="C1034" s="7" t="s">
        <v>6645</v>
      </c>
      <c r="D1034" s="7" t="s">
        <v>6653</v>
      </c>
      <c r="E1034" s="6" t="s">
        <v>6654</v>
      </c>
      <c r="F1034" s="8"/>
      <c r="G1034" s="8"/>
      <c r="H1034" s="8"/>
    </row>
    <row r="1035" spans="1:8">
      <c r="A1035" s="6" t="s">
        <v>142</v>
      </c>
      <c r="B1035" s="7" t="s">
        <v>1481</v>
      </c>
      <c r="C1035" s="7" t="s">
        <v>1481</v>
      </c>
      <c r="D1035" s="7" t="s">
        <v>6655</v>
      </c>
      <c r="E1035" s="6" t="s">
        <v>2066</v>
      </c>
      <c r="F1035" s="8"/>
      <c r="G1035" s="8"/>
      <c r="H1035" s="8"/>
    </row>
    <row r="1036" spans="1:8">
      <c r="A1036" s="6" t="s">
        <v>142</v>
      </c>
      <c r="B1036" s="7" t="s">
        <v>1858</v>
      </c>
      <c r="C1036" s="7" t="s">
        <v>1858</v>
      </c>
      <c r="D1036" s="7" t="s">
        <v>6656</v>
      </c>
      <c r="E1036" s="6" t="s">
        <v>6657</v>
      </c>
      <c r="F1036" s="8"/>
      <c r="G1036" s="8"/>
      <c r="H1036" s="8"/>
    </row>
    <row r="1037" spans="1:8">
      <c r="A1037" s="6" t="s">
        <v>142</v>
      </c>
      <c r="B1037" s="7" t="s">
        <v>6658</v>
      </c>
      <c r="C1037" s="7" t="s">
        <v>6658</v>
      </c>
      <c r="D1037" s="7" t="s">
        <v>6659</v>
      </c>
      <c r="E1037" s="6" t="s">
        <v>6660</v>
      </c>
      <c r="F1037" s="8"/>
      <c r="G1037" s="8"/>
      <c r="H1037" s="8"/>
    </row>
    <row r="1038" spans="1:8">
      <c r="A1038" s="6" t="s">
        <v>142</v>
      </c>
      <c r="B1038" s="7" t="s">
        <v>6661</v>
      </c>
      <c r="C1038" s="7" t="s">
        <v>6661</v>
      </c>
      <c r="D1038" s="7" t="s">
        <v>6662</v>
      </c>
      <c r="E1038" s="6" t="s">
        <v>6663</v>
      </c>
      <c r="F1038" s="8"/>
      <c r="G1038" s="8"/>
      <c r="H1038" s="8"/>
    </row>
    <row r="1039" spans="1:8">
      <c r="A1039" s="6" t="s">
        <v>142</v>
      </c>
      <c r="B1039" s="7" t="s">
        <v>6664</v>
      </c>
      <c r="C1039" s="7" t="s">
        <v>6664</v>
      </c>
      <c r="D1039" s="7" t="s">
        <v>6665</v>
      </c>
      <c r="E1039" s="6" t="s">
        <v>6666</v>
      </c>
      <c r="F1039" s="8"/>
      <c r="G1039" s="8"/>
      <c r="H1039" s="8"/>
    </row>
    <row r="1040" spans="1:8">
      <c r="A1040" s="6" t="s">
        <v>142</v>
      </c>
      <c r="B1040" s="7" t="s">
        <v>188</v>
      </c>
      <c r="C1040" s="7" t="s">
        <v>188</v>
      </c>
      <c r="D1040" s="7" t="s">
        <v>6667</v>
      </c>
      <c r="E1040" s="6" t="s">
        <v>6668</v>
      </c>
      <c r="F1040" s="8"/>
      <c r="G1040" s="8"/>
      <c r="H1040" s="8"/>
    </row>
    <row r="1041" spans="1:8">
      <c r="A1041" s="6" t="s">
        <v>142</v>
      </c>
      <c r="B1041" s="7" t="s">
        <v>188</v>
      </c>
      <c r="C1041" s="7" t="s">
        <v>188</v>
      </c>
      <c r="D1041" s="7" t="s">
        <v>6669</v>
      </c>
      <c r="E1041" s="6" t="s">
        <v>6670</v>
      </c>
      <c r="F1041" s="8"/>
      <c r="G1041" s="8"/>
      <c r="H1041" s="8"/>
    </row>
    <row r="1042" spans="1:8">
      <c r="A1042" s="6" t="s">
        <v>142</v>
      </c>
      <c r="B1042" s="7" t="s">
        <v>6661</v>
      </c>
      <c r="C1042" s="7" t="s">
        <v>6661</v>
      </c>
      <c r="D1042" s="7" t="s">
        <v>6671</v>
      </c>
      <c r="E1042" s="6" t="s">
        <v>6672</v>
      </c>
      <c r="F1042" s="8"/>
      <c r="G1042" s="8"/>
      <c r="H1042" s="8"/>
    </row>
    <row r="1043" spans="1:8">
      <c r="A1043" s="6" t="s">
        <v>142</v>
      </c>
      <c r="B1043" s="7" t="s">
        <v>188</v>
      </c>
      <c r="C1043" s="7" t="s">
        <v>188</v>
      </c>
      <c r="D1043" s="7" t="s">
        <v>6673</v>
      </c>
      <c r="E1043" s="6" t="s">
        <v>6674</v>
      </c>
      <c r="F1043" s="8"/>
      <c r="G1043" s="8"/>
      <c r="H1043" s="8"/>
    </row>
    <row r="1044" spans="1:8">
      <c r="A1044" s="6" t="s">
        <v>142</v>
      </c>
      <c r="B1044" s="7" t="s">
        <v>188</v>
      </c>
      <c r="C1044" s="7" t="s">
        <v>188</v>
      </c>
      <c r="D1044" s="7" t="s">
        <v>6675</v>
      </c>
      <c r="E1044" s="6" t="s">
        <v>6676</v>
      </c>
      <c r="F1044" s="8"/>
      <c r="G1044" s="8"/>
      <c r="H1044" s="8"/>
    </row>
    <row r="1045" spans="1:8">
      <c r="A1045" s="6" t="s">
        <v>142</v>
      </c>
      <c r="B1045" s="7" t="s">
        <v>1791</v>
      </c>
      <c r="C1045" s="7" t="s">
        <v>1791</v>
      </c>
      <c r="D1045" s="7" t="s">
        <v>6677</v>
      </c>
      <c r="E1045" s="6" t="s">
        <v>6678</v>
      </c>
      <c r="F1045" s="8"/>
      <c r="G1045" s="8"/>
      <c r="H1045" s="8"/>
    </row>
    <row r="1046" spans="1:8">
      <c r="A1046" s="6" t="s">
        <v>142</v>
      </c>
      <c r="B1046" s="7" t="s">
        <v>188</v>
      </c>
      <c r="C1046" s="7" t="s">
        <v>188</v>
      </c>
      <c r="D1046" s="7" t="s">
        <v>6679</v>
      </c>
      <c r="E1046" s="6" t="s">
        <v>2233</v>
      </c>
      <c r="F1046" s="8"/>
      <c r="G1046" s="8"/>
      <c r="H1046" s="8"/>
    </row>
    <row r="1047" spans="1:8">
      <c r="A1047" s="6" t="s">
        <v>142</v>
      </c>
      <c r="B1047" s="7" t="s">
        <v>188</v>
      </c>
      <c r="C1047" s="7" t="s">
        <v>188</v>
      </c>
      <c r="D1047" s="7" t="s">
        <v>6680</v>
      </c>
      <c r="E1047" s="6" t="s">
        <v>6681</v>
      </c>
      <c r="F1047" s="8"/>
      <c r="G1047" s="8"/>
      <c r="H1047" s="8"/>
    </row>
    <row r="1048" spans="1:8">
      <c r="A1048" s="6" t="s">
        <v>142</v>
      </c>
      <c r="B1048" s="7" t="s">
        <v>6682</v>
      </c>
      <c r="C1048" s="7" t="s">
        <v>6682</v>
      </c>
      <c r="D1048" s="7" t="s">
        <v>6683</v>
      </c>
      <c r="E1048" s="6" t="s">
        <v>6684</v>
      </c>
      <c r="F1048" s="8"/>
      <c r="G1048" s="8"/>
      <c r="H1048" s="8"/>
    </row>
    <row r="1049" spans="1:8">
      <c r="A1049" s="6" t="s">
        <v>142</v>
      </c>
      <c r="B1049" s="7" t="s">
        <v>6685</v>
      </c>
      <c r="C1049" s="7" t="s">
        <v>6685</v>
      </c>
      <c r="D1049" s="7" t="s">
        <v>6686</v>
      </c>
      <c r="E1049" s="6" t="s">
        <v>6687</v>
      </c>
      <c r="F1049" s="8" t="s">
        <v>3334</v>
      </c>
      <c r="G1049" s="8" t="s">
        <v>6929</v>
      </c>
      <c r="H1049" s="8" t="s">
        <v>6951</v>
      </c>
    </row>
    <row r="1050" spans="1:8">
      <c r="A1050" s="6" t="s">
        <v>142</v>
      </c>
      <c r="B1050" s="7" t="s">
        <v>285</v>
      </c>
      <c r="C1050" s="7" t="s">
        <v>6688</v>
      </c>
      <c r="D1050" s="7" t="s">
        <v>6689</v>
      </c>
      <c r="E1050" s="6" t="s">
        <v>6690</v>
      </c>
      <c r="F1050" s="8"/>
      <c r="G1050" s="8"/>
      <c r="H1050" s="8"/>
    </row>
    <row r="1051" spans="1:8">
      <c r="A1051" s="6" t="s">
        <v>142</v>
      </c>
      <c r="B1051" s="7" t="s">
        <v>188</v>
      </c>
      <c r="C1051" s="7" t="s">
        <v>188</v>
      </c>
      <c r="D1051" s="7" t="s">
        <v>6691</v>
      </c>
      <c r="E1051" s="6" t="s">
        <v>6692</v>
      </c>
      <c r="F1051" s="8"/>
      <c r="G1051" s="8"/>
      <c r="H1051" s="8"/>
    </row>
    <row r="1052" spans="1:8">
      <c r="A1052" s="6" t="s">
        <v>142</v>
      </c>
      <c r="B1052" s="7" t="s">
        <v>285</v>
      </c>
      <c r="C1052" s="7" t="s">
        <v>6693</v>
      </c>
      <c r="D1052" s="7" t="s">
        <v>6694</v>
      </c>
      <c r="E1052" s="6" t="s">
        <v>6695</v>
      </c>
      <c r="F1052" s="8"/>
      <c r="G1052" s="8"/>
      <c r="H1052" s="8"/>
    </row>
    <row r="1053" spans="1:8">
      <c r="A1053" s="6" t="s">
        <v>142</v>
      </c>
      <c r="B1053" s="7" t="s">
        <v>6696</v>
      </c>
      <c r="C1053" s="7" t="s">
        <v>6696</v>
      </c>
      <c r="D1053" s="7" t="s">
        <v>6697</v>
      </c>
      <c r="E1053" s="6" t="s">
        <v>6698</v>
      </c>
      <c r="F1053" s="8"/>
      <c r="G1053" s="8"/>
      <c r="H1053" s="8"/>
    </row>
    <row r="1054" spans="1:8">
      <c r="A1054" s="6" t="s">
        <v>142</v>
      </c>
      <c r="B1054" s="7" t="s">
        <v>6699</v>
      </c>
      <c r="C1054" s="7" t="s">
        <v>6699</v>
      </c>
      <c r="D1054" s="7" t="s">
        <v>6700</v>
      </c>
      <c r="E1054" s="6" t="s">
        <v>6701</v>
      </c>
      <c r="F1054" s="8"/>
      <c r="G1054" s="8"/>
      <c r="H1054" s="8"/>
    </row>
    <row r="1055" spans="1:8">
      <c r="A1055" s="6" t="s">
        <v>142</v>
      </c>
      <c r="B1055" s="7" t="s">
        <v>6699</v>
      </c>
      <c r="C1055" s="7" t="s">
        <v>6699</v>
      </c>
      <c r="D1055" s="7" t="s">
        <v>6702</v>
      </c>
      <c r="E1055" s="6" t="s">
        <v>6703</v>
      </c>
      <c r="F1055" s="8"/>
      <c r="G1055" s="8"/>
      <c r="H1055" s="8"/>
    </row>
    <row r="1056" spans="1:8">
      <c r="A1056" s="6" t="s">
        <v>142</v>
      </c>
      <c r="B1056" s="7" t="s">
        <v>6699</v>
      </c>
      <c r="C1056" s="7" t="s">
        <v>6699</v>
      </c>
      <c r="D1056" s="7" t="s">
        <v>6704</v>
      </c>
      <c r="E1056" s="6" t="s">
        <v>6705</v>
      </c>
      <c r="F1056" s="8"/>
      <c r="G1056" s="8"/>
      <c r="H1056" s="8"/>
    </row>
    <row r="1057" spans="1:8">
      <c r="A1057" s="6" t="s">
        <v>142</v>
      </c>
      <c r="B1057" s="7" t="s">
        <v>6706</v>
      </c>
      <c r="C1057" s="7" t="s">
        <v>6706</v>
      </c>
      <c r="D1057" s="7" t="s">
        <v>6707</v>
      </c>
      <c r="E1057" s="6" t="s">
        <v>6708</v>
      </c>
      <c r="F1057" s="8"/>
      <c r="G1057" s="8"/>
      <c r="H1057" s="8"/>
    </row>
    <row r="1058" spans="1:8">
      <c r="A1058" s="6" t="s">
        <v>142</v>
      </c>
      <c r="B1058" s="7" t="s">
        <v>6706</v>
      </c>
      <c r="C1058" s="7" t="s">
        <v>6706</v>
      </c>
      <c r="D1058" s="7" t="s">
        <v>6709</v>
      </c>
      <c r="E1058" s="6" t="s">
        <v>6708</v>
      </c>
      <c r="F1058" s="8" t="s">
        <v>6931</v>
      </c>
      <c r="G1058" s="8" t="s">
        <v>6929</v>
      </c>
      <c r="H1058" s="8" t="s">
        <v>6951</v>
      </c>
    </row>
    <row r="1059" spans="1:8">
      <c r="A1059" s="6" t="s">
        <v>142</v>
      </c>
      <c r="B1059" s="7" t="s">
        <v>6710</v>
      </c>
      <c r="C1059" s="7" t="s">
        <v>6710</v>
      </c>
      <c r="D1059" s="7" t="s">
        <v>6711</v>
      </c>
      <c r="E1059" s="6" t="s">
        <v>6712</v>
      </c>
      <c r="F1059" s="8"/>
      <c r="G1059" s="8"/>
      <c r="H1059" s="8"/>
    </row>
    <row r="1060" spans="1:8">
      <c r="A1060" s="6" t="s">
        <v>142</v>
      </c>
      <c r="B1060" s="7" t="s">
        <v>6713</v>
      </c>
      <c r="C1060" s="7" t="s">
        <v>6713</v>
      </c>
      <c r="D1060" s="7" t="s">
        <v>6714</v>
      </c>
      <c r="E1060" s="6" t="s">
        <v>6715</v>
      </c>
      <c r="F1060" s="8"/>
      <c r="G1060" s="8"/>
      <c r="H1060" s="8"/>
    </row>
    <row r="1061" spans="1:8">
      <c r="A1061" s="6" t="s">
        <v>142</v>
      </c>
      <c r="B1061" s="7" t="s">
        <v>6716</v>
      </c>
      <c r="C1061" s="7" t="s">
        <v>6716</v>
      </c>
      <c r="D1061" s="7" t="s">
        <v>6717</v>
      </c>
      <c r="E1061" s="6" t="s">
        <v>1585</v>
      </c>
      <c r="F1061" s="8"/>
      <c r="G1061" s="8"/>
      <c r="H1061" s="8"/>
    </row>
    <row r="1062" spans="1:8">
      <c r="A1062" s="6" t="s">
        <v>142</v>
      </c>
      <c r="B1062" s="7" t="s">
        <v>6718</v>
      </c>
      <c r="C1062" s="7" t="s">
        <v>6718</v>
      </c>
      <c r="D1062" s="7" t="s">
        <v>6719</v>
      </c>
      <c r="E1062" s="6" t="s">
        <v>4355</v>
      </c>
      <c r="F1062" s="8"/>
      <c r="G1062" s="8"/>
      <c r="H1062" s="8"/>
    </row>
    <row r="1063" spans="1:8">
      <c r="A1063" s="6" t="s">
        <v>142</v>
      </c>
      <c r="B1063" s="7" t="s">
        <v>6664</v>
      </c>
      <c r="C1063" s="7" t="s">
        <v>6664</v>
      </c>
      <c r="D1063" s="7" t="s">
        <v>6720</v>
      </c>
      <c r="E1063" s="6" t="s">
        <v>6721</v>
      </c>
      <c r="F1063" s="8" t="s">
        <v>6939</v>
      </c>
      <c r="G1063" s="8" t="s">
        <v>6929</v>
      </c>
      <c r="H1063" s="8" t="s">
        <v>6954</v>
      </c>
    </row>
    <row r="1064" spans="1:8">
      <c r="A1064" s="6" t="s">
        <v>142</v>
      </c>
      <c r="B1064" s="7" t="s">
        <v>3326</v>
      </c>
      <c r="C1064" s="7" t="s">
        <v>3326</v>
      </c>
      <c r="D1064" s="7" t="s">
        <v>6722</v>
      </c>
      <c r="E1064" s="6" t="s">
        <v>913</v>
      </c>
      <c r="F1064" s="8"/>
      <c r="G1064" s="8"/>
      <c r="H1064" s="8"/>
    </row>
    <row r="1065" spans="1:8">
      <c r="A1065" s="6" t="s">
        <v>142</v>
      </c>
      <c r="B1065" s="7" t="s">
        <v>3326</v>
      </c>
      <c r="C1065" s="7" t="s">
        <v>3326</v>
      </c>
      <c r="D1065" s="7" t="s">
        <v>6723</v>
      </c>
      <c r="E1065" s="6" t="s">
        <v>6724</v>
      </c>
      <c r="F1065" s="8"/>
      <c r="G1065" s="8"/>
      <c r="H1065" s="8"/>
    </row>
    <row r="1066" spans="1:8">
      <c r="A1066" s="6" t="s">
        <v>142</v>
      </c>
      <c r="B1066" s="7" t="s">
        <v>3326</v>
      </c>
      <c r="C1066" s="7" t="s">
        <v>3326</v>
      </c>
      <c r="D1066" s="7" t="s">
        <v>6725</v>
      </c>
      <c r="E1066" s="6" t="s">
        <v>6726</v>
      </c>
      <c r="F1066" s="8"/>
      <c r="G1066" s="8"/>
      <c r="H1066" s="8"/>
    </row>
    <row r="1067" spans="1:8">
      <c r="A1067" s="6" t="s">
        <v>142</v>
      </c>
      <c r="B1067" s="7" t="s">
        <v>1100</v>
      </c>
      <c r="C1067" s="7" t="s">
        <v>1100</v>
      </c>
      <c r="D1067" s="7" t="s">
        <v>6727</v>
      </c>
      <c r="E1067" s="6" t="s">
        <v>6728</v>
      </c>
      <c r="F1067" s="8"/>
      <c r="G1067" s="8"/>
      <c r="H1067" s="8"/>
    </row>
    <row r="1068" spans="1:8">
      <c r="A1068" s="6" t="s">
        <v>142</v>
      </c>
      <c r="B1068" s="7" t="s">
        <v>1100</v>
      </c>
      <c r="C1068" s="7" t="s">
        <v>1100</v>
      </c>
      <c r="D1068" s="7" t="s">
        <v>6729</v>
      </c>
      <c r="E1068" s="6" t="s">
        <v>6730</v>
      </c>
      <c r="F1068" s="8"/>
      <c r="G1068" s="8"/>
      <c r="H1068" s="8"/>
    </row>
    <row r="1069" spans="1:8">
      <c r="A1069" s="6" t="s">
        <v>142</v>
      </c>
      <c r="B1069" s="7" t="s">
        <v>1100</v>
      </c>
      <c r="C1069" s="7" t="s">
        <v>1100</v>
      </c>
      <c r="D1069" s="7" t="s">
        <v>6731</v>
      </c>
      <c r="E1069" s="6" t="s">
        <v>6732</v>
      </c>
      <c r="F1069" s="8"/>
      <c r="G1069" s="8"/>
      <c r="H1069" s="8"/>
    </row>
    <row r="1070" spans="1:8">
      <c r="A1070" s="6" t="s">
        <v>142</v>
      </c>
      <c r="B1070" s="7" t="s">
        <v>1100</v>
      </c>
      <c r="C1070" s="7" t="s">
        <v>1100</v>
      </c>
      <c r="D1070" s="7" t="s">
        <v>6733</v>
      </c>
      <c r="E1070" s="6" t="s">
        <v>6734</v>
      </c>
      <c r="F1070" s="8"/>
      <c r="G1070" s="8"/>
      <c r="H1070" s="8"/>
    </row>
    <row r="1071" spans="1:8">
      <c r="A1071" s="6" t="s">
        <v>142</v>
      </c>
      <c r="B1071" s="7" t="s">
        <v>1100</v>
      </c>
      <c r="C1071" s="7" t="s">
        <v>1100</v>
      </c>
      <c r="D1071" s="7" t="s">
        <v>6735</v>
      </c>
      <c r="E1071" s="6" t="s">
        <v>277</v>
      </c>
      <c r="F1071" s="8"/>
      <c r="G1071" s="8"/>
      <c r="H1071" s="8"/>
    </row>
    <row r="1072" spans="1:8">
      <c r="A1072" s="6" t="s">
        <v>142</v>
      </c>
      <c r="B1072" s="7" t="s">
        <v>6736</v>
      </c>
      <c r="C1072" s="7" t="s">
        <v>6736</v>
      </c>
      <c r="D1072" s="7" t="s">
        <v>6737</v>
      </c>
      <c r="E1072" s="6" t="s">
        <v>6738</v>
      </c>
      <c r="F1072" s="8"/>
      <c r="G1072" s="8"/>
      <c r="H1072" s="8"/>
    </row>
    <row r="1073" spans="1:8">
      <c r="A1073" s="6" t="s">
        <v>142</v>
      </c>
      <c r="B1073" s="7" t="s">
        <v>6736</v>
      </c>
      <c r="C1073" s="7" t="s">
        <v>6736</v>
      </c>
      <c r="D1073" s="7" t="s">
        <v>6739</v>
      </c>
      <c r="E1073" s="6" t="s">
        <v>6740</v>
      </c>
      <c r="F1073" s="8"/>
      <c r="G1073" s="8"/>
      <c r="H1073" s="8"/>
    </row>
    <row r="1074" spans="1:8">
      <c r="A1074" s="6" t="s">
        <v>142</v>
      </c>
      <c r="B1074" s="7" t="s">
        <v>1438</v>
      </c>
      <c r="C1074" s="7" t="s">
        <v>1438</v>
      </c>
      <c r="D1074" s="7" t="s">
        <v>6741</v>
      </c>
      <c r="E1074" s="6" t="s">
        <v>6742</v>
      </c>
      <c r="F1074" s="8" t="s">
        <v>6955</v>
      </c>
      <c r="G1074" s="8" t="s">
        <v>6953</v>
      </c>
      <c r="H1074" s="8" t="s">
        <v>6940</v>
      </c>
    </row>
    <row r="1075" spans="1:8">
      <c r="A1075" s="6" t="s">
        <v>142</v>
      </c>
      <c r="B1075" s="7" t="s">
        <v>1438</v>
      </c>
      <c r="C1075" s="7" t="s">
        <v>1438</v>
      </c>
      <c r="D1075" s="7" t="s">
        <v>6743</v>
      </c>
      <c r="E1075" s="6" t="s">
        <v>6744</v>
      </c>
      <c r="F1075" s="8" t="s">
        <v>6955</v>
      </c>
      <c r="G1075" s="8" t="s">
        <v>6953</v>
      </c>
      <c r="H1075" s="8" t="s">
        <v>6940</v>
      </c>
    </row>
    <row r="1076" spans="1:8">
      <c r="A1076" s="6" t="s">
        <v>142</v>
      </c>
      <c r="B1076" s="7" t="s">
        <v>1438</v>
      </c>
      <c r="C1076" s="7" t="s">
        <v>1438</v>
      </c>
      <c r="D1076" s="7" t="s">
        <v>6745</v>
      </c>
      <c r="E1076" s="6" t="s">
        <v>6746</v>
      </c>
      <c r="F1076" s="8" t="s">
        <v>6957</v>
      </c>
      <c r="G1076" s="8" t="s">
        <v>6944</v>
      </c>
      <c r="H1076" s="8" t="s">
        <v>6951</v>
      </c>
    </row>
    <row r="1077" spans="1:8">
      <c r="A1077" s="6" t="s">
        <v>142</v>
      </c>
      <c r="B1077" s="7" t="s">
        <v>1438</v>
      </c>
      <c r="C1077" s="7" t="s">
        <v>1438</v>
      </c>
      <c r="D1077" s="7" t="s">
        <v>6747</v>
      </c>
      <c r="E1077" s="6" t="s">
        <v>6748</v>
      </c>
      <c r="F1077" s="8" t="s">
        <v>6955</v>
      </c>
      <c r="G1077" s="8" t="s">
        <v>6953</v>
      </c>
      <c r="H1077" s="8" t="s">
        <v>6940</v>
      </c>
    </row>
    <row r="1078" spans="1:8">
      <c r="A1078" s="6" t="s">
        <v>142</v>
      </c>
      <c r="B1078" s="7" t="s">
        <v>1438</v>
      </c>
      <c r="C1078" s="7" t="s">
        <v>1438</v>
      </c>
      <c r="D1078" s="7" t="s">
        <v>6749</v>
      </c>
      <c r="E1078" s="6" t="s">
        <v>6750</v>
      </c>
      <c r="F1078" s="8" t="s">
        <v>6955</v>
      </c>
      <c r="G1078" s="8" t="s">
        <v>6953</v>
      </c>
      <c r="H1078" s="8" t="s">
        <v>6940</v>
      </c>
    </row>
    <row r="1079" spans="1:8">
      <c r="A1079" s="6" t="s">
        <v>142</v>
      </c>
      <c r="B1079" s="7" t="s">
        <v>1438</v>
      </c>
      <c r="C1079" s="7" t="s">
        <v>1438</v>
      </c>
      <c r="D1079" s="7" t="s">
        <v>6751</v>
      </c>
      <c r="E1079" s="6" t="s">
        <v>6752</v>
      </c>
      <c r="F1079" s="8" t="s">
        <v>6955</v>
      </c>
      <c r="G1079" s="8" t="s">
        <v>6953</v>
      </c>
      <c r="H1079" s="8" t="s">
        <v>6940</v>
      </c>
    </row>
    <row r="1080" spans="1:8">
      <c r="A1080" s="6" t="s">
        <v>142</v>
      </c>
      <c r="B1080" s="7" t="s">
        <v>1438</v>
      </c>
      <c r="C1080" s="7" t="s">
        <v>1438</v>
      </c>
      <c r="D1080" s="7" t="s">
        <v>6753</v>
      </c>
      <c r="E1080" s="6" t="s">
        <v>6754</v>
      </c>
      <c r="F1080" s="8" t="s">
        <v>6955</v>
      </c>
      <c r="G1080" s="8" t="s">
        <v>6953</v>
      </c>
      <c r="H1080" s="8" t="s">
        <v>6940</v>
      </c>
    </row>
    <row r="1081" spans="1:8">
      <c r="A1081" s="6" t="s">
        <v>142</v>
      </c>
      <c r="B1081" s="7" t="s">
        <v>1438</v>
      </c>
      <c r="C1081" s="7" t="s">
        <v>1438</v>
      </c>
      <c r="D1081" s="7" t="s">
        <v>6755</v>
      </c>
      <c r="E1081" s="6" t="s">
        <v>6756</v>
      </c>
      <c r="F1081" s="8" t="s">
        <v>6955</v>
      </c>
      <c r="G1081" s="8" t="s">
        <v>6953</v>
      </c>
      <c r="H1081" s="8" t="s">
        <v>6940</v>
      </c>
    </row>
    <row r="1082" spans="1:8">
      <c r="A1082" s="6" t="s">
        <v>142</v>
      </c>
      <c r="B1082" s="7" t="s">
        <v>1791</v>
      </c>
      <c r="C1082" s="7" t="s">
        <v>1791</v>
      </c>
      <c r="D1082" s="7" t="s">
        <v>6757</v>
      </c>
      <c r="E1082" s="6" t="s">
        <v>575</v>
      </c>
      <c r="F1082" s="8"/>
      <c r="G1082" s="8"/>
      <c r="H1082" s="8"/>
    </row>
    <row r="1083" spans="1:8">
      <c r="A1083" s="6" t="s">
        <v>142</v>
      </c>
      <c r="B1083" s="7" t="s">
        <v>1357</v>
      </c>
      <c r="C1083" s="7" t="s">
        <v>1357</v>
      </c>
      <c r="D1083" s="7" t="s">
        <v>6758</v>
      </c>
      <c r="E1083" s="6" t="s">
        <v>2022</v>
      </c>
      <c r="F1083" s="8"/>
      <c r="G1083" s="8"/>
      <c r="H1083" s="8"/>
    </row>
    <row r="1084" spans="1:8">
      <c r="A1084" s="6" t="s">
        <v>142</v>
      </c>
      <c r="B1084" s="7" t="s">
        <v>1791</v>
      </c>
      <c r="C1084" s="7" t="s">
        <v>1791</v>
      </c>
      <c r="D1084" s="7" t="s">
        <v>6759</v>
      </c>
      <c r="E1084" s="6" t="s">
        <v>6760</v>
      </c>
      <c r="F1084" s="8"/>
      <c r="G1084" s="8"/>
      <c r="H1084" s="8"/>
    </row>
    <row r="1085" spans="1:8">
      <c r="A1085" s="6" t="s">
        <v>142</v>
      </c>
      <c r="B1085" s="7" t="s">
        <v>1357</v>
      </c>
      <c r="C1085" s="7" t="s">
        <v>1357</v>
      </c>
      <c r="D1085" s="7" t="s">
        <v>6761</v>
      </c>
      <c r="E1085" s="6" t="s">
        <v>6762</v>
      </c>
      <c r="F1085" s="8"/>
      <c r="G1085" s="8"/>
      <c r="H1085" s="8"/>
    </row>
    <row r="1086" spans="1:8">
      <c r="A1086" s="6" t="s">
        <v>142</v>
      </c>
      <c r="B1086" s="7" t="s">
        <v>1357</v>
      </c>
      <c r="C1086" s="7" t="s">
        <v>1357</v>
      </c>
      <c r="D1086" s="7" t="s">
        <v>6763</v>
      </c>
      <c r="E1086" s="6" t="s">
        <v>782</v>
      </c>
      <c r="F1086" s="8"/>
      <c r="G1086" s="8"/>
      <c r="H1086" s="8"/>
    </row>
    <row r="1087" spans="1:8">
      <c r="A1087" s="6" t="s">
        <v>142</v>
      </c>
      <c r="B1087" s="7" t="s">
        <v>1791</v>
      </c>
      <c r="C1087" s="7" t="s">
        <v>1791</v>
      </c>
      <c r="D1087" s="7" t="s">
        <v>6764</v>
      </c>
      <c r="E1087" s="6" t="s">
        <v>6312</v>
      </c>
      <c r="F1087" s="8"/>
      <c r="G1087" s="8"/>
      <c r="H1087" s="8"/>
    </row>
    <row r="1088" spans="1:8">
      <c r="A1088" s="6" t="s">
        <v>142</v>
      </c>
      <c r="B1088" s="7" t="s">
        <v>1791</v>
      </c>
      <c r="C1088" s="7" t="s">
        <v>1791</v>
      </c>
      <c r="D1088" s="7" t="s">
        <v>6765</v>
      </c>
      <c r="E1088" s="6" t="s">
        <v>6766</v>
      </c>
      <c r="F1088" s="8"/>
      <c r="G1088" s="8"/>
      <c r="H1088" s="8"/>
    </row>
    <row r="1089" spans="1:8">
      <c r="A1089" s="6" t="s">
        <v>142</v>
      </c>
      <c r="B1089" s="7" t="s">
        <v>1791</v>
      </c>
      <c r="C1089" s="7" t="s">
        <v>1791</v>
      </c>
      <c r="D1089" s="7" t="s">
        <v>6767</v>
      </c>
      <c r="E1089" s="6" t="s">
        <v>6768</v>
      </c>
      <c r="F1089" s="8"/>
      <c r="G1089" s="8"/>
      <c r="H1089" s="8"/>
    </row>
    <row r="1090" spans="1:8">
      <c r="A1090" s="6" t="s">
        <v>142</v>
      </c>
      <c r="B1090" s="7" t="s">
        <v>1791</v>
      </c>
      <c r="C1090" s="7" t="s">
        <v>1791</v>
      </c>
      <c r="D1090" s="7" t="s">
        <v>6769</v>
      </c>
      <c r="E1090" s="6" t="s">
        <v>6770</v>
      </c>
      <c r="F1090" s="8"/>
      <c r="G1090" s="8"/>
      <c r="H1090" s="8"/>
    </row>
    <row r="1091" spans="1:8">
      <c r="A1091" s="6" t="s">
        <v>142</v>
      </c>
      <c r="B1091" s="7" t="s">
        <v>1357</v>
      </c>
      <c r="C1091" s="7" t="s">
        <v>1357</v>
      </c>
      <c r="D1091" s="7" t="s">
        <v>6771</v>
      </c>
      <c r="E1091" s="6" t="s">
        <v>6772</v>
      </c>
      <c r="F1091" s="8"/>
      <c r="G1091" s="8"/>
      <c r="H1091" s="8"/>
    </row>
    <row r="1092" spans="1:8">
      <c r="A1092" s="6" t="s">
        <v>142</v>
      </c>
      <c r="B1092" s="7" t="s">
        <v>1791</v>
      </c>
      <c r="C1092" s="7" t="s">
        <v>1791</v>
      </c>
      <c r="D1092" s="7" t="s">
        <v>6773</v>
      </c>
      <c r="E1092" s="6" t="s">
        <v>6774</v>
      </c>
      <c r="F1092" s="8"/>
      <c r="G1092" s="8"/>
      <c r="H1092" s="8"/>
    </row>
    <row r="1093" spans="1:8">
      <c r="A1093" s="6" t="s">
        <v>2622</v>
      </c>
      <c r="B1093" s="7" t="s">
        <v>2623</v>
      </c>
      <c r="C1093" s="7" t="s">
        <v>116</v>
      </c>
      <c r="D1093" s="7" t="s">
        <v>2624</v>
      </c>
      <c r="E1093" s="6" t="s">
        <v>2625</v>
      </c>
      <c r="F1093" s="8" t="s">
        <v>6982</v>
      </c>
      <c r="G1093" s="8" t="s">
        <v>6953</v>
      </c>
      <c r="H1093" s="8" t="s">
        <v>7148</v>
      </c>
    </row>
    <row r="1094" spans="1:8">
      <c r="A1094" s="6" t="s">
        <v>2622</v>
      </c>
      <c r="B1094" s="7" t="s">
        <v>2626</v>
      </c>
      <c r="C1094" s="7" t="s">
        <v>2626</v>
      </c>
      <c r="D1094" s="7" t="s">
        <v>2627</v>
      </c>
      <c r="E1094" s="6" t="s">
        <v>256</v>
      </c>
      <c r="F1094" s="8" t="s">
        <v>7147</v>
      </c>
      <c r="G1094" s="8" t="s">
        <v>6953</v>
      </c>
      <c r="H1094" s="8" t="s">
        <v>6967</v>
      </c>
    </row>
    <row r="1095" spans="1:8">
      <c r="A1095" s="6" t="s">
        <v>773</v>
      </c>
      <c r="B1095" s="7" t="s">
        <v>774</v>
      </c>
      <c r="C1095" s="7" t="s">
        <v>9</v>
      </c>
      <c r="D1095" s="7" t="s">
        <v>775</v>
      </c>
      <c r="E1095" s="6" t="s">
        <v>776</v>
      </c>
      <c r="F1095" s="8"/>
      <c r="G1095" s="8"/>
      <c r="H1095" s="8"/>
    </row>
    <row r="1096" spans="1:8">
      <c r="A1096" s="6" t="s">
        <v>773</v>
      </c>
      <c r="B1096" s="7" t="s">
        <v>811</v>
      </c>
      <c r="C1096" s="7" t="s">
        <v>9</v>
      </c>
      <c r="D1096" s="7" t="s">
        <v>812</v>
      </c>
      <c r="E1096" s="6" t="s">
        <v>813</v>
      </c>
      <c r="F1096" s="8"/>
      <c r="G1096" s="8"/>
      <c r="H1096" s="8"/>
    </row>
    <row r="1097" spans="1:8">
      <c r="A1097" s="6" t="s">
        <v>773</v>
      </c>
      <c r="B1097" s="7" t="s">
        <v>983</v>
      </c>
      <c r="C1097" s="7" t="s">
        <v>983</v>
      </c>
      <c r="D1097" s="7" t="s">
        <v>984</v>
      </c>
      <c r="E1097" s="6" t="s">
        <v>985</v>
      </c>
      <c r="F1097" s="8" t="s">
        <v>6931</v>
      </c>
      <c r="G1097" s="8" t="s">
        <v>6929</v>
      </c>
      <c r="H1097" s="8" t="s">
        <v>6940</v>
      </c>
    </row>
    <row r="1098" spans="1:8">
      <c r="A1098" s="6" t="s">
        <v>773</v>
      </c>
      <c r="B1098" s="7" t="s">
        <v>983</v>
      </c>
      <c r="C1098" s="7" t="s">
        <v>983</v>
      </c>
      <c r="D1098" s="7" t="s">
        <v>1332</v>
      </c>
      <c r="E1098" s="6" t="s">
        <v>1333</v>
      </c>
      <c r="F1098" s="8" t="s">
        <v>6931</v>
      </c>
      <c r="G1098" s="8" t="s">
        <v>6929</v>
      </c>
      <c r="H1098" s="8" t="s">
        <v>6940</v>
      </c>
    </row>
    <row r="1099" spans="1:8">
      <c r="A1099" s="6" t="s">
        <v>773</v>
      </c>
      <c r="B1099" s="7" t="s">
        <v>1770</v>
      </c>
      <c r="C1099" s="7" t="s">
        <v>1771</v>
      </c>
      <c r="D1099" s="7" t="s">
        <v>1772</v>
      </c>
      <c r="E1099" s="6" t="s">
        <v>1773</v>
      </c>
      <c r="F1099" s="8"/>
      <c r="G1099" s="8"/>
      <c r="H1099" s="8"/>
    </row>
    <row r="1100" spans="1:8">
      <c r="A1100" s="6" t="s">
        <v>773</v>
      </c>
      <c r="B1100" s="7" t="s">
        <v>3137</v>
      </c>
      <c r="C1100" s="7" t="s">
        <v>3138</v>
      </c>
      <c r="D1100" s="7" t="s">
        <v>3139</v>
      </c>
      <c r="E1100" s="6" t="s">
        <v>3140</v>
      </c>
      <c r="F1100" s="8"/>
      <c r="G1100" s="8"/>
      <c r="H1100" s="8"/>
    </row>
    <row r="1101" spans="1:8">
      <c r="A1101" s="6" t="s">
        <v>773</v>
      </c>
      <c r="B1101" s="7" t="s">
        <v>3141</v>
      </c>
      <c r="C1101" s="7" t="s">
        <v>3142</v>
      </c>
      <c r="D1101" s="7" t="s">
        <v>3143</v>
      </c>
      <c r="E1101" s="6" t="s">
        <v>3144</v>
      </c>
      <c r="F1101" s="8"/>
      <c r="G1101" s="8"/>
      <c r="H1101" s="8"/>
    </row>
    <row r="1102" spans="1:8">
      <c r="A1102" s="6" t="s">
        <v>773</v>
      </c>
      <c r="B1102" s="7" t="s">
        <v>3145</v>
      </c>
      <c r="C1102" s="7" t="s">
        <v>3145</v>
      </c>
      <c r="D1102" s="7" t="s">
        <v>3146</v>
      </c>
      <c r="E1102" s="6" t="s">
        <v>3147</v>
      </c>
      <c r="F1102" s="8"/>
      <c r="G1102" s="8"/>
      <c r="H1102" s="8"/>
    </row>
    <row r="1103" spans="1:8">
      <c r="A1103" s="6" t="s">
        <v>773</v>
      </c>
      <c r="B1103" s="7" t="s">
        <v>3148</v>
      </c>
      <c r="C1103" s="7" t="s">
        <v>3149</v>
      </c>
      <c r="D1103" s="7" t="s">
        <v>3150</v>
      </c>
      <c r="E1103" s="6" t="s">
        <v>3151</v>
      </c>
      <c r="F1103" s="8"/>
      <c r="G1103" s="8"/>
      <c r="H1103" s="8"/>
    </row>
    <row r="1104" spans="1:8">
      <c r="A1104" s="6" t="s">
        <v>773</v>
      </c>
      <c r="B1104" s="7" t="s">
        <v>2783</v>
      </c>
      <c r="C1104" s="7" t="s">
        <v>2783</v>
      </c>
      <c r="D1104" s="7" t="s">
        <v>3152</v>
      </c>
      <c r="E1104" s="6" t="s">
        <v>3153</v>
      </c>
      <c r="F1104" s="8"/>
      <c r="G1104" s="8"/>
      <c r="H1104" s="8"/>
    </row>
    <row r="1105" spans="1:8">
      <c r="A1105" s="6" t="s">
        <v>773</v>
      </c>
      <c r="B1105" s="7" t="s">
        <v>3154</v>
      </c>
      <c r="C1105" s="7" t="s">
        <v>3155</v>
      </c>
      <c r="D1105" s="7" t="s">
        <v>3156</v>
      </c>
      <c r="E1105" s="6" t="s">
        <v>3157</v>
      </c>
      <c r="F1105" s="8"/>
      <c r="G1105" s="8"/>
      <c r="H1105" s="8"/>
    </row>
    <row r="1106" spans="1:8">
      <c r="A1106" s="6" t="s">
        <v>773</v>
      </c>
      <c r="B1106" s="7" t="s">
        <v>3154</v>
      </c>
      <c r="C1106" s="7" t="s">
        <v>3155</v>
      </c>
      <c r="D1106" s="7" t="s">
        <v>3158</v>
      </c>
      <c r="E1106" s="6" t="s">
        <v>3159</v>
      </c>
      <c r="F1106" s="8"/>
      <c r="G1106" s="8"/>
      <c r="H1106" s="8"/>
    </row>
    <row r="1107" spans="1:8">
      <c r="A1107" s="6" t="s">
        <v>773</v>
      </c>
      <c r="B1107" s="7" t="s">
        <v>3154</v>
      </c>
      <c r="C1107" s="7" t="s">
        <v>3155</v>
      </c>
      <c r="D1107" s="7" t="s">
        <v>3160</v>
      </c>
      <c r="E1107" s="6" t="s">
        <v>3161</v>
      </c>
      <c r="F1107" s="8"/>
      <c r="G1107" s="8"/>
      <c r="H1107" s="8"/>
    </row>
    <row r="1108" spans="1:8">
      <c r="A1108" s="6" t="s">
        <v>773</v>
      </c>
      <c r="B1108" s="7" t="s">
        <v>1886</v>
      </c>
      <c r="C1108" s="7" t="s">
        <v>983</v>
      </c>
      <c r="D1108" s="7" t="s">
        <v>3162</v>
      </c>
      <c r="E1108" s="6" t="s">
        <v>3163</v>
      </c>
      <c r="F1108" s="8"/>
      <c r="G1108" s="8"/>
      <c r="H1108" s="8"/>
    </row>
    <row r="1109" spans="1:8">
      <c r="A1109" s="6" t="s">
        <v>773</v>
      </c>
      <c r="B1109" s="7" t="s">
        <v>3154</v>
      </c>
      <c r="C1109" s="7" t="s">
        <v>3155</v>
      </c>
      <c r="D1109" s="7" t="s">
        <v>3164</v>
      </c>
      <c r="E1109" s="6" t="s">
        <v>3165</v>
      </c>
      <c r="F1109" s="8"/>
      <c r="G1109" s="8"/>
      <c r="H1109" s="8"/>
    </row>
    <row r="1110" spans="1:8">
      <c r="A1110" s="6" t="s">
        <v>773</v>
      </c>
      <c r="B1110" s="7" t="s">
        <v>3154</v>
      </c>
      <c r="C1110" s="7" t="s">
        <v>3155</v>
      </c>
      <c r="D1110" s="7" t="s">
        <v>3166</v>
      </c>
      <c r="E1110" s="6" t="s">
        <v>3167</v>
      </c>
      <c r="F1110" s="8"/>
      <c r="G1110" s="8"/>
      <c r="H1110" s="8"/>
    </row>
    <row r="1111" spans="1:8">
      <c r="A1111" s="6" t="s">
        <v>773</v>
      </c>
      <c r="B1111" s="7" t="s">
        <v>3154</v>
      </c>
      <c r="C1111" s="7" t="s">
        <v>3155</v>
      </c>
      <c r="D1111" s="7" t="s">
        <v>3168</v>
      </c>
      <c r="E1111" s="6" t="s">
        <v>3169</v>
      </c>
      <c r="F1111" s="8"/>
      <c r="G1111" s="8"/>
      <c r="H1111" s="8"/>
    </row>
    <row r="1112" spans="1:8">
      <c r="A1112" s="6" t="s">
        <v>773</v>
      </c>
      <c r="B1112" s="7" t="s">
        <v>3154</v>
      </c>
      <c r="C1112" s="7" t="s">
        <v>3155</v>
      </c>
      <c r="D1112" s="7" t="s">
        <v>3170</v>
      </c>
      <c r="E1112" s="6" t="s">
        <v>3171</v>
      </c>
      <c r="F1112" s="8"/>
      <c r="G1112" s="8"/>
      <c r="H1112" s="8"/>
    </row>
    <row r="1113" spans="1:8">
      <c r="A1113" s="6" t="s">
        <v>773</v>
      </c>
      <c r="B1113" s="7" t="s">
        <v>3172</v>
      </c>
      <c r="C1113" s="7" t="s">
        <v>3173</v>
      </c>
      <c r="D1113" s="7" t="s">
        <v>3174</v>
      </c>
      <c r="E1113" s="6" t="s">
        <v>3175</v>
      </c>
      <c r="F1113" s="8"/>
      <c r="G1113" s="8"/>
      <c r="H1113" s="8"/>
    </row>
    <row r="1114" spans="1:8">
      <c r="A1114" s="6" t="s">
        <v>773</v>
      </c>
      <c r="B1114" s="7" t="s">
        <v>264</v>
      </c>
      <c r="C1114" s="7" t="s">
        <v>3176</v>
      </c>
      <c r="D1114" s="7" t="s">
        <v>3177</v>
      </c>
      <c r="E1114" s="6" t="s">
        <v>3178</v>
      </c>
      <c r="F1114" s="8"/>
      <c r="G1114" s="8"/>
      <c r="H1114" s="8"/>
    </row>
    <row r="1115" spans="1:8">
      <c r="A1115" s="6" t="s">
        <v>773</v>
      </c>
      <c r="B1115" s="7" t="s">
        <v>3179</v>
      </c>
      <c r="C1115" s="7" t="s">
        <v>3179</v>
      </c>
      <c r="D1115" s="7" t="s">
        <v>3180</v>
      </c>
      <c r="E1115" s="6" t="s">
        <v>3181</v>
      </c>
      <c r="F1115" s="8"/>
      <c r="G1115" s="8"/>
      <c r="H1115" s="8"/>
    </row>
    <row r="1116" spans="1:8">
      <c r="A1116" s="6" t="s">
        <v>773</v>
      </c>
      <c r="B1116" s="7" t="s">
        <v>264</v>
      </c>
      <c r="C1116" s="7" t="s">
        <v>264</v>
      </c>
      <c r="D1116" s="7" t="s">
        <v>3182</v>
      </c>
      <c r="E1116" s="6" t="s">
        <v>3183</v>
      </c>
      <c r="F1116" s="8"/>
      <c r="G1116" s="8"/>
      <c r="H1116" s="8"/>
    </row>
    <row r="1117" spans="1:8">
      <c r="A1117" s="6" t="s">
        <v>773</v>
      </c>
      <c r="B1117" s="7" t="s">
        <v>264</v>
      </c>
      <c r="C1117" s="7" t="s">
        <v>264</v>
      </c>
      <c r="D1117" s="7" t="s">
        <v>3184</v>
      </c>
      <c r="E1117" s="6" t="s">
        <v>1773</v>
      </c>
      <c r="F1117" s="8"/>
      <c r="G1117" s="8"/>
      <c r="H1117" s="8"/>
    </row>
    <row r="1118" spans="1:8">
      <c r="A1118" s="6" t="s">
        <v>773</v>
      </c>
      <c r="B1118" s="7" t="s">
        <v>264</v>
      </c>
      <c r="C1118" s="7" t="s">
        <v>264</v>
      </c>
      <c r="D1118" s="7" t="s">
        <v>3185</v>
      </c>
      <c r="E1118" s="6" t="s">
        <v>3186</v>
      </c>
      <c r="F1118" s="8"/>
      <c r="G1118" s="8"/>
      <c r="H1118" s="8"/>
    </row>
    <row r="1119" spans="1:8">
      <c r="A1119" s="6" t="s">
        <v>773</v>
      </c>
      <c r="B1119" s="7" t="s">
        <v>3187</v>
      </c>
      <c r="C1119" s="7" t="s">
        <v>3188</v>
      </c>
      <c r="D1119" s="7" t="s">
        <v>3189</v>
      </c>
      <c r="E1119" s="6" t="s">
        <v>3190</v>
      </c>
      <c r="F1119" s="8"/>
      <c r="G1119" s="8"/>
      <c r="H1119" s="8"/>
    </row>
    <row r="1120" spans="1:8">
      <c r="A1120" s="6" t="s">
        <v>773</v>
      </c>
      <c r="B1120" s="7" t="s">
        <v>3191</v>
      </c>
      <c r="C1120" s="7" t="s">
        <v>1771</v>
      </c>
      <c r="D1120" s="7" t="s">
        <v>3192</v>
      </c>
      <c r="E1120" s="6" t="s">
        <v>3193</v>
      </c>
      <c r="F1120" s="8"/>
      <c r="G1120" s="8"/>
      <c r="H1120" s="8"/>
    </row>
    <row r="1121" spans="1:8">
      <c r="A1121" s="6" t="s">
        <v>773</v>
      </c>
      <c r="B1121" s="7" t="s">
        <v>983</v>
      </c>
      <c r="C1121" s="7" t="s">
        <v>983</v>
      </c>
      <c r="D1121" s="7" t="s">
        <v>3194</v>
      </c>
      <c r="E1121" s="6" t="s">
        <v>3195</v>
      </c>
      <c r="F1121" s="8"/>
      <c r="G1121" s="8"/>
      <c r="H1121" s="8"/>
    </row>
    <row r="1122" spans="1:8">
      <c r="A1122" s="6" t="s">
        <v>773</v>
      </c>
      <c r="B1122" s="7" t="s">
        <v>3196</v>
      </c>
      <c r="C1122" s="7" t="s">
        <v>264</v>
      </c>
      <c r="D1122" s="7" t="s">
        <v>3197</v>
      </c>
      <c r="E1122" s="6" t="s">
        <v>3198</v>
      </c>
      <c r="F1122" s="8"/>
      <c r="G1122" s="8"/>
      <c r="H1122" s="8"/>
    </row>
    <row r="1123" spans="1:8">
      <c r="A1123" s="6" t="s">
        <v>773</v>
      </c>
      <c r="B1123" s="7" t="s">
        <v>983</v>
      </c>
      <c r="C1123" s="7" t="s">
        <v>983</v>
      </c>
      <c r="D1123" s="7" t="s">
        <v>3199</v>
      </c>
      <c r="E1123" s="6" t="s">
        <v>3200</v>
      </c>
      <c r="F1123" s="8"/>
      <c r="G1123" s="8"/>
      <c r="H1123" s="8"/>
    </row>
    <row r="1124" spans="1:8">
      <c r="A1124" s="6" t="s">
        <v>773</v>
      </c>
      <c r="B1124" s="7" t="s">
        <v>3196</v>
      </c>
      <c r="C1124" s="7" t="s">
        <v>3155</v>
      </c>
      <c r="D1124" s="7" t="s">
        <v>3201</v>
      </c>
      <c r="E1124" s="6" t="s">
        <v>3202</v>
      </c>
      <c r="F1124" s="8" t="s">
        <v>6931</v>
      </c>
      <c r="G1124" s="8" t="s">
        <v>6953</v>
      </c>
      <c r="H1124" s="8" t="s">
        <v>6940</v>
      </c>
    </row>
    <row r="1125" spans="1:8">
      <c r="A1125" s="6" t="s">
        <v>773</v>
      </c>
      <c r="B1125" s="7" t="s">
        <v>3196</v>
      </c>
      <c r="C1125" s="7" t="s">
        <v>3196</v>
      </c>
      <c r="D1125" s="7" t="s">
        <v>3203</v>
      </c>
      <c r="E1125" s="6" t="s">
        <v>3204</v>
      </c>
      <c r="F1125" s="8" t="s">
        <v>6931</v>
      </c>
      <c r="G1125" s="8" t="s">
        <v>6929</v>
      </c>
      <c r="H1125" s="8" t="s">
        <v>6951</v>
      </c>
    </row>
    <row r="1126" spans="1:8">
      <c r="A1126" s="6" t="s">
        <v>773</v>
      </c>
      <c r="B1126" s="7" t="s">
        <v>3196</v>
      </c>
      <c r="C1126" s="7" t="s">
        <v>3205</v>
      </c>
      <c r="D1126" s="7" t="s">
        <v>3206</v>
      </c>
      <c r="E1126" s="6" t="s">
        <v>3207</v>
      </c>
      <c r="F1126" s="8" t="s">
        <v>6931</v>
      </c>
      <c r="G1126" s="8" t="s">
        <v>7011</v>
      </c>
      <c r="H1126" s="8" t="s">
        <v>7049</v>
      </c>
    </row>
    <row r="1127" spans="1:8">
      <c r="A1127" s="6" t="s">
        <v>773</v>
      </c>
      <c r="B1127" s="7" t="s">
        <v>3208</v>
      </c>
      <c r="C1127" s="7" t="s">
        <v>3209</v>
      </c>
      <c r="D1127" s="7" t="s">
        <v>3210</v>
      </c>
      <c r="E1127" s="6" t="s">
        <v>3211</v>
      </c>
      <c r="F1127" s="8"/>
      <c r="G1127" s="8"/>
      <c r="H1127" s="8"/>
    </row>
    <row r="1128" spans="1:8">
      <c r="A1128" s="6" t="s">
        <v>773</v>
      </c>
      <c r="B1128" s="7" t="s">
        <v>3187</v>
      </c>
      <c r="C1128" s="7" t="s">
        <v>3188</v>
      </c>
      <c r="D1128" s="7" t="s">
        <v>3212</v>
      </c>
      <c r="E1128" s="6" t="s">
        <v>3213</v>
      </c>
      <c r="F1128" s="8" t="s">
        <v>6931</v>
      </c>
      <c r="G1128" s="8" t="s">
        <v>6929</v>
      </c>
      <c r="H1128" s="8" t="s">
        <v>7042</v>
      </c>
    </row>
    <row r="1129" spans="1:8">
      <c r="A1129" s="6" t="s">
        <v>773</v>
      </c>
      <c r="B1129" s="7" t="s">
        <v>3214</v>
      </c>
      <c r="C1129" s="7" t="s">
        <v>3215</v>
      </c>
      <c r="D1129" s="7" t="s">
        <v>3216</v>
      </c>
      <c r="E1129" s="6" t="s">
        <v>3217</v>
      </c>
      <c r="F1129" s="8"/>
      <c r="G1129" s="8"/>
      <c r="H1129" s="8"/>
    </row>
    <row r="1130" spans="1:8">
      <c r="A1130" s="6" t="s">
        <v>773</v>
      </c>
      <c r="B1130" s="7" t="s">
        <v>78</v>
      </c>
      <c r="C1130" s="7" t="s">
        <v>3218</v>
      </c>
      <c r="D1130" s="7" t="s">
        <v>3219</v>
      </c>
      <c r="E1130" s="6" t="s">
        <v>3220</v>
      </c>
      <c r="F1130" s="8"/>
      <c r="G1130" s="8"/>
      <c r="H1130" s="8"/>
    </row>
    <row r="1131" spans="1:8">
      <c r="A1131" s="6" t="s">
        <v>773</v>
      </c>
      <c r="B1131" s="7" t="s">
        <v>78</v>
      </c>
      <c r="C1131" s="7" t="s">
        <v>69</v>
      </c>
      <c r="D1131" s="7" t="s">
        <v>3221</v>
      </c>
      <c r="E1131" s="6" t="s">
        <v>3222</v>
      </c>
      <c r="F1131" s="8"/>
      <c r="G1131" s="8"/>
      <c r="H1131" s="8"/>
    </row>
    <row r="1132" spans="1:8">
      <c r="A1132" s="6" t="s">
        <v>773</v>
      </c>
      <c r="B1132" s="7" t="s">
        <v>78</v>
      </c>
      <c r="C1132" s="7" t="s">
        <v>1771</v>
      </c>
      <c r="D1132" s="7" t="s">
        <v>3223</v>
      </c>
      <c r="E1132" s="6" t="s">
        <v>3224</v>
      </c>
      <c r="F1132" s="8" t="s">
        <v>7150</v>
      </c>
      <c r="G1132" s="8" t="s">
        <v>6953</v>
      </c>
      <c r="H1132" s="8" t="s">
        <v>7151</v>
      </c>
    </row>
    <row r="1133" spans="1:8">
      <c r="A1133" s="6" t="s">
        <v>773</v>
      </c>
      <c r="B1133" s="7" t="s">
        <v>78</v>
      </c>
      <c r="C1133" s="7" t="s">
        <v>3225</v>
      </c>
      <c r="D1133" s="7" t="s">
        <v>3226</v>
      </c>
      <c r="E1133" s="6" t="s">
        <v>3227</v>
      </c>
      <c r="F1133" s="8" t="s">
        <v>6931</v>
      </c>
      <c r="G1133" s="8" t="s">
        <v>7011</v>
      </c>
      <c r="H1133" s="8" t="s">
        <v>7149</v>
      </c>
    </row>
    <row r="1134" spans="1:8">
      <c r="A1134" s="6" t="s">
        <v>773</v>
      </c>
      <c r="B1134" s="7" t="s">
        <v>78</v>
      </c>
      <c r="C1134" s="7" t="s">
        <v>78</v>
      </c>
      <c r="D1134" s="7" t="s">
        <v>3228</v>
      </c>
      <c r="E1134" s="6" t="s">
        <v>3229</v>
      </c>
      <c r="F1134" s="8"/>
      <c r="G1134" s="8"/>
      <c r="H1134" s="8"/>
    </row>
    <row r="1135" spans="1:8">
      <c r="A1135" s="6" t="s">
        <v>773</v>
      </c>
      <c r="B1135" s="7" t="s">
        <v>3214</v>
      </c>
      <c r="C1135" s="7" t="s">
        <v>3215</v>
      </c>
      <c r="D1135" s="7" t="s">
        <v>3230</v>
      </c>
      <c r="E1135" s="6" t="s">
        <v>3204</v>
      </c>
      <c r="F1135" s="8"/>
      <c r="G1135" s="8"/>
      <c r="H1135" s="8"/>
    </row>
    <row r="1136" spans="1:8">
      <c r="A1136" s="6" t="s">
        <v>773</v>
      </c>
      <c r="B1136" s="7" t="s">
        <v>78</v>
      </c>
      <c r="C1136" s="7" t="s">
        <v>1873</v>
      </c>
      <c r="D1136" s="7" t="s">
        <v>3231</v>
      </c>
      <c r="E1136" s="6" t="s">
        <v>3232</v>
      </c>
      <c r="F1136" s="8"/>
      <c r="G1136" s="8"/>
      <c r="H1136" s="8"/>
    </row>
    <row r="1137" spans="1:8">
      <c r="A1137" s="6" t="s">
        <v>773</v>
      </c>
      <c r="B1137" s="7" t="s">
        <v>3214</v>
      </c>
      <c r="C1137" s="7" t="s">
        <v>3233</v>
      </c>
      <c r="D1137" s="7" t="s">
        <v>3234</v>
      </c>
      <c r="E1137" s="6" t="s">
        <v>3235</v>
      </c>
      <c r="F1137" s="8"/>
      <c r="G1137" s="8"/>
      <c r="H1137" s="8"/>
    </row>
    <row r="1138" spans="1:8">
      <c r="A1138" s="6" t="s">
        <v>773</v>
      </c>
      <c r="B1138" s="7" t="s">
        <v>78</v>
      </c>
      <c r="C1138" s="7" t="s">
        <v>69</v>
      </c>
      <c r="D1138" s="7" t="s">
        <v>3236</v>
      </c>
      <c r="E1138" s="6" t="s">
        <v>3237</v>
      </c>
      <c r="F1138" s="8"/>
      <c r="G1138" s="8"/>
      <c r="H1138" s="8"/>
    </row>
    <row r="1139" spans="1:8">
      <c r="A1139" s="6" t="s">
        <v>773</v>
      </c>
      <c r="B1139" s="7" t="s">
        <v>78</v>
      </c>
      <c r="C1139" s="7" t="s">
        <v>1873</v>
      </c>
      <c r="D1139" s="7" t="s">
        <v>3238</v>
      </c>
      <c r="E1139" s="6" t="s">
        <v>3239</v>
      </c>
      <c r="F1139" s="8"/>
      <c r="G1139" s="8"/>
      <c r="H1139" s="8"/>
    </row>
    <row r="1140" spans="1:8">
      <c r="A1140" s="6" t="s">
        <v>773</v>
      </c>
      <c r="B1140" s="7" t="s">
        <v>78</v>
      </c>
      <c r="C1140" s="7" t="s">
        <v>3240</v>
      </c>
      <c r="D1140" s="7" t="s">
        <v>3241</v>
      </c>
      <c r="E1140" s="6" t="s">
        <v>3242</v>
      </c>
      <c r="F1140" s="8"/>
      <c r="G1140" s="8"/>
      <c r="H1140" s="8"/>
    </row>
    <row r="1141" spans="1:8">
      <c r="A1141" s="6" t="s">
        <v>773</v>
      </c>
      <c r="B1141" s="7" t="s">
        <v>78</v>
      </c>
      <c r="C1141" s="7" t="s">
        <v>1873</v>
      </c>
      <c r="D1141" s="7" t="s">
        <v>3243</v>
      </c>
      <c r="E1141" s="6" t="s">
        <v>3244</v>
      </c>
      <c r="F1141" s="8"/>
      <c r="G1141" s="8"/>
      <c r="H1141" s="8"/>
    </row>
    <row r="1142" spans="1:8">
      <c r="A1142" s="6" t="s">
        <v>773</v>
      </c>
      <c r="B1142" s="7" t="s">
        <v>78</v>
      </c>
      <c r="C1142" s="7" t="s">
        <v>3214</v>
      </c>
      <c r="D1142" s="7" t="s">
        <v>3245</v>
      </c>
      <c r="E1142" s="6" t="s">
        <v>3246</v>
      </c>
      <c r="F1142" s="8"/>
      <c r="G1142" s="8"/>
      <c r="H1142" s="8"/>
    </row>
    <row r="1143" spans="1:8">
      <c r="A1143" s="6" t="s">
        <v>773</v>
      </c>
      <c r="B1143" s="7" t="s">
        <v>78</v>
      </c>
      <c r="C1143" s="7" t="s">
        <v>3247</v>
      </c>
      <c r="D1143" s="7" t="s">
        <v>3248</v>
      </c>
      <c r="E1143" s="6" t="s">
        <v>3249</v>
      </c>
      <c r="F1143" s="8"/>
      <c r="G1143" s="8"/>
      <c r="H1143" s="8"/>
    </row>
    <row r="1144" spans="1:8">
      <c r="A1144" s="6" t="s">
        <v>773</v>
      </c>
      <c r="B1144" s="7" t="s">
        <v>78</v>
      </c>
      <c r="C1144" s="7" t="s">
        <v>1873</v>
      </c>
      <c r="D1144" s="7" t="s">
        <v>3250</v>
      </c>
      <c r="E1144" s="6" t="s">
        <v>3251</v>
      </c>
      <c r="F1144" s="8"/>
      <c r="G1144" s="8"/>
      <c r="H1144" s="8"/>
    </row>
    <row r="1145" spans="1:8">
      <c r="A1145" s="6" t="s">
        <v>773</v>
      </c>
      <c r="B1145" s="7" t="s">
        <v>78</v>
      </c>
      <c r="C1145" s="7" t="s">
        <v>3252</v>
      </c>
      <c r="D1145" s="7" t="s">
        <v>3253</v>
      </c>
      <c r="E1145" s="6" t="s">
        <v>3254</v>
      </c>
      <c r="F1145" s="8" t="s">
        <v>6931</v>
      </c>
      <c r="G1145" s="8" t="s">
        <v>6929</v>
      </c>
      <c r="H1145" s="8" t="s">
        <v>7152</v>
      </c>
    </row>
    <row r="1146" spans="1:8">
      <c r="A1146" s="6" t="s">
        <v>773</v>
      </c>
      <c r="B1146" s="7" t="s">
        <v>3255</v>
      </c>
      <c r="C1146" s="7" t="s">
        <v>3255</v>
      </c>
      <c r="D1146" s="7" t="s">
        <v>3256</v>
      </c>
      <c r="E1146" s="6" t="s">
        <v>3257</v>
      </c>
      <c r="F1146" s="8"/>
      <c r="G1146" s="8"/>
      <c r="H1146" s="8"/>
    </row>
    <row r="1147" spans="1:8">
      <c r="A1147" s="6" t="s">
        <v>2219</v>
      </c>
      <c r="B1147" s="7" t="s">
        <v>9</v>
      </c>
      <c r="C1147" s="7" t="s">
        <v>9</v>
      </c>
      <c r="D1147" s="7" t="s">
        <v>2220</v>
      </c>
      <c r="E1147" s="6" t="s">
        <v>2221</v>
      </c>
      <c r="F1147" s="8"/>
      <c r="G1147" s="8"/>
      <c r="H1147" s="8"/>
    </row>
    <row r="1148" spans="1:8">
      <c r="A1148" s="6" t="s">
        <v>107</v>
      </c>
      <c r="B1148" s="7" t="s">
        <v>108</v>
      </c>
      <c r="C1148" s="7" t="s">
        <v>108</v>
      </c>
      <c r="D1148" s="7" t="s">
        <v>109</v>
      </c>
      <c r="E1148" s="6" t="s">
        <v>110</v>
      </c>
      <c r="F1148" s="8"/>
      <c r="G1148" s="8"/>
      <c r="H1148" s="8"/>
    </row>
    <row r="1149" spans="1:8">
      <c r="A1149" s="6" t="s">
        <v>107</v>
      </c>
      <c r="B1149" s="7" t="s">
        <v>108</v>
      </c>
      <c r="C1149" s="7" t="s">
        <v>108</v>
      </c>
      <c r="D1149" s="7" t="s">
        <v>1377</v>
      </c>
      <c r="E1149" s="6" t="s">
        <v>1378</v>
      </c>
      <c r="F1149" s="8"/>
      <c r="G1149" s="8"/>
      <c r="H1149" s="8"/>
    </row>
    <row r="1150" spans="1:8">
      <c r="A1150" s="6" t="s">
        <v>107</v>
      </c>
      <c r="B1150" s="7" t="s">
        <v>108</v>
      </c>
      <c r="C1150" s="7" t="s">
        <v>108</v>
      </c>
      <c r="D1150" s="7" t="s">
        <v>5493</v>
      </c>
      <c r="E1150" s="6" t="s">
        <v>2895</v>
      </c>
      <c r="F1150" s="8"/>
      <c r="G1150" s="8"/>
      <c r="H1150" s="8"/>
    </row>
    <row r="1151" spans="1:8">
      <c r="A1151" s="6" t="s">
        <v>107</v>
      </c>
      <c r="B1151" s="7" t="s">
        <v>108</v>
      </c>
      <c r="C1151" s="7" t="s">
        <v>108</v>
      </c>
      <c r="D1151" s="7" t="s">
        <v>5494</v>
      </c>
      <c r="E1151" s="6" t="s">
        <v>5495</v>
      </c>
      <c r="F1151" s="8"/>
      <c r="G1151" s="8"/>
      <c r="H1151" s="8"/>
    </row>
    <row r="1152" spans="1:8">
      <c r="A1152" s="6" t="s">
        <v>107</v>
      </c>
      <c r="B1152" s="7" t="s">
        <v>108</v>
      </c>
      <c r="C1152" s="7" t="s">
        <v>108</v>
      </c>
      <c r="D1152" s="7" t="s">
        <v>5496</v>
      </c>
      <c r="E1152" s="6" t="s">
        <v>5497</v>
      </c>
      <c r="F1152" s="8"/>
      <c r="G1152" s="8"/>
      <c r="H1152" s="8"/>
    </row>
    <row r="1153" spans="1:8">
      <c r="A1153" s="6" t="s">
        <v>107</v>
      </c>
      <c r="B1153" s="7" t="s">
        <v>108</v>
      </c>
      <c r="C1153" s="7" t="s">
        <v>108</v>
      </c>
      <c r="D1153" s="7" t="s">
        <v>5498</v>
      </c>
      <c r="E1153" s="6" t="s">
        <v>5499</v>
      </c>
      <c r="F1153" s="8"/>
      <c r="G1153" s="8"/>
      <c r="H1153" s="8"/>
    </row>
    <row r="1154" spans="1:8">
      <c r="A1154" s="6" t="s">
        <v>107</v>
      </c>
      <c r="B1154" s="7" t="s">
        <v>108</v>
      </c>
      <c r="C1154" s="7" t="s">
        <v>108</v>
      </c>
      <c r="D1154" s="7" t="s">
        <v>5500</v>
      </c>
      <c r="E1154" s="6" t="s">
        <v>5501</v>
      </c>
      <c r="F1154" s="8" t="s">
        <v>6943</v>
      </c>
      <c r="G1154" s="8" t="s">
        <v>7018</v>
      </c>
      <c r="H1154" s="8" t="s">
        <v>7088</v>
      </c>
    </row>
    <row r="1155" spans="1:8">
      <c r="A1155" s="6" t="s">
        <v>107</v>
      </c>
      <c r="B1155" s="7" t="s">
        <v>108</v>
      </c>
      <c r="C1155" s="7" t="s">
        <v>108</v>
      </c>
      <c r="D1155" s="7" t="s">
        <v>5502</v>
      </c>
      <c r="E1155" s="6" t="s">
        <v>5503</v>
      </c>
      <c r="F1155" s="8"/>
      <c r="G1155" s="8"/>
      <c r="H1155" s="8"/>
    </row>
    <row r="1156" spans="1:8">
      <c r="A1156" s="6" t="s">
        <v>107</v>
      </c>
      <c r="B1156" s="7" t="s">
        <v>108</v>
      </c>
      <c r="C1156" s="7" t="s">
        <v>108</v>
      </c>
      <c r="D1156" s="7" t="s">
        <v>5504</v>
      </c>
      <c r="E1156" s="6" t="s">
        <v>5505</v>
      </c>
      <c r="F1156" s="8"/>
      <c r="G1156" s="8"/>
      <c r="H1156" s="8"/>
    </row>
    <row r="1157" spans="1:8">
      <c r="A1157" s="6" t="s">
        <v>107</v>
      </c>
      <c r="B1157" s="7" t="s">
        <v>108</v>
      </c>
      <c r="C1157" s="7" t="s">
        <v>108</v>
      </c>
      <c r="D1157" s="7" t="s">
        <v>5506</v>
      </c>
      <c r="E1157" s="6" t="s">
        <v>5507</v>
      </c>
      <c r="F1157" s="8" t="s">
        <v>6943</v>
      </c>
      <c r="G1157" s="8" t="s">
        <v>6961</v>
      </c>
      <c r="H1157" s="8" t="s">
        <v>6927</v>
      </c>
    </row>
    <row r="1158" spans="1:8">
      <c r="A1158" s="6" t="s">
        <v>537</v>
      </c>
      <c r="B1158" s="7" t="s">
        <v>9</v>
      </c>
      <c r="C1158" s="7" t="s">
        <v>9</v>
      </c>
      <c r="D1158" s="7" t="s">
        <v>538</v>
      </c>
      <c r="E1158" s="6" t="s">
        <v>539</v>
      </c>
      <c r="F1158" s="8"/>
      <c r="G1158" s="8"/>
      <c r="H1158" s="8"/>
    </row>
    <row r="1159" spans="1:8">
      <c r="A1159" s="6" t="s">
        <v>1044</v>
      </c>
      <c r="B1159" s="7" t="s">
        <v>718</v>
      </c>
      <c r="C1159" s="7" t="s">
        <v>718</v>
      </c>
      <c r="D1159" s="7" t="s">
        <v>1045</v>
      </c>
      <c r="E1159" s="6" t="s">
        <v>1046</v>
      </c>
      <c r="F1159" s="8"/>
      <c r="G1159" s="8"/>
      <c r="H1159" s="8"/>
    </row>
    <row r="1160" spans="1:8">
      <c r="A1160" s="6" t="s">
        <v>1044</v>
      </c>
      <c r="B1160" s="7" t="s">
        <v>718</v>
      </c>
      <c r="C1160" s="7" t="s">
        <v>718</v>
      </c>
      <c r="D1160" s="7" t="s">
        <v>1047</v>
      </c>
      <c r="E1160" s="6" t="s">
        <v>1048</v>
      </c>
      <c r="F1160" s="8" t="s">
        <v>6931</v>
      </c>
      <c r="G1160" s="8" t="s">
        <v>6929</v>
      </c>
      <c r="H1160" s="8" t="s">
        <v>6967</v>
      </c>
    </row>
    <row r="1161" spans="1:8">
      <c r="A1161" s="6" t="s">
        <v>1044</v>
      </c>
      <c r="B1161" s="7" t="s">
        <v>9</v>
      </c>
      <c r="C1161" s="7" t="s">
        <v>2313</v>
      </c>
      <c r="D1161" s="7" t="s">
        <v>2314</v>
      </c>
      <c r="E1161" s="6" t="s">
        <v>62</v>
      </c>
      <c r="F1161" s="8"/>
      <c r="G1161" s="8"/>
      <c r="H1161" s="8"/>
    </row>
    <row r="1162" spans="1:8">
      <c r="A1162" s="6" t="s">
        <v>1044</v>
      </c>
      <c r="B1162" s="7" t="s">
        <v>78</v>
      </c>
      <c r="C1162" s="7" t="s">
        <v>78</v>
      </c>
      <c r="D1162" s="7" t="s">
        <v>2315</v>
      </c>
      <c r="E1162" s="6" t="s">
        <v>2316</v>
      </c>
      <c r="F1162" s="8" t="s">
        <v>6931</v>
      </c>
      <c r="G1162" s="8" t="s">
        <v>7056</v>
      </c>
      <c r="H1162" s="8" t="s">
        <v>6951</v>
      </c>
    </row>
    <row r="1163" spans="1:8">
      <c r="A1163" s="6" t="s">
        <v>1044</v>
      </c>
      <c r="B1163" s="7" t="s">
        <v>78</v>
      </c>
      <c r="C1163" s="7" t="s">
        <v>1698</v>
      </c>
      <c r="D1163" s="7" t="s">
        <v>2317</v>
      </c>
      <c r="E1163" s="6" t="s">
        <v>2318</v>
      </c>
      <c r="F1163" s="8"/>
      <c r="G1163" s="8"/>
      <c r="H1163" s="8"/>
    </row>
    <row r="1164" spans="1:8">
      <c r="A1164" s="6" t="s">
        <v>1044</v>
      </c>
      <c r="B1164" s="7" t="s">
        <v>9</v>
      </c>
      <c r="C1164" s="7" t="s">
        <v>1698</v>
      </c>
      <c r="D1164" s="7" t="s">
        <v>2319</v>
      </c>
      <c r="E1164" s="6" t="s">
        <v>2320</v>
      </c>
      <c r="F1164" s="8" t="s">
        <v>3334</v>
      </c>
      <c r="G1164" s="8" t="s">
        <v>6953</v>
      </c>
      <c r="H1164" s="8" t="s">
        <v>7154</v>
      </c>
    </row>
    <row r="1165" spans="1:8">
      <c r="A1165" s="6" t="s">
        <v>1044</v>
      </c>
      <c r="B1165" s="7" t="s">
        <v>9</v>
      </c>
      <c r="C1165" s="7" t="s">
        <v>264</v>
      </c>
      <c r="D1165" s="7" t="s">
        <v>2321</v>
      </c>
      <c r="E1165" s="6" t="s">
        <v>2322</v>
      </c>
      <c r="F1165" s="8"/>
      <c r="G1165" s="8"/>
      <c r="H1165" s="8"/>
    </row>
    <row r="1166" spans="1:8">
      <c r="A1166" s="6" t="s">
        <v>1044</v>
      </c>
      <c r="B1166" s="7" t="s">
        <v>9</v>
      </c>
      <c r="C1166" s="7" t="s">
        <v>264</v>
      </c>
      <c r="D1166" s="7" t="s">
        <v>2323</v>
      </c>
      <c r="E1166" s="6" t="s">
        <v>2324</v>
      </c>
      <c r="F1166" s="8"/>
      <c r="G1166" s="8"/>
      <c r="H1166" s="8"/>
    </row>
    <row r="1167" spans="1:8">
      <c r="A1167" s="6" t="s">
        <v>1044</v>
      </c>
      <c r="B1167" s="7" t="s">
        <v>9</v>
      </c>
      <c r="C1167" s="7" t="s">
        <v>264</v>
      </c>
      <c r="D1167" s="7" t="s">
        <v>2325</v>
      </c>
      <c r="E1167" s="6" t="s">
        <v>2326</v>
      </c>
      <c r="F1167" s="8" t="s">
        <v>7041</v>
      </c>
      <c r="G1167" s="8" t="s">
        <v>6926</v>
      </c>
      <c r="H1167" s="8" t="s">
        <v>7153</v>
      </c>
    </row>
    <row r="1168" spans="1:8">
      <c r="A1168" s="6" t="s">
        <v>1044</v>
      </c>
      <c r="B1168" s="7" t="s">
        <v>9</v>
      </c>
      <c r="C1168" s="7" t="s">
        <v>264</v>
      </c>
      <c r="D1168" s="7" t="s">
        <v>2327</v>
      </c>
      <c r="E1168" s="6" t="s">
        <v>2328</v>
      </c>
      <c r="F1168" s="8"/>
      <c r="G1168" s="8"/>
      <c r="H1168" s="8"/>
    </row>
    <row r="1169" spans="1:8">
      <c r="A1169" s="6" t="s">
        <v>884</v>
      </c>
      <c r="B1169" s="7" t="s">
        <v>9</v>
      </c>
      <c r="C1169" s="7" t="s">
        <v>885</v>
      </c>
      <c r="D1169" s="7" t="s">
        <v>886</v>
      </c>
      <c r="E1169" s="6" t="s">
        <v>887</v>
      </c>
      <c r="F1169" s="8"/>
      <c r="G1169" s="8"/>
      <c r="H1169" s="8"/>
    </row>
    <row r="1170" spans="1:8">
      <c r="A1170" s="6" t="s">
        <v>99</v>
      </c>
      <c r="B1170" s="7" t="s">
        <v>100</v>
      </c>
      <c r="C1170" s="7" t="s">
        <v>100</v>
      </c>
      <c r="D1170" s="7" t="s">
        <v>101</v>
      </c>
      <c r="E1170" s="6" t="s">
        <v>102</v>
      </c>
      <c r="F1170" s="8"/>
      <c r="G1170" s="8"/>
      <c r="H1170" s="8"/>
    </row>
    <row r="1171" spans="1:8">
      <c r="A1171" s="6" t="s">
        <v>99</v>
      </c>
      <c r="B1171" s="7" t="s">
        <v>119</v>
      </c>
      <c r="C1171" s="7" t="s">
        <v>119</v>
      </c>
      <c r="D1171" s="7" t="s">
        <v>120</v>
      </c>
      <c r="E1171" s="6" t="s">
        <v>121</v>
      </c>
      <c r="F1171" s="8" t="s">
        <v>7078</v>
      </c>
      <c r="G1171" s="8" t="s">
        <v>6929</v>
      </c>
      <c r="H1171" s="8" t="s">
        <v>6932</v>
      </c>
    </row>
    <row r="1172" spans="1:8">
      <c r="A1172" s="6" t="s">
        <v>99</v>
      </c>
      <c r="B1172" s="7" t="s">
        <v>119</v>
      </c>
      <c r="C1172" s="7" t="s">
        <v>119</v>
      </c>
      <c r="D1172" s="7" t="s">
        <v>122</v>
      </c>
      <c r="E1172" s="6" t="s">
        <v>123</v>
      </c>
      <c r="F1172" s="8" t="s">
        <v>7078</v>
      </c>
      <c r="G1172" s="8" t="s">
        <v>6929</v>
      </c>
      <c r="H1172" s="8" t="s">
        <v>6932</v>
      </c>
    </row>
    <row r="1173" spans="1:8">
      <c r="A1173" s="6" t="s">
        <v>99</v>
      </c>
      <c r="B1173" s="7" t="s">
        <v>119</v>
      </c>
      <c r="C1173" s="7" t="s">
        <v>119</v>
      </c>
      <c r="D1173" s="7" t="s">
        <v>255</v>
      </c>
      <c r="E1173" s="6" t="s">
        <v>256</v>
      </c>
      <c r="F1173" s="8" t="s">
        <v>7078</v>
      </c>
      <c r="G1173" s="8" t="s">
        <v>6929</v>
      </c>
      <c r="H1173" s="8" t="s">
        <v>6932</v>
      </c>
    </row>
    <row r="1174" spans="1:8">
      <c r="A1174" s="6" t="s">
        <v>99</v>
      </c>
      <c r="B1174" s="7" t="s">
        <v>850</v>
      </c>
      <c r="C1174" s="7" t="s">
        <v>850</v>
      </c>
      <c r="D1174" s="7" t="s">
        <v>851</v>
      </c>
      <c r="E1174" s="6" t="s">
        <v>852</v>
      </c>
      <c r="F1174" s="8"/>
      <c r="G1174" s="8"/>
      <c r="H1174" s="8"/>
    </row>
    <row r="1175" spans="1:8">
      <c r="A1175" s="6" t="s">
        <v>99</v>
      </c>
      <c r="B1175" s="7" t="s">
        <v>119</v>
      </c>
      <c r="C1175" s="7" t="s">
        <v>119</v>
      </c>
      <c r="D1175" s="7" t="s">
        <v>1012</v>
      </c>
      <c r="E1175" s="6" t="s">
        <v>656</v>
      </c>
      <c r="F1175" s="8"/>
      <c r="G1175" s="8"/>
      <c r="H1175" s="8"/>
    </row>
    <row r="1176" spans="1:8">
      <c r="A1176" s="6" t="s">
        <v>99</v>
      </c>
      <c r="B1176" s="7" t="s">
        <v>119</v>
      </c>
      <c r="C1176" s="7" t="s">
        <v>119</v>
      </c>
      <c r="D1176" s="7" t="s">
        <v>1013</v>
      </c>
      <c r="E1176" s="6" t="s">
        <v>1014</v>
      </c>
      <c r="F1176" s="8" t="s">
        <v>7078</v>
      </c>
      <c r="G1176" s="8" t="s">
        <v>6929</v>
      </c>
      <c r="H1176" s="8" t="s">
        <v>6932</v>
      </c>
    </row>
    <row r="1177" spans="1:8">
      <c r="A1177" s="6" t="s">
        <v>99</v>
      </c>
      <c r="B1177" s="7" t="s">
        <v>100</v>
      </c>
      <c r="C1177" s="7" t="s">
        <v>100</v>
      </c>
      <c r="D1177" s="7" t="s">
        <v>1023</v>
      </c>
      <c r="E1177" s="6" t="s">
        <v>1024</v>
      </c>
      <c r="F1177" s="8"/>
      <c r="G1177" s="8"/>
      <c r="H1177" s="8"/>
    </row>
    <row r="1178" spans="1:8">
      <c r="A1178" s="6" t="s">
        <v>99</v>
      </c>
      <c r="B1178" s="7" t="s">
        <v>100</v>
      </c>
      <c r="C1178" s="7" t="s">
        <v>100</v>
      </c>
      <c r="D1178" s="7" t="s">
        <v>1025</v>
      </c>
      <c r="E1178" s="6" t="s">
        <v>1024</v>
      </c>
      <c r="F1178" s="8"/>
      <c r="G1178" s="8"/>
      <c r="H1178" s="8"/>
    </row>
    <row r="1179" spans="1:8">
      <c r="A1179" s="6" t="s">
        <v>99</v>
      </c>
      <c r="B1179" s="7" t="s">
        <v>100</v>
      </c>
      <c r="C1179" s="7" t="s">
        <v>100</v>
      </c>
      <c r="D1179" s="7" t="s">
        <v>1073</v>
      </c>
      <c r="E1179" s="6" t="s">
        <v>1074</v>
      </c>
      <c r="F1179" s="8"/>
      <c r="G1179" s="8"/>
      <c r="H1179" s="8"/>
    </row>
    <row r="1180" spans="1:8">
      <c r="A1180" s="6" t="s">
        <v>99</v>
      </c>
      <c r="B1180" s="7" t="s">
        <v>100</v>
      </c>
      <c r="C1180" s="7" t="s">
        <v>100</v>
      </c>
      <c r="D1180" s="7" t="s">
        <v>1075</v>
      </c>
      <c r="E1180" s="6" t="s">
        <v>1076</v>
      </c>
      <c r="F1180" s="8" t="s">
        <v>6939</v>
      </c>
      <c r="G1180" s="8" t="s">
        <v>6929</v>
      </c>
      <c r="H1180" s="8" t="s">
        <v>7088</v>
      </c>
    </row>
    <row r="1181" spans="1:8">
      <c r="A1181" s="6" t="s">
        <v>99</v>
      </c>
      <c r="B1181" s="7" t="s">
        <v>100</v>
      </c>
      <c r="C1181" s="7" t="s">
        <v>100</v>
      </c>
      <c r="D1181" s="7" t="s">
        <v>1077</v>
      </c>
      <c r="E1181" s="6" t="s">
        <v>1078</v>
      </c>
      <c r="F1181" s="8" t="s">
        <v>7158</v>
      </c>
      <c r="G1181" s="8" t="s">
        <v>6929</v>
      </c>
      <c r="H1181" s="8" t="s">
        <v>7159</v>
      </c>
    </row>
    <row r="1182" spans="1:8">
      <c r="A1182" s="6" t="s">
        <v>99</v>
      </c>
      <c r="B1182" s="7" t="s">
        <v>100</v>
      </c>
      <c r="C1182" s="7" t="s">
        <v>100</v>
      </c>
      <c r="D1182" s="7" t="s">
        <v>1082</v>
      </c>
      <c r="E1182" s="6" t="s">
        <v>1083</v>
      </c>
      <c r="F1182" s="8"/>
      <c r="G1182" s="8"/>
      <c r="H1182" s="8"/>
    </row>
    <row r="1183" spans="1:8">
      <c r="A1183" s="6" t="s">
        <v>99</v>
      </c>
      <c r="B1183" s="7" t="s">
        <v>100</v>
      </c>
      <c r="C1183" s="7" t="s">
        <v>100</v>
      </c>
      <c r="D1183" s="7" t="s">
        <v>1084</v>
      </c>
      <c r="E1183" s="6" t="s">
        <v>1076</v>
      </c>
      <c r="F1183" s="8"/>
      <c r="G1183" s="8"/>
      <c r="H1183" s="8"/>
    </row>
    <row r="1184" spans="1:8">
      <c r="A1184" s="6" t="s">
        <v>99</v>
      </c>
      <c r="B1184" s="7" t="s">
        <v>100</v>
      </c>
      <c r="C1184" s="7" t="s">
        <v>100</v>
      </c>
      <c r="D1184" s="7" t="s">
        <v>1085</v>
      </c>
      <c r="E1184" s="6" t="s">
        <v>1086</v>
      </c>
      <c r="F1184" s="8"/>
      <c r="G1184" s="8"/>
      <c r="H1184" s="8"/>
    </row>
    <row r="1185" spans="1:8">
      <c r="A1185" s="6" t="s">
        <v>99</v>
      </c>
      <c r="B1185" s="7" t="s">
        <v>119</v>
      </c>
      <c r="C1185" s="7" t="s">
        <v>119</v>
      </c>
      <c r="D1185" s="7" t="s">
        <v>1249</v>
      </c>
      <c r="E1185" s="6" t="s">
        <v>1250</v>
      </c>
      <c r="F1185" s="8"/>
      <c r="G1185" s="8"/>
      <c r="H1185" s="8"/>
    </row>
    <row r="1186" spans="1:8">
      <c r="A1186" s="6" t="s">
        <v>99</v>
      </c>
      <c r="B1186" s="7" t="s">
        <v>119</v>
      </c>
      <c r="C1186" s="7" t="s">
        <v>119</v>
      </c>
      <c r="D1186" s="7" t="s">
        <v>1304</v>
      </c>
      <c r="E1186" s="6" t="s">
        <v>582</v>
      </c>
      <c r="F1186" s="8"/>
      <c r="G1186" s="8"/>
      <c r="H1186" s="8"/>
    </row>
    <row r="1187" spans="1:8">
      <c r="A1187" s="6" t="s">
        <v>99</v>
      </c>
      <c r="B1187" s="7" t="s">
        <v>119</v>
      </c>
      <c r="C1187" s="7" t="s">
        <v>898</v>
      </c>
      <c r="D1187" s="7" t="s">
        <v>1736</v>
      </c>
      <c r="E1187" s="6" t="s">
        <v>1737</v>
      </c>
      <c r="F1187" s="8"/>
      <c r="G1187" s="8"/>
      <c r="H1187" s="8"/>
    </row>
    <row r="1188" spans="1:8">
      <c r="A1188" s="6" t="s">
        <v>99</v>
      </c>
      <c r="B1188" s="7" t="s">
        <v>6016</v>
      </c>
      <c r="C1188" s="7" t="s">
        <v>6016</v>
      </c>
      <c r="D1188" s="7" t="s">
        <v>6239</v>
      </c>
      <c r="E1188" s="6" t="s">
        <v>6240</v>
      </c>
      <c r="F1188" s="8"/>
      <c r="G1188" s="8"/>
      <c r="H1188" s="8"/>
    </row>
    <row r="1189" spans="1:8">
      <c r="A1189" s="6" t="s">
        <v>99</v>
      </c>
      <c r="B1189" s="7" t="s">
        <v>3032</v>
      </c>
      <c r="C1189" s="7" t="s">
        <v>3032</v>
      </c>
      <c r="D1189" s="7" t="s">
        <v>6241</v>
      </c>
      <c r="E1189" s="6" t="s">
        <v>6242</v>
      </c>
      <c r="F1189" s="8"/>
      <c r="G1189" s="8"/>
      <c r="H1189" s="8"/>
    </row>
    <row r="1190" spans="1:8">
      <c r="A1190" s="6" t="s">
        <v>99</v>
      </c>
      <c r="B1190" s="7" t="s">
        <v>112</v>
      </c>
      <c r="C1190" s="7" t="s">
        <v>149</v>
      </c>
      <c r="D1190" s="7" t="s">
        <v>6243</v>
      </c>
      <c r="E1190" s="6" t="s">
        <v>3784</v>
      </c>
      <c r="F1190" s="8"/>
      <c r="G1190" s="8"/>
      <c r="H1190" s="8"/>
    </row>
    <row r="1191" spans="1:8">
      <c r="A1191" s="6" t="s">
        <v>99</v>
      </c>
      <c r="B1191" s="7" t="s">
        <v>112</v>
      </c>
      <c r="C1191" s="7" t="s">
        <v>149</v>
      </c>
      <c r="D1191" s="7" t="s">
        <v>6244</v>
      </c>
      <c r="E1191" s="6" t="s">
        <v>6245</v>
      </c>
      <c r="F1191" s="8"/>
      <c r="G1191" s="8"/>
      <c r="H1191" s="8"/>
    </row>
    <row r="1192" spans="1:8">
      <c r="A1192" s="6" t="s">
        <v>99</v>
      </c>
      <c r="B1192" s="7" t="s">
        <v>112</v>
      </c>
      <c r="C1192" s="7" t="s">
        <v>149</v>
      </c>
      <c r="D1192" s="7" t="s">
        <v>6246</v>
      </c>
      <c r="E1192" s="6" t="s">
        <v>6247</v>
      </c>
      <c r="F1192" s="8"/>
      <c r="G1192" s="8"/>
      <c r="H1192" s="8"/>
    </row>
    <row r="1193" spans="1:8">
      <c r="A1193" s="6" t="s">
        <v>99</v>
      </c>
      <c r="B1193" s="7" t="s">
        <v>112</v>
      </c>
      <c r="C1193" s="7" t="s">
        <v>149</v>
      </c>
      <c r="D1193" s="7" t="s">
        <v>6248</v>
      </c>
      <c r="E1193" s="6" t="s">
        <v>6249</v>
      </c>
      <c r="F1193" s="8"/>
      <c r="G1193" s="8"/>
      <c r="H1193" s="8"/>
    </row>
    <row r="1194" spans="1:8">
      <c r="A1194" s="6" t="s">
        <v>99</v>
      </c>
      <c r="B1194" s="7" t="s">
        <v>1319</v>
      </c>
      <c r="C1194" s="7" t="s">
        <v>1319</v>
      </c>
      <c r="D1194" s="7" t="s">
        <v>6250</v>
      </c>
      <c r="E1194" s="6" t="s">
        <v>6251</v>
      </c>
      <c r="F1194" s="8"/>
      <c r="G1194" s="8"/>
      <c r="H1194" s="8"/>
    </row>
    <row r="1195" spans="1:8">
      <c r="A1195" s="6" t="s">
        <v>99</v>
      </c>
      <c r="B1195" s="7" t="s">
        <v>1512</v>
      </c>
      <c r="C1195" s="7" t="s">
        <v>1512</v>
      </c>
      <c r="D1195" s="7" t="s">
        <v>6252</v>
      </c>
      <c r="E1195" s="6" t="s">
        <v>6253</v>
      </c>
      <c r="F1195" s="8"/>
      <c r="G1195" s="8"/>
      <c r="H1195" s="8"/>
    </row>
    <row r="1196" spans="1:8">
      <c r="A1196" s="6" t="s">
        <v>99</v>
      </c>
      <c r="B1196" s="7" t="s">
        <v>1512</v>
      </c>
      <c r="C1196" s="7" t="s">
        <v>1512</v>
      </c>
      <c r="D1196" s="7" t="s">
        <v>6254</v>
      </c>
      <c r="E1196" s="6" t="s">
        <v>6255</v>
      </c>
      <c r="F1196" s="8"/>
      <c r="G1196" s="8"/>
      <c r="H1196" s="8"/>
    </row>
    <row r="1197" spans="1:8">
      <c r="A1197" s="6" t="s">
        <v>99</v>
      </c>
      <c r="B1197" s="7" t="s">
        <v>1512</v>
      </c>
      <c r="C1197" s="7" t="s">
        <v>1512</v>
      </c>
      <c r="D1197" s="7" t="s">
        <v>6256</v>
      </c>
      <c r="E1197" s="6" t="s">
        <v>6257</v>
      </c>
      <c r="F1197" s="8"/>
      <c r="G1197" s="8"/>
      <c r="H1197" s="8"/>
    </row>
    <row r="1198" spans="1:8">
      <c r="A1198" s="6" t="s">
        <v>99</v>
      </c>
      <c r="B1198" s="7" t="s">
        <v>100</v>
      </c>
      <c r="C1198" s="7" t="s">
        <v>100</v>
      </c>
      <c r="D1198" s="7" t="s">
        <v>6258</v>
      </c>
      <c r="E1198" s="6" t="s">
        <v>6259</v>
      </c>
      <c r="F1198" s="8"/>
      <c r="G1198" s="8"/>
      <c r="H1198" s="8"/>
    </row>
    <row r="1199" spans="1:8">
      <c r="A1199" s="6" t="s">
        <v>99</v>
      </c>
      <c r="B1199" s="7" t="s">
        <v>100</v>
      </c>
      <c r="C1199" s="7" t="s">
        <v>100</v>
      </c>
      <c r="D1199" s="7" t="s">
        <v>6260</v>
      </c>
      <c r="E1199" s="6" t="s">
        <v>6261</v>
      </c>
      <c r="F1199" s="8"/>
      <c r="G1199" s="8"/>
      <c r="H1199" s="8"/>
    </row>
    <row r="1200" spans="1:8">
      <c r="A1200" s="6" t="s">
        <v>99</v>
      </c>
      <c r="B1200" s="7" t="s">
        <v>100</v>
      </c>
      <c r="C1200" s="7" t="s">
        <v>100</v>
      </c>
      <c r="D1200" s="7" t="s">
        <v>6262</v>
      </c>
      <c r="E1200" s="6" t="s">
        <v>6263</v>
      </c>
      <c r="F1200" s="8"/>
      <c r="G1200" s="8"/>
      <c r="H1200" s="8"/>
    </row>
    <row r="1201" spans="1:8">
      <c r="A1201" s="6" t="s">
        <v>99</v>
      </c>
      <c r="B1201" s="7" t="s">
        <v>100</v>
      </c>
      <c r="C1201" s="7" t="s">
        <v>100</v>
      </c>
      <c r="D1201" s="7" t="s">
        <v>6264</v>
      </c>
      <c r="E1201" s="6" t="s">
        <v>2486</v>
      </c>
      <c r="F1201" s="8"/>
      <c r="G1201" s="8"/>
      <c r="H1201" s="8"/>
    </row>
    <row r="1202" spans="1:8">
      <c r="A1202" s="6" t="s">
        <v>99</v>
      </c>
      <c r="B1202" s="7" t="s">
        <v>100</v>
      </c>
      <c r="C1202" s="7" t="s">
        <v>100</v>
      </c>
      <c r="D1202" s="7" t="s">
        <v>6265</v>
      </c>
      <c r="E1202" s="6" t="s">
        <v>6266</v>
      </c>
      <c r="F1202" s="8"/>
      <c r="G1202" s="8"/>
      <c r="H1202" s="8"/>
    </row>
    <row r="1203" spans="1:8">
      <c r="A1203" s="6" t="s">
        <v>99</v>
      </c>
      <c r="B1203" s="7" t="s">
        <v>100</v>
      </c>
      <c r="C1203" s="7" t="s">
        <v>100</v>
      </c>
      <c r="D1203" s="7" t="s">
        <v>6267</v>
      </c>
      <c r="E1203" s="6" t="s">
        <v>6268</v>
      </c>
      <c r="F1203" s="8"/>
      <c r="G1203" s="8"/>
      <c r="H1203" s="8"/>
    </row>
    <row r="1204" spans="1:8">
      <c r="A1204" s="6" t="s">
        <v>99</v>
      </c>
      <c r="B1204" s="7" t="s">
        <v>935</v>
      </c>
      <c r="C1204" s="7" t="s">
        <v>935</v>
      </c>
      <c r="D1204" s="7" t="s">
        <v>6269</v>
      </c>
      <c r="E1204" s="6" t="s">
        <v>6270</v>
      </c>
      <c r="F1204" s="8" t="s">
        <v>6982</v>
      </c>
      <c r="G1204" s="8" t="s">
        <v>6929</v>
      </c>
      <c r="H1204" s="8" t="s">
        <v>7156</v>
      </c>
    </row>
    <row r="1205" spans="1:8">
      <c r="A1205" s="6" t="s">
        <v>99</v>
      </c>
      <c r="B1205" s="7" t="s">
        <v>119</v>
      </c>
      <c r="C1205" s="7" t="s">
        <v>898</v>
      </c>
      <c r="D1205" s="7" t="s">
        <v>6271</v>
      </c>
      <c r="E1205" s="6" t="s">
        <v>6272</v>
      </c>
      <c r="F1205" s="8"/>
      <c r="G1205" s="8"/>
      <c r="H1205" s="8"/>
    </row>
    <row r="1206" spans="1:8">
      <c r="A1206" s="6" t="s">
        <v>99</v>
      </c>
      <c r="B1206" s="7" t="s">
        <v>119</v>
      </c>
      <c r="C1206" s="7" t="s">
        <v>898</v>
      </c>
      <c r="D1206" s="7" t="s">
        <v>6273</v>
      </c>
      <c r="E1206" s="6" t="s">
        <v>6274</v>
      </c>
      <c r="F1206" s="8"/>
      <c r="G1206" s="8"/>
      <c r="H1206" s="8"/>
    </row>
    <row r="1207" spans="1:8">
      <c r="A1207" s="6" t="s">
        <v>99</v>
      </c>
      <c r="B1207" s="7" t="s">
        <v>119</v>
      </c>
      <c r="C1207" s="7" t="s">
        <v>898</v>
      </c>
      <c r="D1207" s="7" t="s">
        <v>6275</v>
      </c>
      <c r="E1207" s="6" t="s">
        <v>6276</v>
      </c>
      <c r="F1207" s="8"/>
      <c r="G1207" s="8"/>
      <c r="H1207" s="8"/>
    </row>
    <row r="1208" spans="1:8">
      <c r="A1208" s="6" t="s">
        <v>99</v>
      </c>
      <c r="B1208" s="7" t="s">
        <v>119</v>
      </c>
      <c r="C1208" s="7" t="s">
        <v>898</v>
      </c>
      <c r="D1208" s="7" t="s">
        <v>6277</v>
      </c>
      <c r="E1208" s="6" t="s">
        <v>6278</v>
      </c>
      <c r="F1208" s="8"/>
      <c r="G1208" s="8"/>
      <c r="H1208" s="8"/>
    </row>
    <row r="1209" spans="1:8">
      <c r="A1209" s="6" t="s">
        <v>99</v>
      </c>
      <c r="B1209" s="7" t="s">
        <v>119</v>
      </c>
      <c r="C1209" s="7" t="s">
        <v>898</v>
      </c>
      <c r="D1209" s="7" t="s">
        <v>6279</v>
      </c>
      <c r="E1209" s="6" t="s">
        <v>6280</v>
      </c>
      <c r="F1209" s="8"/>
      <c r="G1209" s="8"/>
      <c r="H1209" s="8"/>
    </row>
    <row r="1210" spans="1:8">
      <c r="A1210" s="6" t="s">
        <v>99</v>
      </c>
      <c r="B1210" s="7" t="s">
        <v>119</v>
      </c>
      <c r="C1210" s="7" t="s">
        <v>898</v>
      </c>
      <c r="D1210" s="7" t="s">
        <v>6281</v>
      </c>
      <c r="E1210" s="6" t="s">
        <v>6282</v>
      </c>
      <c r="F1210" s="8"/>
      <c r="G1210" s="8"/>
      <c r="H1210" s="8"/>
    </row>
    <row r="1211" spans="1:8">
      <c r="A1211" s="6" t="s">
        <v>99</v>
      </c>
      <c r="B1211" s="7" t="s">
        <v>119</v>
      </c>
      <c r="C1211" s="7" t="s">
        <v>898</v>
      </c>
      <c r="D1211" s="7" t="s">
        <v>6283</v>
      </c>
      <c r="E1211" s="6" t="s">
        <v>6284</v>
      </c>
      <c r="F1211" s="8" t="s">
        <v>6943</v>
      </c>
      <c r="G1211" s="8" t="s">
        <v>6929</v>
      </c>
      <c r="H1211" s="8" t="s">
        <v>7157</v>
      </c>
    </row>
    <row r="1212" spans="1:8">
      <c r="A1212" s="6" t="s">
        <v>99</v>
      </c>
      <c r="B1212" s="7" t="s">
        <v>119</v>
      </c>
      <c r="C1212" s="7" t="s">
        <v>898</v>
      </c>
      <c r="D1212" s="7" t="s">
        <v>6285</v>
      </c>
      <c r="E1212" s="6" t="s">
        <v>2073</v>
      </c>
      <c r="F1212" s="8"/>
      <c r="G1212" s="8"/>
      <c r="H1212" s="8"/>
    </row>
    <row r="1213" spans="1:8">
      <c r="A1213" s="6" t="s">
        <v>3942</v>
      </c>
      <c r="B1213" s="7" t="s">
        <v>482</v>
      </c>
      <c r="C1213" s="7" t="s">
        <v>9</v>
      </c>
      <c r="D1213" s="7" t="s">
        <v>3943</v>
      </c>
      <c r="E1213" s="6" t="s">
        <v>3944</v>
      </c>
      <c r="F1213" s="8"/>
      <c r="G1213" s="8"/>
      <c r="H1213" s="8"/>
    </row>
    <row r="1214" spans="1:8">
      <c r="A1214" s="6" t="s">
        <v>3942</v>
      </c>
      <c r="B1214" s="7" t="s">
        <v>1275</v>
      </c>
      <c r="C1214" s="7" t="s">
        <v>9</v>
      </c>
      <c r="D1214" s="7" t="s">
        <v>3945</v>
      </c>
      <c r="E1214" s="6" t="s">
        <v>3946</v>
      </c>
      <c r="F1214" s="8" t="s">
        <v>5162</v>
      </c>
      <c r="G1214" s="8" t="s">
        <v>6953</v>
      </c>
      <c r="H1214" s="8" t="s">
        <v>6954</v>
      </c>
    </row>
    <row r="1215" spans="1:8">
      <c r="A1215" s="6" t="s">
        <v>3942</v>
      </c>
      <c r="B1215" s="7" t="s">
        <v>606</v>
      </c>
      <c r="C1215" s="7" t="s">
        <v>74</v>
      </c>
      <c r="D1215" s="7" t="s">
        <v>3947</v>
      </c>
      <c r="E1215" s="6" t="s">
        <v>3948</v>
      </c>
      <c r="F1215" s="8"/>
      <c r="G1215" s="8"/>
      <c r="H1215" s="8"/>
    </row>
    <row r="1216" spans="1:8">
      <c r="A1216" s="6" t="s">
        <v>5086</v>
      </c>
      <c r="B1216" s="7" t="s">
        <v>5087</v>
      </c>
      <c r="C1216" s="7" t="s">
        <v>5087</v>
      </c>
      <c r="D1216" s="7" t="s">
        <v>5088</v>
      </c>
      <c r="E1216" s="6" t="s">
        <v>5089</v>
      </c>
      <c r="F1216" s="8"/>
      <c r="G1216" s="8"/>
      <c r="H1216" s="8"/>
    </row>
    <row r="1217" spans="1:8">
      <c r="A1217" s="6" t="s">
        <v>5086</v>
      </c>
      <c r="B1217" s="7" t="s">
        <v>5087</v>
      </c>
      <c r="C1217" s="7" t="s">
        <v>5087</v>
      </c>
      <c r="D1217" s="7" t="s">
        <v>5090</v>
      </c>
      <c r="E1217" s="6" t="s">
        <v>5091</v>
      </c>
      <c r="F1217" s="8"/>
      <c r="G1217" s="8"/>
      <c r="H1217" s="8"/>
    </row>
    <row r="1218" spans="1:8">
      <c r="A1218" s="6" t="s">
        <v>2162</v>
      </c>
      <c r="B1218" s="7" t="s">
        <v>9</v>
      </c>
      <c r="C1218" s="7" t="s">
        <v>9</v>
      </c>
      <c r="D1218" s="7" t="s">
        <v>2163</v>
      </c>
      <c r="E1218" s="6" t="s">
        <v>2164</v>
      </c>
      <c r="F1218" s="8"/>
      <c r="G1218" s="8"/>
      <c r="H1218" s="8"/>
    </row>
    <row r="1219" spans="1:8">
      <c r="A1219" s="6" t="s">
        <v>77</v>
      </c>
      <c r="B1219" s="7" t="s">
        <v>78</v>
      </c>
      <c r="C1219" s="7" t="s">
        <v>78</v>
      </c>
      <c r="D1219" s="7" t="s">
        <v>79</v>
      </c>
      <c r="E1219" s="6" t="s">
        <v>80</v>
      </c>
      <c r="F1219" s="8"/>
      <c r="G1219" s="8"/>
      <c r="H1219" s="8"/>
    </row>
    <row r="1220" spans="1:8">
      <c r="A1220" s="6" t="s">
        <v>77</v>
      </c>
      <c r="B1220" s="7" t="s">
        <v>264</v>
      </c>
      <c r="C1220" s="7" t="s">
        <v>264</v>
      </c>
      <c r="D1220" s="7" t="s">
        <v>265</v>
      </c>
      <c r="E1220" s="6" t="s">
        <v>266</v>
      </c>
      <c r="F1220" s="8"/>
      <c r="G1220" s="8"/>
      <c r="H1220" s="8"/>
    </row>
    <row r="1221" spans="1:8">
      <c r="A1221" s="6" t="s">
        <v>77</v>
      </c>
      <c r="B1221" s="7" t="s">
        <v>264</v>
      </c>
      <c r="C1221" s="7" t="s">
        <v>264</v>
      </c>
      <c r="D1221" s="7" t="s">
        <v>3057</v>
      </c>
      <c r="E1221" s="6" t="s">
        <v>3058</v>
      </c>
      <c r="F1221" s="8" t="s">
        <v>6931</v>
      </c>
      <c r="G1221" s="8" t="s">
        <v>6929</v>
      </c>
      <c r="H1221" s="8" t="s">
        <v>6937</v>
      </c>
    </row>
    <row r="1222" spans="1:8">
      <c r="A1222" s="6" t="s">
        <v>339</v>
      </c>
      <c r="B1222" s="7" t="s">
        <v>340</v>
      </c>
      <c r="C1222" s="7" t="s">
        <v>340</v>
      </c>
      <c r="D1222" s="7" t="s">
        <v>341</v>
      </c>
      <c r="E1222" s="6" t="s">
        <v>342</v>
      </c>
      <c r="F1222" s="8"/>
      <c r="G1222" s="8"/>
      <c r="H1222" s="8"/>
    </row>
    <row r="1223" spans="1:8">
      <c r="A1223" s="6" t="s">
        <v>339</v>
      </c>
      <c r="B1223" s="7" t="s">
        <v>545</v>
      </c>
      <c r="C1223" s="7" t="s">
        <v>545</v>
      </c>
      <c r="D1223" s="7" t="s">
        <v>546</v>
      </c>
      <c r="E1223" s="6" t="s">
        <v>547</v>
      </c>
      <c r="F1223" s="8"/>
      <c r="G1223" s="8"/>
      <c r="H1223" s="8"/>
    </row>
    <row r="1224" spans="1:8">
      <c r="A1224" s="6" t="s">
        <v>339</v>
      </c>
      <c r="B1224" s="7" t="s">
        <v>119</v>
      </c>
      <c r="C1224" s="7" t="s">
        <v>119</v>
      </c>
      <c r="D1224" s="7" t="s">
        <v>687</v>
      </c>
      <c r="E1224" s="6" t="s">
        <v>688</v>
      </c>
      <c r="F1224" s="8"/>
      <c r="G1224" s="8"/>
      <c r="H1224" s="8"/>
    </row>
    <row r="1225" spans="1:8">
      <c r="A1225" s="6" t="s">
        <v>339</v>
      </c>
      <c r="B1225" s="7" t="s">
        <v>697</v>
      </c>
      <c r="C1225" s="7" t="s">
        <v>340</v>
      </c>
      <c r="D1225" s="7" t="s">
        <v>698</v>
      </c>
      <c r="E1225" s="6" t="s">
        <v>699</v>
      </c>
      <c r="F1225" s="8" t="s">
        <v>6939</v>
      </c>
      <c r="G1225" s="8" t="s">
        <v>6926</v>
      </c>
      <c r="H1225" s="8" t="s">
        <v>6940</v>
      </c>
    </row>
    <row r="1226" spans="1:8">
      <c r="A1226" s="6" t="s">
        <v>339</v>
      </c>
      <c r="B1226" s="7" t="s">
        <v>119</v>
      </c>
      <c r="C1226" s="7" t="s">
        <v>119</v>
      </c>
      <c r="D1226" s="7" t="s">
        <v>723</v>
      </c>
      <c r="E1226" s="6" t="s">
        <v>724</v>
      </c>
      <c r="F1226" s="8" t="s">
        <v>6943</v>
      </c>
      <c r="G1226" s="8" t="s">
        <v>6929</v>
      </c>
      <c r="H1226" s="8" t="s">
        <v>6927</v>
      </c>
    </row>
    <row r="1227" spans="1:8">
      <c r="A1227" s="6" t="s">
        <v>339</v>
      </c>
      <c r="B1227" s="7" t="s">
        <v>725</v>
      </c>
      <c r="C1227" s="7" t="s">
        <v>725</v>
      </c>
      <c r="D1227" s="7" t="s">
        <v>726</v>
      </c>
      <c r="E1227" s="6" t="s">
        <v>727</v>
      </c>
      <c r="F1227" s="8"/>
      <c r="G1227" s="8"/>
      <c r="H1227" s="8"/>
    </row>
    <row r="1228" spans="1:8">
      <c r="A1228" s="6" t="s">
        <v>339</v>
      </c>
      <c r="B1228" s="7" t="s">
        <v>119</v>
      </c>
      <c r="C1228" s="7" t="s">
        <v>119</v>
      </c>
      <c r="D1228" s="7" t="s">
        <v>728</v>
      </c>
      <c r="E1228" s="6" t="s">
        <v>729</v>
      </c>
      <c r="F1228" s="8"/>
      <c r="G1228" s="8"/>
      <c r="H1228" s="8"/>
    </row>
    <row r="1229" spans="1:8">
      <c r="A1229" s="6" t="s">
        <v>339</v>
      </c>
      <c r="B1229" s="7" t="s">
        <v>119</v>
      </c>
      <c r="C1229" s="7" t="s">
        <v>119</v>
      </c>
      <c r="D1229" s="7" t="s">
        <v>730</v>
      </c>
      <c r="E1229" s="6" t="s">
        <v>731</v>
      </c>
      <c r="F1229" s="8"/>
      <c r="G1229" s="8"/>
      <c r="H1229" s="8"/>
    </row>
    <row r="1230" spans="1:8">
      <c r="A1230" s="6" t="s">
        <v>339</v>
      </c>
      <c r="B1230" s="7" t="s">
        <v>119</v>
      </c>
      <c r="C1230" s="7" t="s">
        <v>119</v>
      </c>
      <c r="D1230" s="7" t="s">
        <v>732</v>
      </c>
      <c r="E1230" s="6" t="s">
        <v>733</v>
      </c>
      <c r="F1230" s="8"/>
      <c r="G1230" s="8"/>
      <c r="H1230" s="8"/>
    </row>
    <row r="1231" spans="1:8">
      <c r="A1231" s="6" t="s">
        <v>339</v>
      </c>
      <c r="B1231" s="7" t="s">
        <v>739</v>
      </c>
      <c r="C1231" s="7" t="s">
        <v>739</v>
      </c>
      <c r="D1231" s="7" t="s">
        <v>740</v>
      </c>
      <c r="E1231" s="6" t="s">
        <v>741</v>
      </c>
      <c r="F1231" s="8" t="s">
        <v>5162</v>
      </c>
      <c r="G1231" s="8" t="s">
        <v>6929</v>
      </c>
      <c r="H1231" s="8" t="s">
        <v>6941</v>
      </c>
    </row>
    <row r="1232" spans="1:8">
      <c r="A1232" s="6" t="s">
        <v>339</v>
      </c>
      <c r="B1232" s="7" t="s">
        <v>725</v>
      </c>
      <c r="C1232" s="7" t="s">
        <v>725</v>
      </c>
      <c r="D1232" s="7" t="s">
        <v>755</v>
      </c>
      <c r="E1232" s="6" t="s">
        <v>756</v>
      </c>
      <c r="F1232" s="8"/>
      <c r="G1232" s="8"/>
      <c r="H1232" s="8"/>
    </row>
    <row r="1233" spans="1:8">
      <c r="A1233" s="6" t="s">
        <v>339</v>
      </c>
      <c r="B1233" s="7" t="s">
        <v>799</v>
      </c>
      <c r="C1233" s="7" t="s">
        <v>799</v>
      </c>
      <c r="D1233" s="7" t="s">
        <v>800</v>
      </c>
      <c r="E1233" s="6" t="s">
        <v>801</v>
      </c>
      <c r="F1233" s="8" t="s">
        <v>6944</v>
      </c>
      <c r="G1233" s="8" t="s">
        <v>6926</v>
      </c>
      <c r="H1233" s="8" t="s">
        <v>6945</v>
      </c>
    </row>
    <row r="1234" spans="1:8">
      <c r="A1234" s="6" t="s">
        <v>339</v>
      </c>
      <c r="B1234" s="7" t="s">
        <v>799</v>
      </c>
      <c r="C1234" s="7" t="s">
        <v>799</v>
      </c>
      <c r="D1234" s="7" t="s">
        <v>817</v>
      </c>
      <c r="E1234" s="6" t="s">
        <v>818</v>
      </c>
      <c r="F1234" s="8"/>
      <c r="G1234" s="8"/>
      <c r="H1234" s="8"/>
    </row>
    <row r="1235" spans="1:8">
      <c r="A1235" s="6" t="s">
        <v>339</v>
      </c>
      <c r="B1235" s="7" t="s">
        <v>739</v>
      </c>
      <c r="C1235" s="7" t="s">
        <v>739</v>
      </c>
      <c r="D1235" s="7" t="s">
        <v>1187</v>
      </c>
      <c r="E1235" s="6" t="s">
        <v>1188</v>
      </c>
      <c r="F1235" s="8" t="s">
        <v>6939</v>
      </c>
      <c r="G1235" s="8" t="s">
        <v>6929</v>
      </c>
      <c r="H1235" s="8" t="s">
        <v>6942</v>
      </c>
    </row>
    <row r="1236" spans="1:8">
      <c r="A1236" s="6" t="s">
        <v>339</v>
      </c>
      <c r="B1236" s="7" t="s">
        <v>1301</v>
      </c>
      <c r="C1236" s="7" t="s">
        <v>1301</v>
      </c>
      <c r="D1236" s="7" t="s">
        <v>1477</v>
      </c>
      <c r="E1236" s="6" t="s">
        <v>1478</v>
      </c>
      <c r="F1236" s="8"/>
      <c r="G1236" s="8"/>
      <c r="H1236" s="8"/>
    </row>
    <row r="1237" spans="1:8">
      <c r="A1237" s="6" t="s">
        <v>339</v>
      </c>
      <c r="B1237" s="7" t="s">
        <v>739</v>
      </c>
      <c r="C1237" s="7" t="s">
        <v>739</v>
      </c>
      <c r="D1237" s="7" t="s">
        <v>1823</v>
      </c>
      <c r="E1237" s="6" t="s">
        <v>1824</v>
      </c>
      <c r="F1237" s="8" t="s">
        <v>6939</v>
      </c>
      <c r="G1237" s="8" t="s">
        <v>6929</v>
      </c>
      <c r="H1237" s="8" t="s">
        <v>6942</v>
      </c>
    </row>
    <row r="1238" spans="1:8">
      <c r="A1238" s="6" t="s">
        <v>339</v>
      </c>
      <c r="B1238" s="7" t="s">
        <v>448</v>
      </c>
      <c r="C1238" s="7" t="s">
        <v>448</v>
      </c>
      <c r="D1238" s="7" t="s">
        <v>3017</v>
      </c>
      <c r="E1238" s="6" t="s">
        <v>3018</v>
      </c>
      <c r="F1238" s="8"/>
      <c r="G1238" s="8"/>
      <c r="H1238" s="8"/>
    </row>
    <row r="1239" spans="1:8">
      <c r="A1239" s="6" t="s">
        <v>339</v>
      </c>
      <c r="B1239" s="7" t="s">
        <v>739</v>
      </c>
      <c r="C1239" s="7" t="s">
        <v>739</v>
      </c>
      <c r="D1239" s="7" t="s">
        <v>3019</v>
      </c>
      <c r="E1239" s="6" t="s">
        <v>3020</v>
      </c>
      <c r="F1239" s="8" t="s">
        <v>6939</v>
      </c>
      <c r="G1239" s="8" t="s">
        <v>6929</v>
      </c>
      <c r="H1239" s="8" t="s">
        <v>6942</v>
      </c>
    </row>
    <row r="1240" spans="1:8">
      <c r="A1240" s="6" t="s">
        <v>339</v>
      </c>
      <c r="B1240" s="7" t="s">
        <v>739</v>
      </c>
      <c r="C1240" s="7" t="s">
        <v>739</v>
      </c>
      <c r="D1240" s="7" t="s">
        <v>3021</v>
      </c>
      <c r="E1240" s="6" t="s">
        <v>3022</v>
      </c>
      <c r="F1240" s="8"/>
      <c r="G1240" s="8"/>
      <c r="H1240" s="8"/>
    </row>
    <row r="1241" spans="1:8">
      <c r="A1241" s="6" t="s">
        <v>339</v>
      </c>
      <c r="B1241" s="7" t="s">
        <v>2330</v>
      </c>
      <c r="C1241" s="7" t="s">
        <v>1731</v>
      </c>
      <c r="D1241" s="7" t="s">
        <v>3023</v>
      </c>
      <c r="E1241" s="6" t="s">
        <v>3024</v>
      </c>
      <c r="F1241" s="8"/>
      <c r="G1241" s="8"/>
      <c r="H1241" s="8"/>
    </row>
    <row r="1242" spans="1:8">
      <c r="A1242" s="6" t="s">
        <v>3953</v>
      </c>
      <c r="B1242" s="7" t="s">
        <v>9</v>
      </c>
      <c r="C1242" s="7" t="s">
        <v>9</v>
      </c>
      <c r="D1242" s="7" t="s">
        <v>3954</v>
      </c>
      <c r="E1242" s="6" t="s">
        <v>3955</v>
      </c>
      <c r="F1242" s="8"/>
      <c r="G1242" s="8"/>
      <c r="H1242" s="8"/>
    </row>
    <row r="1243" spans="1:8">
      <c r="A1243" s="6" t="s">
        <v>3953</v>
      </c>
      <c r="B1243" s="7" t="s">
        <v>9</v>
      </c>
      <c r="C1243" s="7" t="s">
        <v>9</v>
      </c>
      <c r="D1243" s="7" t="s">
        <v>3956</v>
      </c>
      <c r="E1243" s="6" t="s">
        <v>3957</v>
      </c>
      <c r="F1243" s="8"/>
      <c r="G1243" s="8"/>
      <c r="H1243" s="8"/>
    </row>
    <row r="1244" spans="1:8">
      <c r="A1244" s="6" t="s">
        <v>1373</v>
      </c>
      <c r="B1244" s="7" t="s">
        <v>1374</v>
      </c>
      <c r="C1244" s="7" t="s">
        <v>9</v>
      </c>
      <c r="D1244" s="7" t="s">
        <v>1375</v>
      </c>
      <c r="E1244" s="6" t="s">
        <v>1376</v>
      </c>
      <c r="F1244" s="8"/>
      <c r="G1244" s="8"/>
      <c r="H1244" s="8"/>
    </row>
    <row r="1245" spans="1:8">
      <c r="A1245" s="6" t="s">
        <v>1373</v>
      </c>
      <c r="B1245" s="7" t="s">
        <v>1386</v>
      </c>
      <c r="C1245" s="7" t="s">
        <v>1386</v>
      </c>
      <c r="D1245" s="7" t="s">
        <v>1387</v>
      </c>
      <c r="E1245" s="6" t="s">
        <v>1388</v>
      </c>
      <c r="F1245" s="8"/>
      <c r="G1245" s="8"/>
      <c r="H1245" s="8"/>
    </row>
    <row r="1246" spans="1:8">
      <c r="A1246" s="6" t="s">
        <v>1373</v>
      </c>
      <c r="B1246" s="7" t="s">
        <v>4746</v>
      </c>
      <c r="C1246" s="7" t="s">
        <v>4746</v>
      </c>
      <c r="D1246" s="7" t="s">
        <v>4747</v>
      </c>
      <c r="E1246" s="6" t="s">
        <v>4748</v>
      </c>
      <c r="F1246" s="8"/>
      <c r="G1246" s="8"/>
      <c r="H1246" s="8"/>
    </row>
    <row r="1247" spans="1:8">
      <c r="A1247" s="6" t="s">
        <v>1373</v>
      </c>
      <c r="B1247" s="7" t="s">
        <v>4749</v>
      </c>
      <c r="C1247" s="7" t="s">
        <v>4750</v>
      </c>
      <c r="D1247" s="7" t="s">
        <v>4751</v>
      </c>
      <c r="E1247" s="6" t="s">
        <v>4752</v>
      </c>
      <c r="F1247" s="8"/>
      <c r="G1247" s="8"/>
      <c r="H1247" s="8"/>
    </row>
    <row r="1248" spans="1:8">
      <c r="A1248" s="6" t="s">
        <v>1373</v>
      </c>
      <c r="B1248" s="7" t="s">
        <v>4749</v>
      </c>
      <c r="C1248" s="7" t="s">
        <v>4750</v>
      </c>
      <c r="D1248" s="7" t="s">
        <v>4753</v>
      </c>
      <c r="E1248" s="6" t="s">
        <v>4754</v>
      </c>
      <c r="F1248" s="8"/>
      <c r="G1248" s="8"/>
      <c r="H1248" s="8"/>
    </row>
    <row r="1249" spans="1:8">
      <c r="A1249" s="6" t="s">
        <v>1373</v>
      </c>
      <c r="B1249" s="7" t="s">
        <v>4749</v>
      </c>
      <c r="C1249" s="7" t="s">
        <v>4750</v>
      </c>
      <c r="D1249" s="7" t="s">
        <v>4755</v>
      </c>
      <c r="E1249" s="6" t="s">
        <v>4756</v>
      </c>
      <c r="F1249" s="8"/>
      <c r="G1249" s="8"/>
      <c r="H1249" s="8"/>
    </row>
    <row r="1250" spans="1:8">
      <c r="A1250" s="6" t="s">
        <v>1373</v>
      </c>
      <c r="B1250" s="7" t="s">
        <v>4749</v>
      </c>
      <c r="C1250" s="7" t="s">
        <v>4750</v>
      </c>
      <c r="D1250" s="7" t="s">
        <v>4757</v>
      </c>
      <c r="E1250" s="6" t="s">
        <v>4758</v>
      </c>
      <c r="F1250" s="8"/>
      <c r="G1250" s="8"/>
      <c r="H1250" s="8"/>
    </row>
    <row r="1251" spans="1:8">
      <c r="A1251" s="6" t="s">
        <v>1373</v>
      </c>
      <c r="B1251" s="7" t="s">
        <v>4749</v>
      </c>
      <c r="C1251" s="7" t="s">
        <v>4750</v>
      </c>
      <c r="D1251" s="7" t="s">
        <v>4759</v>
      </c>
      <c r="E1251" s="6" t="s">
        <v>4760</v>
      </c>
      <c r="F1251" s="8"/>
      <c r="G1251" s="8"/>
      <c r="H1251" s="8"/>
    </row>
    <row r="1252" spans="1:8">
      <c r="A1252" s="6" t="s">
        <v>1373</v>
      </c>
      <c r="B1252" s="7" t="s">
        <v>4749</v>
      </c>
      <c r="C1252" s="7" t="s">
        <v>4750</v>
      </c>
      <c r="D1252" s="7" t="s">
        <v>4761</v>
      </c>
      <c r="E1252" s="6" t="s">
        <v>4762</v>
      </c>
      <c r="F1252" s="8"/>
      <c r="G1252" s="8"/>
      <c r="H1252" s="8"/>
    </row>
    <row r="1253" spans="1:8">
      <c r="A1253" s="6" t="s">
        <v>1373</v>
      </c>
      <c r="B1253" s="7" t="s">
        <v>4749</v>
      </c>
      <c r="C1253" s="7" t="s">
        <v>4750</v>
      </c>
      <c r="D1253" s="7" t="s">
        <v>4763</v>
      </c>
      <c r="E1253" s="6" t="s">
        <v>4764</v>
      </c>
      <c r="F1253" s="8"/>
      <c r="G1253" s="8"/>
      <c r="H1253" s="8"/>
    </row>
    <row r="1254" spans="1:8">
      <c r="A1254" s="6" t="s">
        <v>1373</v>
      </c>
      <c r="B1254" s="7" t="s">
        <v>4749</v>
      </c>
      <c r="C1254" s="7" t="s">
        <v>4750</v>
      </c>
      <c r="D1254" s="7" t="s">
        <v>4765</v>
      </c>
      <c r="E1254" s="6" t="s">
        <v>4766</v>
      </c>
      <c r="F1254" s="8"/>
      <c r="G1254" s="8"/>
      <c r="H1254" s="8"/>
    </row>
    <row r="1255" spans="1:8">
      <c r="A1255" s="6" t="s">
        <v>1373</v>
      </c>
      <c r="B1255" s="7" t="s">
        <v>4749</v>
      </c>
      <c r="C1255" s="7" t="s">
        <v>4750</v>
      </c>
      <c r="D1255" s="7" t="s">
        <v>4767</v>
      </c>
      <c r="E1255" s="6" t="s">
        <v>4768</v>
      </c>
      <c r="F1255" s="8"/>
      <c r="G1255" s="8"/>
      <c r="H1255" s="8"/>
    </row>
    <row r="1256" spans="1:8">
      <c r="A1256" s="6" t="s">
        <v>1373</v>
      </c>
      <c r="B1256" s="7" t="s">
        <v>1374</v>
      </c>
      <c r="C1256" s="7" t="s">
        <v>4769</v>
      </c>
      <c r="D1256" s="7" t="s">
        <v>4770</v>
      </c>
      <c r="E1256" s="6" t="s">
        <v>4771</v>
      </c>
      <c r="F1256" s="8"/>
      <c r="G1256" s="8"/>
      <c r="H1256" s="8"/>
    </row>
    <row r="1257" spans="1:8">
      <c r="A1257" s="6" t="s">
        <v>1373</v>
      </c>
      <c r="B1257" s="7" t="s">
        <v>1386</v>
      </c>
      <c r="C1257" s="7" t="s">
        <v>1374</v>
      </c>
      <c r="D1257" s="7" t="s">
        <v>4772</v>
      </c>
      <c r="E1257" s="6" t="s">
        <v>4773</v>
      </c>
      <c r="F1257" s="8"/>
      <c r="G1257" s="8"/>
      <c r="H1257" s="8"/>
    </row>
    <row r="1258" spans="1:8">
      <c r="A1258" s="6" t="s">
        <v>1373</v>
      </c>
      <c r="B1258" s="7" t="s">
        <v>4774</v>
      </c>
      <c r="C1258" s="7" t="s">
        <v>4774</v>
      </c>
      <c r="D1258" s="7" t="s">
        <v>4775</v>
      </c>
      <c r="E1258" s="6" t="s">
        <v>1681</v>
      </c>
      <c r="F1258" s="8"/>
      <c r="G1258" s="8"/>
      <c r="H1258" s="8"/>
    </row>
    <row r="1259" spans="1:8">
      <c r="A1259" s="6" t="s">
        <v>1373</v>
      </c>
      <c r="B1259" s="7" t="s">
        <v>4776</v>
      </c>
      <c r="C1259" s="7" t="s">
        <v>4776</v>
      </c>
      <c r="D1259" s="7" t="s">
        <v>4777</v>
      </c>
      <c r="E1259" s="6" t="s">
        <v>4778</v>
      </c>
      <c r="F1259" s="8"/>
      <c r="G1259" s="8"/>
      <c r="H1259" s="8"/>
    </row>
    <row r="1260" spans="1:8">
      <c r="A1260" s="6" t="s">
        <v>1373</v>
      </c>
      <c r="B1260" s="7" t="s">
        <v>4776</v>
      </c>
      <c r="C1260" s="7" t="s">
        <v>4776</v>
      </c>
      <c r="D1260" s="7" t="s">
        <v>4779</v>
      </c>
      <c r="E1260" s="6" t="s">
        <v>4780</v>
      </c>
      <c r="F1260" s="8"/>
      <c r="G1260" s="8"/>
      <c r="H1260" s="8"/>
    </row>
    <row r="1261" spans="1:8">
      <c r="A1261" s="6" t="s">
        <v>1373</v>
      </c>
      <c r="B1261" s="7" t="s">
        <v>4776</v>
      </c>
      <c r="C1261" s="7" t="s">
        <v>4776</v>
      </c>
      <c r="D1261" s="7" t="s">
        <v>4781</v>
      </c>
      <c r="E1261" s="6" t="s">
        <v>4782</v>
      </c>
      <c r="F1261" s="8"/>
      <c r="G1261" s="8"/>
      <c r="H1261" s="8"/>
    </row>
    <row r="1262" spans="1:8">
      <c r="A1262" s="6" t="s">
        <v>1373</v>
      </c>
      <c r="B1262" s="7" t="s">
        <v>4783</v>
      </c>
      <c r="C1262" s="7" t="s">
        <v>4783</v>
      </c>
      <c r="D1262" s="7" t="s">
        <v>4784</v>
      </c>
      <c r="E1262" s="6" t="s">
        <v>4785</v>
      </c>
      <c r="F1262" s="8"/>
      <c r="G1262" s="8"/>
      <c r="H1262" s="8"/>
    </row>
    <row r="1263" spans="1:8">
      <c r="A1263" s="6" t="s">
        <v>1373</v>
      </c>
      <c r="B1263" s="7" t="s">
        <v>4786</v>
      </c>
      <c r="C1263" s="7" t="s">
        <v>4786</v>
      </c>
      <c r="D1263" s="7" t="s">
        <v>4787</v>
      </c>
      <c r="E1263" s="6" t="s">
        <v>4788</v>
      </c>
      <c r="F1263" s="8"/>
      <c r="G1263" s="8"/>
      <c r="H1263" s="8"/>
    </row>
    <row r="1264" spans="1:8">
      <c r="A1264" s="6" t="s">
        <v>1373</v>
      </c>
      <c r="B1264" s="7" t="s">
        <v>4786</v>
      </c>
      <c r="C1264" s="7" t="s">
        <v>4786</v>
      </c>
      <c r="D1264" s="7" t="s">
        <v>4789</v>
      </c>
      <c r="E1264" s="6" t="s">
        <v>4790</v>
      </c>
      <c r="F1264" s="8" t="s">
        <v>3334</v>
      </c>
      <c r="G1264" s="8" t="s">
        <v>6929</v>
      </c>
      <c r="H1264" s="8" t="s">
        <v>6951</v>
      </c>
    </row>
    <row r="1265" spans="1:8">
      <c r="A1265" s="6" t="s">
        <v>1373</v>
      </c>
      <c r="B1265" s="7" t="s">
        <v>4791</v>
      </c>
      <c r="C1265" s="7" t="s">
        <v>4791</v>
      </c>
      <c r="D1265" s="7" t="s">
        <v>4792</v>
      </c>
      <c r="E1265" s="6" t="s">
        <v>4793</v>
      </c>
      <c r="F1265" s="8"/>
      <c r="G1265" s="8"/>
      <c r="H1265" s="8"/>
    </row>
    <row r="1266" spans="1:8">
      <c r="A1266" s="6" t="s">
        <v>1568</v>
      </c>
      <c r="B1266" s="7" t="s">
        <v>78</v>
      </c>
      <c r="C1266" s="7" t="s">
        <v>78</v>
      </c>
      <c r="D1266" s="7" t="s">
        <v>1569</v>
      </c>
      <c r="E1266" s="6" t="s">
        <v>1570</v>
      </c>
      <c r="F1266" s="8" t="s">
        <v>6931</v>
      </c>
      <c r="G1266" s="8" t="s">
        <v>6953</v>
      </c>
      <c r="H1266" s="8" t="s">
        <v>6951</v>
      </c>
    </row>
    <row r="1267" spans="1:8">
      <c r="A1267" s="6" t="s">
        <v>1568</v>
      </c>
      <c r="B1267" s="7" t="s">
        <v>2722</v>
      </c>
      <c r="C1267" s="7" t="s">
        <v>2722</v>
      </c>
      <c r="D1267" s="7" t="s">
        <v>2723</v>
      </c>
      <c r="E1267" s="6" t="s">
        <v>2724</v>
      </c>
      <c r="F1267" s="8"/>
      <c r="G1267" s="8"/>
      <c r="H1267" s="8"/>
    </row>
    <row r="1268" spans="1:8">
      <c r="A1268" s="6" t="s">
        <v>1568</v>
      </c>
      <c r="B1268" s="7" t="s">
        <v>2725</v>
      </c>
      <c r="C1268" s="7" t="s">
        <v>2725</v>
      </c>
      <c r="D1268" s="7" t="s">
        <v>2726</v>
      </c>
      <c r="E1268" s="6" t="s">
        <v>2727</v>
      </c>
      <c r="F1268" s="8"/>
      <c r="G1268" s="8"/>
      <c r="H1268" s="8"/>
    </row>
    <row r="1269" spans="1:8">
      <c r="A1269" s="6" t="s">
        <v>1568</v>
      </c>
      <c r="B1269" s="7" t="s">
        <v>2728</v>
      </c>
      <c r="C1269" s="7" t="s">
        <v>2728</v>
      </c>
      <c r="D1269" s="7" t="s">
        <v>2729</v>
      </c>
      <c r="E1269" s="6" t="s">
        <v>2730</v>
      </c>
      <c r="F1269" s="8"/>
      <c r="G1269" s="8"/>
      <c r="H1269" s="8"/>
    </row>
    <row r="1270" spans="1:8">
      <c r="A1270" s="6" t="s">
        <v>1568</v>
      </c>
      <c r="B1270" s="7" t="s">
        <v>2731</v>
      </c>
      <c r="C1270" s="7" t="s">
        <v>2731</v>
      </c>
      <c r="D1270" s="7" t="s">
        <v>2732</v>
      </c>
      <c r="E1270" s="6" t="s">
        <v>2733</v>
      </c>
      <c r="F1270" s="8"/>
      <c r="G1270" s="8"/>
      <c r="H1270" s="8"/>
    </row>
    <row r="1271" spans="1:8">
      <c r="A1271" s="6" t="s">
        <v>1568</v>
      </c>
      <c r="B1271" s="7" t="s">
        <v>2058</v>
      </c>
      <c r="C1271" s="7" t="s">
        <v>2058</v>
      </c>
      <c r="D1271" s="7" t="s">
        <v>2734</v>
      </c>
      <c r="E1271" s="6" t="s">
        <v>2735</v>
      </c>
      <c r="F1271" s="8"/>
      <c r="G1271" s="8"/>
      <c r="H1271" s="8"/>
    </row>
    <row r="1272" spans="1:8">
      <c r="A1272" s="6" t="s">
        <v>1568</v>
      </c>
      <c r="B1272" s="7" t="s">
        <v>78</v>
      </c>
      <c r="C1272" s="7" t="s">
        <v>78</v>
      </c>
      <c r="D1272" s="7" t="s">
        <v>2736</v>
      </c>
      <c r="E1272" s="6" t="s">
        <v>2737</v>
      </c>
      <c r="F1272" s="8" t="s">
        <v>6931</v>
      </c>
      <c r="G1272" s="8" t="s">
        <v>6953</v>
      </c>
      <c r="H1272" s="8" t="s">
        <v>6951</v>
      </c>
    </row>
    <row r="1273" spans="1:8">
      <c r="A1273" s="6" t="s">
        <v>1568</v>
      </c>
      <c r="B1273" s="7" t="s">
        <v>78</v>
      </c>
      <c r="C1273" s="7" t="s">
        <v>78</v>
      </c>
      <c r="D1273" s="7" t="s">
        <v>2738</v>
      </c>
      <c r="E1273" s="6" t="s">
        <v>2739</v>
      </c>
      <c r="F1273" s="8" t="s">
        <v>6931</v>
      </c>
      <c r="G1273" s="8" t="s">
        <v>6953</v>
      </c>
      <c r="H1273" s="8" t="s">
        <v>6951</v>
      </c>
    </row>
    <row r="1274" spans="1:8">
      <c r="A1274" s="6" t="s">
        <v>1568</v>
      </c>
      <c r="B1274" s="7" t="s">
        <v>78</v>
      </c>
      <c r="C1274" s="7" t="s">
        <v>78</v>
      </c>
      <c r="D1274" s="7" t="s">
        <v>2740</v>
      </c>
      <c r="E1274" s="6" t="s">
        <v>2741</v>
      </c>
      <c r="F1274" s="8" t="s">
        <v>6931</v>
      </c>
      <c r="G1274" s="8" t="s">
        <v>6953</v>
      </c>
      <c r="H1274" s="8" t="s">
        <v>6951</v>
      </c>
    </row>
    <row r="1275" spans="1:8">
      <c r="A1275" s="6" t="s">
        <v>1313</v>
      </c>
      <c r="B1275" s="7" t="s">
        <v>1314</v>
      </c>
      <c r="C1275" s="7" t="s">
        <v>1314</v>
      </c>
      <c r="D1275" s="7" t="s">
        <v>1315</v>
      </c>
      <c r="E1275" s="6" t="s">
        <v>1316</v>
      </c>
      <c r="F1275" s="8"/>
      <c r="G1275" s="8"/>
      <c r="H1275" s="8"/>
    </row>
    <row r="1276" spans="1:8">
      <c r="A1276" s="6" t="s">
        <v>1313</v>
      </c>
      <c r="B1276" s="7" t="s">
        <v>2697</v>
      </c>
      <c r="C1276" s="7" t="s">
        <v>2698</v>
      </c>
      <c r="D1276" s="7" t="s">
        <v>2699</v>
      </c>
      <c r="E1276" s="6" t="s">
        <v>498</v>
      </c>
      <c r="F1276" s="8"/>
      <c r="G1276" s="8"/>
      <c r="H1276" s="8"/>
    </row>
    <row r="1277" spans="1:8">
      <c r="A1277" s="6" t="s">
        <v>1313</v>
      </c>
      <c r="B1277" s="7" t="s">
        <v>2225</v>
      </c>
      <c r="C1277" s="7" t="s">
        <v>1340</v>
      </c>
      <c r="D1277" s="7" t="s">
        <v>2700</v>
      </c>
      <c r="E1277" s="6" t="s">
        <v>2701</v>
      </c>
      <c r="F1277" s="8"/>
      <c r="G1277" s="8"/>
      <c r="H1277" s="8"/>
    </row>
    <row r="1278" spans="1:8">
      <c r="A1278" s="6" t="s">
        <v>1313</v>
      </c>
      <c r="B1278" s="7" t="s">
        <v>2376</v>
      </c>
      <c r="C1278" s="7" t="s">
        <v>2376</v>
      </c>
      <c r="D1278" s="7" t="s">
        <v>2702</v>
      </c>
      <c r="E1278" s="6" t="s">
        <v>2703</v>
      </c>
      <c r="F1278" s="8"/>
      <c r="G1278" s="8"/>
      <c r="H1278" s="8"/>
    </row>
    <row r="1279" spans="1:8">
      <c r="A1279" s="6" t="s">
        <v>1313</v>
      </c>
      <c r="B1279" s="7" t="s">
        <v>2704</v>
      </c>
      <c r="C1279" s="7" t="s">
        <v>2705</v>
      </c>
      <c r="D1279" s="7" t="s">
        <v>2706</v>
      </c>
      <c r="E1279" s="6" t="s">
        <v>2707</v>
      </c>
      <c r="F1279" s="8" t="s">
        <v>3334</v>
      </c>
      <c r="G1279" s="8" t="s">
        <v>6929</v>
      </c>
      <c r="H1279" s="8" t="s">
        <v>7163</v>
      </c>
    </row>
    <row r="1280" spans="1:8">
      <c r="A1280" s="6" t="s">
        <v>1313</v>
      </c>
      <c r="B1280" s="7" t="s">
        <v>2708</v>
      </c>
      <c r="C1280" s="7" t="s">
        <v>2705</v>
      </c>
      <c r="D1280" s="7" t="s">
        <v>2709</v>
      </c>
      <c r="E1280" s="6" t="s">
        <v>2710</v>
      </c>
      <c r="F1280" s="8"/>
      <c r="G1280" s="8"/>
      <c r="H1280" s="8"/>
    </row>
    <row r="1281" spans="1:8">
      <c r="A1281" s="6" t="s">
        <v>1313</v>
      </c>
      <c r="B1281" s="7" t="s">
        <v>2711</v>
      </c>
      <c r="C1281" s="7" t="s">
        <v>2712</v>
      </c>
      <c r="D1281" s="7" t="s">
        <v>2713</v>
      </c>
      <c r="E1281" s="6" t="s">
        <v>2714</v>
      </c>
      <c r="F1281" s="8"/>
      <c r="G1281" s="8"/>
      <c r="H1281" s="8"/>
    </row>
    <row r="1282" spans="1:8">
      <c r="A1282" s="6" t="s">
        <v>1313</v>
      </c>
      <c r="B1282" s="7" t="s">
        <v>2715</v>
      </c>
      <c r="C1282" s="7" t="s">
        <v>2716</v>
      </c>
      <c r="D1282" s="7" t="s">
        <v>2717</v>
      </c>
      <c r="E1282" s="6" t="s">
        <v>2718</v>
      </c>
      <c r="F1282" s="8"/>
      <c r="G1282" s="8"/>
      <c r="H1282" s="8"/>
    </row>
    <row r="1283" spans="1:8">
      <c r="A1283" s="6" t="s">
        <v>1313</v>
      </c>
      <c r="B1283" s="7" t="s">
        <v>2697</v>
      </c>
      <c r="C1283" s="7" t="s">
        <v>2698</v>
      </c>
      <c r="D1283" s="7" t="s">
        <v>2719</v>
      </c>
      <c r="E1283" s="6" t="s">
        <v>2720</v>
      </c>
      <c r="G1283" s="8"/>
      <c r="H1283" s="8"/>
    </row>
    <row r="1284" spans="1:8">
      <c r="A1284" s="6" t="s">
        <v>3025</v>
      </c>
      <c r="B1284" s="7" t="s">
        <v>3026</v>
      </c>
      <c r="C1284" s="7" t="s">
        <v>3027</v>
      </c>
      <c r="D1284" s="7" t="s">
        <v>3028</v>
      </c>
      <c r="E1284" s="6" t="s">
        <v>3029</v>
      </c>
      <c r="F1284" s="8"/>
      <c r="G1284" s="8"/>
      <c r="H1284" s="8"/>
    </row>
    <row r="1285" spans="1:8">
      <c r="A1285" s="6" t="s">
        <v>3025</v>
      </c>
      <c r="B1285" s="7" t="s">
        <v>3026</v>
      </c>
      <c r="C1285" s="7" t="s">
        <v>501</v>
      </c>
      <c r="D1285" s="7" t="s">
        <v>3030</v>
      </c>
      <c r="E1285" s="6" t="s">
        <v>3031</v>
      </c>
      <c r="F1285" s="8"/>
      <c r="G1285" s="8"/>
      <c r="H1285" s="8"/>
    </row>
    <row r="1286" spans="1:8">
      <c r="A1286" s="6" t="s">
        <v>3025</v>
      </c>
      <c r="B1286" s="7" t="s">
        <v>3032</v>
      </c>
      <c r="C1286" s="7" t="s">
        <v>0</v>
      </c>
      <c r="D1286" s="7" t="s">
        <v>3033</v>
      </c>
      <c r="E1286" s="6" t="s">
        <v>3034</v>
      </c>
      <c r="F1286" s="8"/>
      <c r="G1286" s="8"/>
      <c r="H1286" s="8"/>
    </row>
    <row r="1287" spans="1:8">
      <c r="A1287" s="6" t="s">
        <v>3574</v>
      </c>
      <c r="B1287" s="7" t="s">
        <v>3575</v>
      </c>
      <c r="C1287" s="7" t="s">
        <v>69</v>
      </c>
      <c r="D1287" s="7" t="s">
        <v>3576</v>
      </c>
      <c r="E1287" s="6" t="s">
        <v>3577</v>
      </c>
      <c r="F1287" s="8"/>
      <c r="G1287" s="8"/>
      <c r="H1287" s="8"/>
    </row>
    <row r="1288" spans="1:8">
      <c r="A1288" s="6" t="s">
        <v>3574</v>
      </c>
      <c r="B1288" s="7" t="s">
        <v>3589</v>
      </c>
      <c r="C1288" s="7" t="s">
        <v>3586</v>
      </c>
      <c r="D1288" s="7" t="s">
        <v>3590</v>
      </c>
      <c r="E1288" s="6" t="s">
        <v>3591</v>
      </c>
      <c r="F1288" s="8"/>
      <c r="G1288" s="8"/>
      <c r="H1288" s="8"/>
    </row>
    <row r="1289" spans="1:8">
      <c r="A1289" s="6" t="s">
        <v>3574</v>
      </c>
      <c r="B1289" s="7" t="s">
        <v>3592</v>
      </c>
      <c r="C1289" s="7" t="s">
        <v>3593</v>
      </c>
      <c r="D1289" s="7" t="s">
        <v>3594</v>
      </c>
      <c r="E1289" s="6" t="s">
        <v>1213</v>
      </c>
      <c r="F1289" s="8"/>
      <c r="G1289" s="8"/>
      <c r="H1289" s="8"/>
    </row>
    <row r="1290" spans="1:8">
      <c r="A1290" s="6" t="s">
        <v>3574</v>
      </c>
      <c r="B1290" s="7" t="s">
        <v>3592</v>
      </c>
      <c r="C1290" s="7" t="s">
        <v>3593</v>
      </c>
      <c r="D1290" s="7" t="s">
        <v>3605</v>
      </c>
      <c r="E1290" s="6" t="s">
        <v>2335</v>
      </c>
      <c r="F1290" s="8"/>
      <c r="G1290" s="8"/>
      <c r="H1290" s="8"/>
    </row>
    <row r="1291" spans="1:8">
      <c r="A1291" s="6" t="s">
        <v>417</v>
      </c>
      <c r="B1291" s="7" t="s">
        <v>418</v>
      </c>
      <c r="C1291" s="7" t="s">
        <v>418</v>
      </c>
      <c r="D1291" s="7" t="s">
        <v>419</v>
      </c>
      <c r="E1291" s="6" t="s">
        <v>420</v>
      </c>
      <c r="F1291" s="8"/>
      <c r="G1291" s="8"/>
      <c r="H1291" s="8"/>
    </row>
    <row r="1292" spans="1:8">
      <c r="A1292" s="6" t="s">
        <v>417</v>
      </c>
      <c r="B1292" s="7" t="s">
        <v>643</v>
      </c>
      <c r="C1292" s="7" t="s">
        <v>644</v>
      </c>
      <c r="D1292" s="7" t="s">
        <v>645</v>
      </c>
      <c r="E1292" s="6" t="s">
        <v>646</v>
      </c>
      <c r="F1292" s="8" t="s">
        <v>6931</v>
      </c>
      <c r="G1292" s="8" t="s">
        <v>7001</v>
      </c>
      <c r="H1292" s="8" t="s">
        <v>6940</v>
      </c>
    </row>
    <row r="1293" spans="1:8">
      <c r="A1293" s="6" t="s">
        <v>417</v>
      </c>
      <c r="B1293" s="7" t="s">
        <v>703</v>
      </c>
      <c r="C1293" s="7" t="s">
        <v>703</v>
      </c>
      <c r="D1293" s="7" t="s">
        <v>704</v>
      </c>
      <c r="E1293" s="6" t="s">
        <v>705</v>
      </c>
      <c r="F1293" s="8"/>
      <c r="G1293" s="8"/>
      <c r="H1293" s="8"/>
    </row>
    <row r="1294" spans="1:8">
      <c r="A1294" s="6" t="s">
        <v>417</v>
      </c>
      <c r="B1294" s="7" t="s">
        <v>778</v>
      </c>
      <c r="C1294" s="7" t="s">
        <v>778</v>
      </c>
      <c r="D1294" s="7" t="s">
        <v>779</v>
      </c>
      <c r="E1294" s="6" t="s">
        <v>780</v>
      </c>
      <c r="F1294" s="8"/>
      <c r="G1294" s="8"/>
      <c r="H1294" s="8"/>
    </row>
    <row r="1295" spans="1:8">
      <c r="A1295" s="6" t="s">
        <v>417</v>
      </c>
      <c r="B1295" s="7" t="s">
        <v>778</v>
      </c>
      <c r="C1295" s="7" t="s">
        <v>778</v>
      </c>
      <c r="D1295" s="7" t="s">
        <v>781</v>
      </c>
      <c r="E1295" s="6" t="s">
        <v>782</v>
      </c>
      <c r="F1295" s="8"/>
      <c r="G1295" s="8"/>
      <c r="H1295" s="8"/>
    </row>
    <row r="1296" spans="1:8">
      <c r="A1296" s="6" t="s">
        <v>417</v>
      </c>
      <c r="B1296" s="7" t="s">
        <v>792</v>
      </c>
      <c r="C1296" s="7" t="s">
        <v>792</v>
      </c>
      <c r="D1296" s="7" t="s">
        <v>793</v>
      </c>
      <c r="E1296" s="6" t="s">
        <v>794</v>
      </c>
      <c r="F1296" s="8" t="s">
        <v>6931</v>
      </c>
      <c r="G1296" s="8" t="s">
        <v>6953</v>
      </c>
      <c r="H1296" s="8" t="s">
        <v>6951</v>
      </c>
    </row>
    <row r="1297" spans="1:8">
      <c r="A1297" s="6" t="s">
        <v>417</v>
      </c>
      <c r="B1297" s="7" t="s">
        <v>1323</v>
      </c>
      <c r="C1297" s="7" t="s">
        <v>1323</v>
      </c>
      <c r="D1297" s="7" t="s">
        <v>1324</v>
      </c>
      <c r="E1297" s="6" t="s">
        <v>498</v>
      </c>
      <c r="F1297" s="8"/>
      <c r="G1297" s="8"/>
      <c r="H1297" s="8"/>
    </row>
    <row r="1298" spans="1:8">
      <c r="A1298" s="6" t="s">
        <v>417</v>
      </c>
      <c r="B1298" s="7" t="s">
        <v>1504</v>
      </c>
      <c r="C1298" s="7" t="s">
        <v>1504</v>
      </c>
      <c r="D1298" s="7" t="s">
        <v>1505</v>
      </c>
      <c r="E1298" s="6" t="s">
        <v>1506</v>
      </c>
      <c r="F1298" s="8"/>
      <c r="G1298" s="8"/>
      <c r="H1298" s="8"/>
    </row>
    <row r="1299" spans="1:8">
      <c r="A1299" s="6" t="s">
        <v>417</v>
      </c>
      <c r="B1299" s="7" t="s">
        <v>116</v>
      </c>
      <c r="C1299" s="7" t="s">
        <v>1767</v>
      </c>
      <c r="D1299" s="7" t="s">
        <v>1768</v>
      </c>
      <c r="E1299" s="6" t="s">
        <v>1769</v>
      </c>
      <c r="F1299" s="8"/>
      <c r="G1299" s="8"/>
      <c r="H1299" s="8"/>
    </row>
    <row r="1300" spans="1:8">
      <c r="A1300" s="6" t="s">
        <v>417</v>
      </c>
      <c r="B1300" s="7" t="s">
        <v>792</v>
      </c>
      <c r="C1300" s="7" t="s">
        <v>792</v>
      </c>
      <c r="D1300" s="7" t="s">
        <v>1816</v>
      </c>
      <c r="E1300" s="6" t="s">
        <v>1817</v>
      </c>
      <c r="F1300" s="8"/>
      <c r="G1300" s="8"/>
      <c r="H1300" s="8"/>
    </row>
    <row r="1301" spans="1:8">
      <c r="A1301" s="6" t="s">
        <v>417</v>
      </c>
      <c r="B1301" s="7" t="s">
        <v>792</v>
      </c>
      <c r="C1301" s="7" t="s">
        <v>792</v>
      </c>
      <c r="D1301" s="7" t="s">
        <v>1818</v>
      </c>
      <c r="E1301" s="6" t="s">
        <v>1819</v>
      </c>
      <c r="F1301" s="8"/>
      <c r="G1301" s="8"/>
      <c r="H1301" s="8"/>
    </row>
    <row r="1302" spans="1:8">
      <c r="A1302" s="6" t="s">
        <v>417</v>
      </c>
      <c r="B1302" s="7" t="s">
        <v>1839</v>
      </c>
      <c r="C1302" s="7" t="s">
        <v>1431</v>
      </c>
      <c r="D1302" s="7" t="s">
        <v>1840</v>
      </c>
      <c r="E1302" s="6" t="s">
        <v>1841</v>
      </c>
      <c r="F1302" s="8"/>
      <c r="G1302" s="8"/>
      <c r="H1302" s="8"/>
    </row>
    <row r="1303" spans="1:8">
      <c r="A1303" s="6" t="s">
        <v>417</v>
      </c>
      <c r="B1303" s="7" t="s">
        <v>48</v>
      </c>
      <c r="C1303" s="7" t="s">
        <v>48</v>
      </c>
      <c r="D1303" s="7" t="s">
        <v>1927</v>
      </c>
      <c r="E1303" s="6" t="s">
        <v>1928</v>
      </c>
      <c r="F1303" s="8" t="s">
        <v>6931</v>
      </c>
      <c r="G1303" s="8" t="s">
        <v>6953</v>
      </c>
      <c r="H1303" s="8" t="s">
        <v>7165</v>
      </c>
    </row>
    <row r="1304" spans="1:8">
      <c r="A1304" s="6" t="s">
        <v>417</v>
      </c>
      <c r="B1304" s="7" t="s">
        <v>1948</v>
      </c>
      <c r="C1304" s="7" t="s">
        <v>1949</v>
      </c>
      <c r="D1304" s="7" t="s">
        <v>1950</v>
      </c>
      <c r="E1304" s="6" t="s">
        <v>1951</v>
      </c>
      <c r="F1304" s="8"/>
      <c r="G1304" s="8"/>
      <c r="H1304" s="8"/>
    </row>
    <row r="1305" spans="1:8">
      <c r="A1305" s="6" t="s">
        <v>417</v>
      </c>
      <c r="B1305" s="7" t="s">
        <v>3540</v>
      </c>
      <c r="C1305" s="7" t="s">
        <v>3540</v>
      </c>
      <c r="D1305" s="7" t="s">
        <v>3541</v>
      </c>
      <c r="E1305" s="6" t="s">
        <v>3542</v>
      </c>
      <c r="F1305" s="8"/>
      <c r="G1305" s="8"/>
      <c r="H1305" s="8"/>
    </row>
    <row r="1306" spans="1:8">
      <c r="A1306" s="6" t="s">
        <v>417</v>
      </c>
      <c r="B1306" s="7" t="s">
        <v>3540</v>
      </c>
      <c r="C1306" s="7" t="s">
        <v>3540</v>
      </c>
      <c r="D1306" s="7" t="s">
        <v>3543</v>
      </c>
      <c r="E1306" s="6" t="s">
        <v>3544</v>
      </c>
      <c r="F1306" s="8"/>
      <c r="G1306" s="8"/>
      <c r="H1306" s="8"/>
    </row>
    <row r="1307" spans="1:8">
      <c r="A1307" s="6" t="s">
        <v>417</v>
      </c>
      <c r="B1307" s="7" t="s">
        <v>3540</v>
      </c>
      <c r="C1307" s="7" t="s">
        <v>3540</v>
      </c>
      <c r="D1307" s="7" t="s">
        <v>3545</v>
      </c>
      <c r="E1307" s="6" t="s">
        <v>3546</v>
      </c>
      <c r="F1307" s="8"/>
      <c r="G1307" s="8"/>
      <c r="H1307" s="8"/>
    </row>
    <row r="1308" spans="1:8">
      <c r="A1308" s="6" t="s">
        <v>417</v>
      </c>
      <c r="B1308" s="7" t="s">
        <v>3540</v>
      </c>
      <c r="C1308" s="7" t="s">
        <v>3540</v>
      </c>
      <c r="D1308" s="7" t="s">
        <v>3547</v>
      </c>
      <c r="E1308" s="6" t="s">
        <v>3548</v>
      </c>
      <c r="F1308" s="8"/>
      <c r="G1308" s="8"/>
      <c r="H1308" s="8"/>
    </row>
    <row r="1309" spans="1:8">
      <c r="A1309" s="6" t="s">
        <v>417</v>
      </c>
      <c r="B1309" s="7" t="s">
        <v>1323</v>
      </c>
      <c r="C1309" s="7" t="s">
        <v>1323</v>
      </c>
      <c r="D1309" s="7" t="s">
        <v>3549</v>
      </c>
      <c r="E1309" s="6" t="s">
        <v>3550</v>
      </c>
      <c r="F1309" s="8"/>
      <c r="G1309" s="8"/>
      <c r="H1309" s="8"/>
    </row>
    <row r="1310" spans="1:8">
      <c r="A1310" s="6" t="s">
        <v>417</v>
      </c>
      <c r="B1310" s="7" t="s">
        <v>1323</v>
      </c>
      <c r="C1310" s="7" t="s">
        <v>1323</v>
      </c>
      <c r="D1310" s="7" t="s">
        <v>3551</v>
      </c>
      <c r="E1310" s="6" t="s">
        <v>3552</v>
      </c>
      <c r="F1310" s="8"/>
      <c r="G1310" s="8"/>
      <c r="H1310" s="8"/>
    </row>
    <row r="1311" spans="1:8">
      <c r="A1311" s="6" t="s">
        <v>417</v>
      </c>
      <c r="B1311" s="7" t="s">
        <v>1323</v>
      </c>
      <c r="C1311" s="7" t="s">
        <v>1323</v>
      </c>
      <c r="D1311" s="7" t="s">
        <v>3553</v>
      </c>
      <c r="E1311" s="6" t="s">
        <v>3554</v>
      </c>
      <c r="F1311" s="8"/>
      <c r="G1311" s="8"/>
      <c r="H1311" s="8"/>
    </row>
    <row r="1312" spans="1:8">
      <c r="A1312" s="6" t="s">
        <v>417</v>
      </c>
      <c r="B1312" s="7" t="s">
        <v>3555</v>
      </c>
      <c r="C1312" s="7" t="s">
        <v>3555</v>
      </c>
      <c r="D1312" s="7" t="s">
        <v>3556</v>
      </c>
      <c r="E1312" s="6" t="s">
        <v>3557</v>
      </c>
      <c r="F1312" s="8"/>
      <c r="G1312" s="8"/>
      <c r="H1312" s="8"/>
    </row>
    <row r="1313" spans="1:8">
      <c r="A1313" s="6" t="s">
        <v>417</v>
      </c>
      <c r="B1313" s="7" t="s">
        <v>3563</v>
      </c>
      <c r="C1313" s="7" t="s">
        <v>3564</v>
      </c>
      <c r="D1313" s="7" t="s">
        <v>3565</v>
      </c>
      <c r="E1313" s="6" t="s">
        <v>3566</v>
      </c>
      <c r="F1313" s="8"/>
      <c r="G1313" s="8"/>
      <c r="H1313" s="8"/>
    </row>
    <row r="1314" spans="1:8">
      <c r="A1314" s="6" t="s">
        <v>417</v>
      </c>
      <c r="B1314" s="7" t="s">
        <v>3567</v>
      </c>
      <c r="C1314" s="7" t="s">
        <v>3567</v>
      </c>
      <c r="D1314" s="7" t="s">
        <v>3568</v>
      </c>
      <c r="E1314" s="6" t="s">
        <v>3569</v>
      </c>
      <c r="F1314" s="8"/>
      <c r="G1314" s="8"/>
      <c r="H1314" s="8"/>
    </row>
    <row r="1315" spans="1:8">
      <c r="A1315" s="6" t="s">
        <v>417</v>
      </c>
      <c r="B1315" s="7" t="s">
        <v>3570</v>
      </c>
      <c r="C1315" s="7" t="s">
        <v>3570</v>
      </c>
      <c r="D1315" s="7" t="s">
        <v>3571</v>
      </c>
      <c r="E1315" s="6" t="s">
        <v>3572</v>
      </c>
      <c r="F1315" s="8"/>
      <c r="G1315" s="8"/>
      <c r="H1315" s="8"/>
    </row>
    <row r="1316" spans="1:8">
      <c r="A1316" s="6" t="s">
        <v>417</v>
      </c>
      <c r="B1316" s="7" t="s">
        <v>792</v>
      </c>
      <c r="C1316" s="7" t="s">
        <v>792</v>
      </c>
      <c r="D1316" s="7" t="s">
        <v>3573</v>
      </c>
      <c r="E1316" s="6" t="s">
        <v>1588</v>
      </c>
      <c r="F1316" s="8"/>
      <c r="G1316" s="8"/>
      <c r="H1316" s="8"/>
    </row>
    <row r="1317" spans="1:8">
      <c r="A1317" s="6" t="s">
        <v>417</v>
      </c>
      <c r="B1317" s="7" t="s">
        <v>1839</v>
      </c>
      <c r="C1317" s="7" t="s">
        <v>1431</v>
      </c>
      <c r="D1317" s="7" t="s">
        <v>3581</v>
      </c>
      <c r="E1317" s="6" t="s">
        <v>1176</v>
      </c>
      <c r="F1317" s="8" t="s">
        <v>3334</v>
      </c>
      <c r="G1317" s="8" t="s">
        <v>6944</v>
      </c>
      <c r="H1317" s="8" t="s">
        <v>7060</v>
      </c>
    </row>
    <row r="1318" spans="1:8">
      <c r="A1318" s="6" t="s">
        <v>417</v>
      </c>
      <c r="B1318" s="7" t="s">
        <v>1839</v>
      </c>
      <c r="C1318" s="7" t="s">
        <v>1431</v>
      </c>
      <c r="D1318" s="7" t="s">
        <v>3582</v>
      </c>
      <c r="E1318" s="6" t="s">
        <v>2875</v>
      </c>
      <c r="F1318" s="8"/>
      <c r="G1318" s="8"/>
      <c r="H1318" s="8"/>
    </row>
    <row r="1319" spans="1:8">
      <c r="A1319" s="6" t="s">
        <v>417</v>
      </c>
      <c r="B1319" s="7" t="s">
        <v>3583</v>
      </c>
      <c r="C1319" s="7" t="s">
        <v>3583</v>
      </c>
      <c r="D1319" s="7" t="s">
        <v>3584</v>
      </c>
      <c r="E1319" s="6" t="s">
        <v>2331</v>
      </c>
      <c r="F1319" s="8"/>
      <c r="G1319" s="8"/>
      <c r="H1319" s="8"/>
    </row>
    <row r="1320" spans="1:8">
      <c r="A1320" s="6" t="s">
        <v>417</v>
      </c>
      <c r="B1320" s="7" t="s">
        <v>3585</v>
      </c>
      <c r="C1320" s="7" t="s">
        <v>3586</v>
      </c>
      <c r="D1320" s="7" t="s">
        <v>3587</v>
      </c>
      <c r="E1320" s="6" t="s">
        <v>3588</v>
      </c>
      <c r="F1320" s="8"/>
      <c r="G1320" s="8"/>
      <c r="H1320" s="8"/>
    </row>
    <row r="1321" spans="1:8">
      <c r="A1321" s="6" t="s">
        <v>417</v>
      </c>
      <c r="B1321" s="7" t="s">
        <v>418</v>
      </c>
      <c r="C1321" s="7" t="s">
        <v>418</v>
      </c>
      <c r="D1321" s="7" t="s">
        <v>3595</v>
      </c>
      <c r="E1321" s="6" t="s">
        <v>3596</v>
      </c>
      <c r="F1321" s="8" t="s">
        <v>6931</v>
      </c>
      <c r="G1321" s="8" t="s">
        <v>6929</v>
      </c>
      <c r="H1321" s="8" t="s">
        <v>7164</v>
      </c>
    </row>
    <row r="1322" spans="1:8">
      <c r="A1322" s="6" t="s">
        <v>417</v>
      </c>
      <c r="B1322" s="7" t="s">
        <v>134</v>
      </c>
      <c r="C1322" s="7" t="s">
        <v>134</v>
      </c>
      <c r="D1322" s="7" t="s">
        <v>3597</v>
      </c>
      <c r="E1322" s="6" t="s">
        <v>3598</v>
      </c>
      <c r="F1322" s="8"/>
      <c r="G1322" s="8"/>
      <c r="H1322" s="8"/>
    </row>
    <row r="1323" spans="1:8">
      <c r="A1323" s="6" t="s">
        <v>417</v>
      </c>
      <c r="B1323" s="7" t="s">
        <v>3599</v>
      </c>
      <c r="C1323" s="7" t="s">
        <v>3599</v>
      </c>
      <c r="D1323" s="7" t="s">
        <v>3600</v>
      </c>
      <c r="E1323" s="6" t="s">
        <v>3601</v>
      </c>
      <c r="F1323" s="8"/>
      <c r="G1323" s="8"/>
      <c r="H1323" s="8"/>
    </row>
    <row r="1324" spans="1:8">
      <c r="A1324" s="6" t="s">
        <v>417</v>
      </c>
      <c r="B1324" s="7" t="s">
        <v>792</v>
      </c>
      <c r="C1324" s="7" t="s">
        <v>792</v>
      </c>
      <c r="D1324" s="7" t="s">
        <v>3602</v>
      </c>
      <c r="E1324" s="6" t="s">
        <v>3472</v>
      </c>
      <c r="F1324" s="8"/>
      <c r="G1324" s="8"/>
      <c r="H1324" s="8"/>
    </row>
    <row r="1325" spans="1:8">
      <c r="A1325" s="6" t="s">
        <v>417</v>
      </c>
      <c r="B1325" s="7" t="s">
        <v>48</v>
      </c>
      <c r="C1325" s="7" t="s">
        <v>48</v>
      </c>
      <c r="D1325" s="7" t="s">
        <v>3603</v>
      </c>
      <c r="E1325" s="6" t="s">
        <v>3604</v>
      </c>
      <c r="F1325" s="8"/>
      <c r="G1325" s="8"/>
      <c r="H1325" s="8"/>
    </row>
    <row r="1326" spans="1:8">
      <c r="A1326" s="6" t="s">
        <v>160</v>
      </c>
      <c r="B1326" s="7" t="s">
        <v>161</v>
      </c>
      <c r="C1326" s="7" t="s">
        <v>162</v>
      </c>
      <c r="D1326" s="7" t="s">
        <v>163</v>
      </c>
      <c r="E1326" s="6" t="s">
        <v>164</v>
      </c>
      <c r="F1326" s="8"/>
      <c r="G1326" s="8"/>
      <c r="H1326" s="8"/>
    </row>
    <row r="1327" spans="1:8">
      <c r="A1327" s="6" t="s">
        <v>160</v>
      </c>
      <c r="B1327" s="7" t="s">
        <v>149</v>
      </c>
      <c r="C1327" s="7" t="s">
        <v>149</v>
      </c>
      <c r="D1327" s="7" t="s">
        <v>172</v>
      </c>
      <c r="E1327" s="6" t="s">
        <v>173</v>
      </c>
      <c r="F1327" s="8"/>
      <c r="G1327" s="8"/>
      <c r="H1327" s="8"/>
    </row>
    <row r="1328" spans="1:8">
      <c r="A1328" s="6" t="s">
        <v>160</v>
      </c>
      <c r="B1328" s="7" t="s">
        <v>149</v>
      </c>
      <c r="C1328" s="7" t="s">
        <v>9</v>
      </c>
      <c r="D1328" s="7" t="s">
        <v>296</v>
      </c>
      <c r="E1328" s="6" t="s">
        <v>297</v>
      </c>
      <c r="F1328" s="8"/>
      <c r="G1328" s="8"/>
      <c r="H1328" s="8"/>
    </row>
    <row r="1329" spans="1:8">
      <c r="A1329" s="6" t="s">
        <v>160</v>
      </c>
      <c r="B1329" s="7" t="s">
        <v>628</v>
      </c>
      <c r="C1329" s="7" t="s">
        <v>9</v>
      </c>
      <c r="D1329" s="7" t="s">
        <v>629</v>
      </c>
      <c r="E1329" s="6" t="s">
        <v>630</v>
      </c>
      <c r="F1329" s="8"/>
      <c r="G1329" s="8"/>
      <c r="H1329" s="8"/>
    </row>
    <row r="1330" spans="1:8">
      <c r="A1330" s="6" t="s">
        <v>160</v>
      </c>
      <c r="B1330" s="7" t="s">
        <v>542</v>
      </c>
      <c r="C1330" s="7" t="s">
        <v>975</v>
      </c>
      <c r="D1330" s="7" t="s">
        <v>976</v>
      </c>
      <c r="E1330" s="6" t="s">
        <v>977</v>
      </c>
      <c r="F1330" s="8"/>
      <c r="G1330" s="8"/>
      <c r="H1330" s="8"/>
    </row>
    <row r="1331" spans="1:8">
      <c r="A1331" s="6" t="s">
        <v>160</v>
      </c>
      <c r="B1331" s="7" t="s">
        <v>1118</v>
      </c>
      <c r="C1331" s="7" t="s">
        <v>1119</v>
      </c>
      <c r="D1331" s="7" t="s">
        <v>1120</v>
      </c>
      <c r="E1331" s="6" t="s">
        <v>1121</v>
      </c>
      <c r="F1331" s="8"/>
      <c r="G1331" s="8"/>
      <c r="H1331" s="8"/>
    </row>
    <row r="1332" spans="1:8">
      <c r="A1332" s="6" t="s">
        <v>160</v>
      </c>
      <c r="B1332" s="7" t="s">
        <v>542</v>
      </c>
      <c r="C1332" s="7" t="s">
        <v>1140</v>
      </c>
      <c r="D1332" s="7" t="s">
        <v>1141</v>
      </c>
      <c r="E1332" s="6" t="s">
        <v>1142</v>
      </c>
      <c r="F1332" s="8"/>
      <c r="G1332" s="8"/>
      <c r="H1332" s="8"/>
    </row>
    <row r="1333" spans="1:8">
      <c r="A1333" s="6" t="s">
        <v>160</v>
      </c>
      <c r="B1333" s="7" t="s">
        <v>1661</v>
      </c>
      <c r="C1333" s="7" t="s">
        <v>1661</v>
      </c>
      <c r="D1333" s="7" t="s">
        <v>1662</v>
      </c>
      <c r="E1333" s="6" t="s">
        <v>1663</v>
      </c>
      <c r="F1333" s="8"/>
      <c r="G1333" s="8"/>
      <c r="H1333" s="8"/>
    </row>
    <row r="1334" spans="1:8">
      <c r="A1334" s="6" t="s">
        <v>160</v>
      </c>
      <c r="B1334" s="7" t="s">
        <v>697</v>
      </c>
      <c r="C1334" s="7" t="s">
        <v>1889</v>
      </c>
      <c r="D1334" s="7" t="s">
        <v>1890</v>
      </c>
      <c r="E1334" s="6" t="s">
        <v>1891</v>
      </c>
      <c r="F1334" s="8"/>
      <c r="G1334" s="8"/>
      <c r="H1334" s="8"/>
    </row>
    <row r="1335" spans="1:8">
      <c r="A1335" s="6" t="s">
        <v>160</v>
      </c>
      <c r="B1335" s="7" t="s">
        <v>5694</v>
      </c>
      <c r="C1335" s="7" t="s">
        <v>5695</v>
      </c>
      <c r="D1335" s="7" t="s">
        <v>5696</v>
      </c>
      <c r="E1335" s="6" t="s">
        <v>5697</v>
      </c>
      <c r="F1335" s="8"/>
      <c r="G1335" s="8"/>
      <c r="H1335" s="8"/>
    </row>
    <row r="1336" spans="1:8">
      <c r="A1336" s="6" t="s">
        <v>160</v>
      </c>
      <c r="B1336" s="7" t="s">
        <v>1119</v>
      </c>
      <c r="C1336" s="7" t="s">
        <v>1119</v>
      </c>
      <c r="D1336" s="7" t="s">
        <v>5698</v>
      </c>
      <c r="E1336" s="6" t="s">
        <v>5699</v>
      </c>
      <c r="F1336" s="8"/>
      <c r="G1336" s="8"/>
      <c r="H1336" s="8"/>
    </row>
    <row r="1337" spans="1:8">
      <c r="A1337" s="6" t="s">
        <v>160</v>
      </c>
      <c r="B1337" s="7" t="s">
        <v>5700</v>
      </c>
      <c r="C1337" s="7" t="s">
        <v>5700</v>
      </c>
      <c r="D1337" s="7" t="s">
        <v>5701</v>
      </c>
      <c r="E1337" s="6" t="s">
        <v>5702</v>
      </c>
      <c r="F1337" s="8"/>
      <c r="G1337" s="8"/>
      <c r="H1337" s="8"/>
    </row>
    <row r="1338" spans="1:8">
      <c r="A1338" s="6" t="s">
        <v>160</v>
      </c>
      <c r="B1338" s="7" t="s">
        <v>5703</v>
      </c>
      <c r="C1338" s="7" t="s">
        <v>1889</v>
      </c>
      <c r="D1338" s="7" t="s">
        <v>5704</v>
      </c>
      <c r="E1338" s="6" t="s">
        <v>5705</v>
      </c>
      <c r="F1338" s="8"/>
      <c r="G1338" s="8"/>
      <c r="H1338" s="8"/>
    </row>
    <row r="1339" spans="1:8">
      <c r="A1339" s="6" t="s">
        <v>160</v>
      </c>
      <c r="B1339" s="7" t="s">
        <v>5703</v>
      </c>
      <c r="C1339" s="7" t="s">
        <v>1889</v>
      </c>
      <c r="D1339" s="7" t="s">
        <v>5706</v>
      </c>
      <c r="E1339" s="6" t="s">
        <v>5707</v>
      </c>
      <c r="F1339" s="8"/>
      <c r="G1339" s="8"/>
      <c r="H1339" s="8"/>
    </row>
    <row r="1340" spans="1:8">
      <c r="A1340" s="6" t="s">
        <v>160</v>
      </c>
      <c r="B1340" s="7" t="s">
        <v>5703</v>
      </c>
      <c r="C1340" s="7" t="s">
        <v>1889</v>
      </c>
      <c r="D1340" s="7" t="s">
        <v>5708</v>
      </c>
      <c r="E1340" s="6" t="s">
        <v>5709</v>
      </c>
      <c r="F1340" s="8"/>
      <c r="G1340" s="8"/>
      <c r="H1340" s="8"/>
    </row>
    <row r="1341" spans="1:8">
      <c r="A1341" s="6" t="s">
        <v>160</v>
      </c>
      <c r="B1341" s="7" t="s">
        <v>5703</v>
      </c>
      <c r="C1341" s="7" t="s">
        <v>1889</v>
      </c>
      <c r="D1341" s="7" t="s">
        <v>5710</v>
      </c>
      <c r="E1341" s="6" t="s">
        <v>5711</v>
      </c>
      <c r="F1341" s="8"/>
      <c r="G1341" s="8"/>
      <c r="H1341" s="8"/>
    </row>
    <row r="1342" spans="1:8">
      <c r="A1342" s="6" t="s">
        <v>160</v>
      </c>
      <c r="B1342" s="7" t="s">
        <v>5703</v>
      </c>
      <c r="C1342" s="7" t="s">
        <v>1889</v>
      </c>
      <c r="D1342" s="7" t="s">
        <v>5712</v>
      </c>
      <c r="E1342" s="6" t="s">
        <v>5713</v>
      </c>
      <c r="F1342" s="8"/>
      <c r="G1342" s="8"/>
      <c r="H1342" s="8"/>
    </row>
    <row r="1343" spans="1:8">
      <c r="A1343" s="6" t="s">
        <v>160</v>
      </c>
      <c r="B1343" s="7" t="s">
        <v>5703</v>
      </c>
      <c r="C1343" s="7" t="s">
        <v>1889</v>
      </c>
      <c r="D1343" s="7" t="s">
        <v>5714</v>
      </c>
      <c r="E1343" s="6" t="s">
        <v>1337</v>
      </c>
      <c r="F1343" s="8"/>
      <c r="G1343" s="8"/>
      <c r="H1343" s="8"/>
    </row>
    <row r="1344" spans="1:8">
      <c r="A1344" s="6" t="s">
        <v>160</v>
      </c>
      <c r="B1344" s="7" t="s">
        <v>5703</v>
      </c>
      <c r="C1344" s="7" t="s">
        <v>1889</v>
      </c>
      <c r="D1344" s="7" t="s">
        <v>5715</v>
      </c>
      <c r="E1344" s="6" t="s">
        <v>5716</v>
      </c>
      <c r="F1344" s="8"/>
      <c r="G1344" s="8"/>
      <c r="H1344" s="8"/>
    </row>
    <row r="1345" spans="1:8">
      <c r="A1345" s="6" t="s">
        <v>160</v>
      </c>
      <c r="B1345" s="7" t="s">
        <v>5703</v>
      </c>
      <c r="C1345" s="7" t="s">
        <v>1889</v>
      </c>
      <c r="D1345" s="7" t="s">
        <v>5717</v>
      </c>
      <c r="E1345" s="6" t="s">
        <v>5718</v>
      </c>
      <c r="F1345" s="8"/>
      <c r="G1345" s="8"/>
      <c r="H1345" s="8"/>
    </row>
    <row r="1346" spans="1:8">
      <c r="A1346" s="6" t="s">
        <v>160</v>
      </c>
      <c r="B1346" s="7" t="s">
        <v>5703</v>
      </c>
      <c r="C1346" s="7" t="s">
        <v>1889</v>
      </c>
      <c r="D1346" s="7" t="s">
        <v>5719</v>
      </c>
      <c r="E1346" s="6" t="s">
        <v>5720</v>
      </c>
      <c r="F1346" s="8"/>
      <c r="G1346" s="8"/>
      <c r="H1346" s="8"/>
    </row>
    <row r="1347" spans="1:8">
      <c r="A1347" s="6" t="s">
        <v>160</v>
      </c>
      <c r="B1347" s="7" t="s">
        <v>5703</v>
      </c>
      <c r="C1347" s="7" t="s">
        <v>1889</v>
      </c>
      <c r="D1347" s="7" t="s">
        <v>5721</v>
      </c>
      <c r="E1347" s="6" t="s">
        <v>5722</v>
      </c>
      <c r="F1347" s="8"/>
      <c r="G1347" s="8"/>
      <c r="H1347" s="8"/>
    </row>
    <row r="1348" spans="1:8">
      <c r="A1348" s="6" t="s">
        <v>160</v>
      </c>
      <c r="B1348" s="7" t="s">
        <v>5703</v>
      </c>
      <c r="C1348" s="7" t="s">
        <v>1889</v>
      </c>
      <c r="D1348" s="7" t="s">
        <v>5723</v>
      </c>
      <c r="E1348" s="6" t="s">
        <v>2390</v>
      </c>
      <c r="F1348" s="8"/>
      <c r="G1348" s="8"/>
      <c r="H1348" s="8"/>
    </row>
    <row r="1349" spans="1:8">
      <c r="A1349" s="6" t="s">
        <v>160</v>
      </c>
      <c r="B1349" s="7" t="s">
        <v>149</v>
      </c>
      <c r="C1349" s="7" t="s">
        <v>149</v>
      </c>
      <c r="D1349" s="7" t="s">
        <v>5724</v>
      </c>
      <c r="E1349" s="6" t="s">
        <v>5725</v>
      </c>
      <c r="F1349" s="8" t="s">
        <v>6939</v>
      </c>
      <c r="G1349" s="8" t="s">
        <v>6929</v>
      </c>
      <c r="H1349" s="8" t="s">
        <v>6927</v>
      </c>
    </row>
    <row r="1350" spans="1:8">
      <c r="A1350" s="6" t="s">
        <v>160</v>
      </c>
      <c r="B1350" s="7" t="s">
        <v>149</v>
      </c>
      <c r="C1350" s="7" t="s">
        <v>149</v>
      </c>
      <c r="D1350" s="7" t="s">
        <v>5726</v>
      </c>
      <c r="E1350" s="6" t="s">
        <v>5727</v>
      </c>
      <c r="F1350" s="8"/>
      <c r="G1350" s="8"/>
      <c r="H1350" s="8"/>
    </row>
    <row r="1351" spans="1:8">
      <c r="A1351" s="6" t="s">
        <v>160</v>
      </c>
      <c r="B1351" s="7" t="s">
        <v>149</v>
      </c>
      <c r="C1351" s="7" t="s">
        <v>149</v>
      </c>
      <c r="D1351" s="7" t="s">
        <v>5728</v>
      </c>
      <c r="E1351" s="6" t="s">
        <v>5729</v>
      </c>
      <c r="F1351" s="8" t="s">
        <v>6939</v>
      </c>
      <c r="G1351" s="8" t="s">
        <v>6929</v>
      </c>
      <c r="H1351" s="8" t="s">
        <v>6927</v>
      </c>
    </row>
    <row r="1352" spans="1:8">
      <c r="A1352" s="6" t="s">
        <v>160</v>
      </c>
      <c r="B1352" s="7" t="s">
        <v>149</v>
      </c>
      <c r="C1352" s="7" t="s">
        <v>149</v>
      </c>
      <c r="D1352" s="7" t="s">
        <v>5730</v>
      </c>
      <c r="E1352" s="6" t="s">
        <v>5731</v>
      </c>
      <c r="F1352" s="8" t="s">
        <v>6939</v>
      </c>
      <c r="G1352" s="8" t="s">
        <v>6929</v>
      </c>
      <c r="H1352" s="8" t="s">
        <v>6927</v>
      </c>
    </row>
    <row r="1353" spans="1:8">
      <c r="A1353" s="6" t="s">
        <v>160</v>
      </c>
      <c r="B1353" s="7" t="s">
        <v>149</v>
      </c>
      <c r="C1353" s="7" t="s">
        <v>149</v>
      </c>
      <c r="D1353" s="7" t="s">
        <v>5732</v>
      </c>
      <c r="E1353" s="6" t="s">
        <v>1006</v>
      </c>
      <c r="F1353" s="8" t="s">
        <v>6939</v>
      </c>
      <c r="G1353" s="8" t="s">
        <v>6929</v>
      </c>
      <c r="H1353" s="8" t="s">
        <v>6927</v>
      </c>
    </row>
    <row r="1354" spans="1:8">
      <c r="A1354" s="6" t="s">
        <v>160</v>
      </c>
      <c r="B1354" s="7" t="s">
        <v>149</v>
      </c>
      <c r="C1354" s="7" t="s">
        <v>149</v>
      </c>
      <c r="D1354" s="7" t="s">
        <v>5733</v>
      </c>
      <c r="E1354" s="6" t="s">
        <v>5734</v>
      </c>
      <c r="F1354" s="8" t="s">
        <v>6939</v>
      </c>
      <c r="G1354" s="8" t="s">
        <v>6929</v>
      </c>
      <c r="H1354" s="8" t="s">
        <v>6927</v>
      </c>
    </row>
    <row r="1355" spans="1:8">
      <c r="A1355" s="6" t="s">
        <v>160</v>
      </c>
      <c r="B1355" s="7" t="s">
        <v>149</v>
      </c>
      <c r="C1355" s="7" t="s">
        <v>149</v>
      </c>
      <c r="D1355" s="7" t="s">
        <v>5735</v>
      </c>
      <c r="E1355" s="6" t="s">
        <v>5736</v>
      </c>
      <c r="F1355" s="8" t="s">
        <v>6939</v>
      </c>
      <c r="G1355" s="8" t="s">
        <v>6929</v>
      </c>
      <c r="H1355" s="8" t="s">
        <v>6927</v>
      </c>
    </row>
    <row r="1356" spans="1:8">
      <c r="A1356" s="6" t="s">
        <v>160</v>
      </c>
      <c r="B1356" s="7" t="s">
        <v>149</v>
      </c>
      <c r="C1356" s="7" t="s">
        <v>149</v>
      </c>
      <c r="D1356" s="7" t="s">
        <v>5737</v>
      </c>
      <c r="E1356" s="6" t="s">
        <v>5738</v>
      </c>
      <c r="F1356" s="8" t="s">
        <v>6939</v>
      </c>
      <c r="G1356" s="8" t="s">
        <v>6929</v>
      </c>
      <c r="H1356" s="8" t="s">
        <v>6927</v>
      </c>
    </row>
    <row r="1357" spans="1:8">
      <c r="A1357" s="6" t="s">
        <v>160</v>
      </c>
      <c r="B1357" s="7" t="s">
        <v>697</v>
      </c>
      <c r="C1357" s="7" t="s">
        <v>1889</v>
      </c>
      <c r="D1357" s="7" t="s">
        <v>5739</v>
      </c>
      <c r="E1357" s="6" t="s">
        <v>5740</v>
      </c>
      <c r="F1357" s="8"/>
      <c r="G1357" s="8"/>
      <c r="H1357" s="8"/>
    </row>
    <row r="1358" spans="1:8">
      <c r="A1358" s="6" t="s">
        <v>160</v>
      </c>
      <c r="B1358" s="7" t="s">
        <v>697</v>
      </c>
      <c r="C1358" s="7" t="s">
        <v>5741</v>
      </c>
      <c r="D1358" s="7" t="s">
        <v>5742</v>
      </c>
      <c r="E1358" s="6" t="s">
        <v>5743</v>
      </c>
      <c r="F1358" s="8"/>
      <c r="G1358" s="8"/>
      <c r="H1358" s="8"/>
    </row>
    <row r="1359" spans="1:8">
      <c r="A1359" s="6" t="s">
        <v>160</v>
      </c>
      <c r="B1359" s="7" t="s">
        <v>628</v>
      </c>
      <c r="C1359" s="7" t="s">
        <v>5744</v>
      </c>
      <c r="D1359" s="7" t="s">
        <v>5745</v>
      </c>
      <c r="E1359" s="6" t="s">
        <v>5746</v>
      </c>
      <c r="F1359" s="8"/>
      <c r="G1359" s="8"/>
      <c r="H1359" s="8"/>
    </row>
    <row r="1360" spans="1:8">
      <c r="A1360" s="6" t="s">
        <v>160</v>
      </c>
      <c r="B1360" s="7" t="s">
        <v>5747</v>
      </c>
      <c r="C1360" s="7" t="s">
        <v>5747</v>
      </c>
      <c r="D1360" s="7" t="s">
        <v>5748</v>
      </c>
      <c r="E1360" s="6" t="s">
        <v>5749</v>
      </c>
      <c r="F1360" s="8"/>
      <c r="G1360" s="8"/>
      <c r="H1360" s="8"/>
    </row>
    <row r="1361" spans="1:8">
      <c r="A1361" s="6" t="s">
        <v>160</v>
      </c>
      <c r="B1361" s="7" t="s">
        <v>365</v>
      </c>
      <c r="C1361" s="7" t="s">
        <v>5750</v>
      </c>
      <c r="D1361" s="7" t="s">
        <v>5751</v>
      </c>
      <c r="E1361" s="6" t="s">
        <v>5752</v>
      </c>
      <c r="F1361" s="8"/>
      <c r="G1361" s="8"/>
      <c r="H1361" s="8"/>
    </row>
    <row r="1362" spans="1:8">
      <c r="A1362" s="6" t="s">
        <v>160</v>
      </c>
      <c r="B1362" s="7" t="s">
        <v>365</v>
      </c>
      <c r="C1362" s="7" t="s">
        <v>5750</v>
      </c>
      <c r="D1362" s="7" t="s">
        <v>5753</v>
      </c>
      <c r="E1362" s="6" t="s">
        <v>5754</v>
      </c>
      <c r="F1362" s="8"/>
      <c r="G1362" s="8"/>
      <c r="H1362" s="8"/>
    </row>
    <row r="1363" spans="1:8">
      <c r="A1363" s="6" t="s">
        <v>160</v>
      </c>
      <c r="B1363" s="7" t="s">
        <v>5755</v>
      </c>
      <c r="C1363" s="7" t="s">
        <v>5755</v>
      </c>
      <c r="D1363" s="7" t="s">
        <v>5756</v>
      </c>
      <c r="E1363" s="6" t="s">
        <v>5757</v>
      </c>
      <c r="F1363" s="8"/>
      <c r="G1363" s="8"/>
      <c r="H1363" s="8"/>
    </row>
    <row r="1364" spans="1:8">
      <c r="A1364" s="6" t="s">
        <v>160</v>
      </c>
      <c r="B1364" s="7" t="s">
        <v>5755</v>
      </c>
      <c r="C1364" s="7" t="s">
        <v>5755</v>
      </c>
      <c r="D1364" s="7" t="s">
        <v>5758</v>
      </c>
      <c r="E1364" s="6" t="s">
        <v>5490</v>
      </c>
      <c r="F1364" s="8"/>
      <c r="G1364" s="8"/>
      <c r="H1364" s="8"/>
    </row>
    <row r="1365" spans="1:8">
      <c r="A1365" s="6" t="s">
        <v>160</v>
      </c>
      <c r="B1365" s="7" t="s">
        <v>5755</v>
      </c>
      <c r="C1365" s="7" t="s">
        <v>988</v>
      </c>
      <c r="D1365" s="7" t="s">
        <v>5759</v>
      </c>
      <c r="E1365" s="6" t="s">
        <v>770</v>
      </c>
      <c r="F1365" s="8"/>
      <c r="G1365" s="8"/>
      <c r="H1365" s="8"/>
    </row>
    <row r="1366" spans="1:8">
      <c r="A1366" s="6" t="s">
        <v>160</v>
      </c>
      <c r="B1366" s="7" t="s">
        <v>5755</v>
      </c>
      <c r="C1366" s="7" t="s">
        <v>5755</v>
      </c>
      <c r="D1366" s="7" t="s">
        <v>5760</v>
      </c>
      <c r="E1366" s="6" t="s">
        <v>5761</v>
      </c>
      <c r="F1366" s="8"/>
      <c r="G1366" s="8"/>
      <c r="H1366" s="8"/>
    </row>
    <row r="1367" spans="1:8">
      <c r="A1367" s="6" t="s">
        <v>160</v>
      </c>
      <c r="B1367" s="7" t="s">
        <v>2397</v>
      </c>
      <c r="C1367" s="7" t="s">
        <v>2397</v>
      </c>
      <c r="D1367" s="7" t="s">
        <v>5762</v>
      </c>
      <c r="E1367" s="6" t="s">
        <v>5763</v>
      </c>
      <c r="F1367" s="8"/>
      <c r="G1367" s="8"/>
      <c r="H1367" s="8"/>
    </row>
    <row r="1368" spans="1:8">
      <c r="A1368" s="6" t="s">
        <v>160</v>
      </c>
      <c r="B1368" s="7" t="s">
        <v>2397</v>
      </c>
      <c r="C1368" s="7" t="s">
        <v>2397</v>
      </c>
      <c r="D1368" s="7" t="s">
        <v>5764</v>
      </c>
      <c r="E1368" s="6" t="s">
        <v>5765</v>
      </c>
      <c r="F1368" s="8"/>
      <c r="G1368" s="8"/>
      <c r="H1368" s="8"/>
    </row>
    <row r="1369" spans="1:8">
      <c r="A1369" s="6" t="s">
        <v>160</v>
      </c>
      <c r="B1369" s="7" t="s">
        <v>2397</v>
      </c>
      <c r="C1369" s="7" t="s">
        <v>2397</v>
      </c>
      <c r="D1369" s="7" t="s">
        <v>5766</v>
      </c>
      <c r="E1369" s="6" t="s">
        <v>5767</v>
      </c>
      <c r="F1369" s="8"/>
      <c r="G1369" s="8"/>
      <c r="H1369" s="8"/>
    </row>
    <row r="1370" spans="1:8">
      <c r="A1370" s="6" t="s">
        <v>160</v>
      </c>
      <c r="B1370" s="7" t="s">
        <v>2397</v>
      </c>
      <c r="C1370" s="7" t="s">
        <v>2397</v>
      </c>
      <c r="D1370" s="7" t="s">
        <v>5768</v>
      </c>
      <c r="E1370" s="6" t="s">
        <v>5769</v>
      </c>
      <c r="F1370" s="8"/>
      <c r="G1370" s="8"/>
      <c r="H1370" s="8"/>
    </row>
    <row r="1371" spans="1:8">
      <c r="A1371" s="6" t="s">
        <v>160</v>
      </c>
      <c r="B1371" s="7" t="s">
        <v>783</v>
      </c>
      <c r="C1371" s="7" t="s">
        <v>783</v>
      </c>
      <c r="D1371" s="7" t="s">
        <v>5770</v>
      </c>
      <c r="E1371" s="6" t="s">
        <v>5771</v>
      </c>
      <c r="F1371" s="8"/>
      <c r="G1371" s="8"/>
      <c r="H1371" s="8"/>
    </row>
    <row r="1372" spans="1:8">
      <c r="A1372" s="6" t="s">
        <v>160</v>
      </c>
      <c r="B1372" s="7" t="s">
        <v>783</v>
      </c>
      <c r="C1372" s="7" t="s">
        <v>783</v>
      </c>
      <c r="D1372" s="7" t="s">
        <v>5772</v>
      </c>
      <c r="E1372" s="6" t="s">
        <v>5773</v>
      </c>
      <c r="F1372" s="8"/>
      <c r="G1372" s="8"/>
      <c r="H1372" s="8"/>
    </row>
    <row r="1373" spans="1:8">
      <c r="A1373" s="6" t="s">
        <v>160</v>
      </c>
      <c r="B1373" s="7" t="s">
        <v>5401</v>
      </c>
      <c r="C1373" s="7" t="s">
        <v>5401</v>
      </c>
      <c r="D1373" s="7" t="s">
        <v>5774</v>
      </c>
      <c r="E1373" s="6" t="s">
        <v>5775</v>
      </c>
      <c r="F1373" s="8"/>
      <c r="G1373" s="8"/>
      <c r="H1373" s="8"/>
    </row>
    <row r="1374" spans="1:8">
      <c r="A1374" s="6" t="s">
        <v>160</v>
      </c>
      <c r="B1374" s="7" t="s">
        <v>162</v>
      </c>
      <c r="C1374" s="7" t="s">
        <v>5776</v>
      </c>
      <c r="D1374" s="7" t="s">
        <v>5777</v>
      </c>
      <c r="E1374" s="6" t="s">
        <v>5778</v>
      </c>
      <c r="F1374" s="8"/>
      <c r="G1374" s="8"/>
      <c r="H1374" s="8"/>
    </row>
    <row r="1375" spans="1:8">
      <c r="A1375" s="6" t="s">
        <v>160</v>
      </c>
      <c r="B1375" s="7" t="s">
        <v>162</v>
      </c>
      <c r="C1375" s="7" t="s">
        <v>161</v>
      </c>
      <c r="D1375" s="7" t="s">
        <v>5779</v>
      </c>
      <c r="E1375" s="6" t="s">
        <v>5780</v>
      </c>
      <c r="F1375" s="8"/>
      <c r="G1375" s="8"/>
      <c r="H1375" s="8"/>
    </row>
    <row r="1376" spans="1:8">
      <c r="A1376" s="6" t="s">
        <v>160</v>
      </c>
      <c r="B1376" s="7" t="s">
        <v>162</v>
      </c>
      <c r="C1376" s="7" t="s">
        <v>161</v>
      </c>
      <c r="D1376" s="7" t="s">
        <v>5781</v>
      </c>
      <c r="E1376" s="6" t="s">
        <v>5782</v>
      </c>
      <c r="F1376" s="8"/>
      <c r="G1376" s="8"/>
      <c r="H1376" s="8"/>
    </row>
    <row r="1377" spans="1:8">
      <c r="A1377" s="6" t="s">
        <v>160</v>
      </c>
      <c r="B1377" s="7" t="s">
        <v>162</v>
      </c>
      <c r="C1377" s="7" t="s">
        <v>5783</v>
      </c>
      <c r="D1377" s="7" t="s">
        <v>5784</v>
      </c>
      <c r="E1377" s="6" t="s">
        <v>5785</v>
      </c>
      <c r="F1377" s="8"/>
      <c r="G1377" s="8"/>
      <c r="H1377" s="8"/>
    </row>
    <row r="1378" spans="1:8">
      <c r="A1378" s="6" t="s">
        <v>160</v>
      </c>
      <c r="B1378" s="7" t="s">
        <v>5786</v>
      </c>
      <c r="C1378" s="7" t="s">
        <v>5787</v>
      </c>
      <c r="D1378" s="7" t="s">
        <v>5788</v>
      </c>
      <c r="E1378" s="6" t="s">
        <v>5789</v>
      </c>
      <c r="F1378" s="8"/>
      <c r="G1378" s="8"/>
      <c r="H1378" s="8"/>
    </row>
    <row r="1379" spans="1:8">
      <c r="A1379" s="6" t="s">
        <v>160</v>
      </c>
      <c r="B1379" s="7" t="s">
        <v>5786</v>
      </c>
      <c r="C1379" s="7" t="s">
        <v>5790</v>
      </c>
      <c r="D1379" s="7" t="s">
        <v>5791</v>
      </c>
      <c r="E1379" s="6" t="s">
        <v>5792</v>
      </c>
      <c r="F1379" s="8"/>
      <c r="G1379" s="8"/>
      <c r="H1379" s="8"/>
    </row>
    <row r="1380" spans="1:8">
      <c r="A1380" s="6" t="s">
        <v>160</v>
      </c>
      <c r="B1380" s="7" t="s">
        <v>74</v>
      </c>
      <c r="C1380" s="7" t="s">
        <v>74</v>
      </c>
      <c r="D1380" s="7" t="s">
        <v>5793</v>
      </c>
      <c r="E1380" s="6" t="s">
        <v>5794</v>
      </c>
      <c r="F1380" s="8"/>
      <c r="G1380" s="8"/>
      <c r="H1380" s="8"/>
    </row>
    <row r="1381" spans="1:8">
      <c r="A1381" s="6" t="s">
        <v>160</v>
      </c>
      <c r="B1381" s="7" t="s">
        <v>2208</v>
      </c>
      <c r="C1381" s="7" t="s">
        <v>2208</v>
      </c>
      <c r="D1381" s="7" t="s">
        <v>5795</v>
      </c>
      <c r="E1381" s="6" t="s">
        <v>2442</v>
      </c>
      <c r="F1381" s="8"/>
      <c r="G1381" s="8"/>
      <c r="H1381" s="8"/>
    </row>
    <row r="1382" spans="1:8">
      <c r="A1382" s="6" t="s">
        <v>3558</v>
      </c>
      <c r="B1382" s="7" t="s">
        <v>3559</v>
      </c>
      <c r="C1382" s="7" t="s">
        <v>3560</v>
      </c>
      <c r="D1382" s="7" t="s">
        <v>3561</v>
      </c>
      <c r="E1382" s="6" t="s">
        <v>3562</v>
      </c>
      <c r="F1382" s="8"/>
      <c r="G1382" s="8"/>
      <c r="H1382" s="8"/>
    </row>
    <row r="1383" spans="1:8">
      <c r="A1383" s="6" t="s">
        <v>3558</v>
      </c>
      <c r="B1383" s="7" t="s">
        <v>3578</v>
      </c>
      <c r="C1383" s="7" t="s">
        <v>1431</v>
      </c>
      <c r="D1383" s="7" t="s">
        <v>3579</v>
      </c>
      <c r="E1383" s="6" t="s">
        <v>3580</v>
      </c>
      <c r="F1383" s="8"/>
      <c r="G1383" s="8"/>
      <c r="H1383" s="8"/>
    </row>
    <row r="1384" spans="1:8">
      <c r="A1384" s="6" t="s">
        <v>786</v>
      </c>
      <c r="B1384" s="7" t="s">
        <v>735</v>
      </c>
      <c r="C1384" s="7" t="s">
        <v>735</v>
      </c>
      <c r="D1384" s="7" t="s">
        <v>787</v>
      </c>
      <c r="E1384" s="6" t="s">
        <v>788</v>
      </c>
      <c r="F1384" s="8" t="s">
        <v>6931</v>
      </c>
      <c r="G1384" s="8" t="s">
        <v>6929</v>
      </c>
      <c r="H1384" s="8" t="s">
        <v>7167</v>
      </c>
    </row>
    <row r="1385" spans="1:8">
      <c r="A1385" s="6" t="s">
        <v>786</v>
      </c>
      <c r="B1385" s="7" t="s">
        <v>9</v>
      </c>
      <c r="C1385" s="7" t="s">
        <v>9</v>
      </c>
      <c r="D1385" s="7" t="s">
        <v>861</v>
      </c>
      <c r="E1385" s="6" t="s">
        <v>862</v>
      </c>
      <c r="F1385" s="8"/>
      <c r="G1385" s="8"/>
      <c r="H1385" s="8"/>
    </row>
    <row r="1386" spans="1:8">
      <c r="A1386" s="6" t="s">
        <v>786</v>
      </c>
      <c r="B1386" s="7" t="s">
        <v>1391</v>
      </c>
      <c r="C1386" s="7" t="s">
        <v>1392</v>
      </c>
      <c r="D1386" s="7" t="s">
        <v>1393</v>
      </c>
      <c r="E1386" s="6" t="s">
        <v>1394</v>
      </c>
      <c r="F1386" s="8"/>
      <c r="G1386" s="8"/>
      <c r="H1386" s="8"/>
    </row>
    <row r="1387" spans="1:8">
      <c r="A1387" s="6" t="s">
        <v>786</v>
      </c>
      <c r="B1387" s="7" t="s">
        <v>1391</v>
      </c>
      <c r="C1387" s="7" t="s">
        <v>1419</v>
      </c>
      <c r="D1387" s="7" t="s">
        <v>1420</v>
      </c>
      <c r="E1387" s="6" t="s">
        <v>1421</v>
      </c>
      <c r="F1387" s="8" t="s">
        <v>6982</v>
      </c>
      <c r="G1387" s="8" t="s">
        <v>6944</v>
      </c>
      <c r="H1387" s="8" t="s">
        <v>6967</v>
      </c>
    </row>
    <row r="1388" spans="1:8">
      <c r="A1388" s="6" t="s">
        <v>786</v>
      </c>
      <c r="B1388" s="7" t="s">
        <v>1391</v>
      </c>
      <c r="C1388" s="7" t="s">
        <v>523</v>
      </c>
      <c r="D1388" s="7" t="s">
        <v>1510</v>
      </c>
      <c r="E1388" s="6" t="s">
        <v>1511</v>
      </c>
      <c r="F1388" s="8"/>
      <c r="G1388" s="8"/>
      <c r="H1388" s="8"/>
    </row>
    <row r="1389" spans="1:8">
      <c r="A1389" s="6" t="s">
        <v>786</v>
      </c>
      <c r="B1389" s="7" t="s">
        <v>1391</v>
      </c>
      <c r="C1389" s="7" t="s">
        <v>2477</v>
      </c>
      <c r="D1389" s="7" t="s">
        <v>2478</v>
      </c>
      <c r="E1389" s="6" t="s">
        <v>875</v>
      </c>
      <c r="F1389" s="8"/>
      <c r="G1389" s="8"/>
      <c r="H1389" s="8"/>
    </row>
    <row r="1390" spans="1:8">
      <c r="A1390" s="6" t="s">
        <v>786</v>
      </c>
      <c r="B1390" s="7" t="s">
        <v>1391</v>
      </c>
      <c r="C1390" s="7" t="s">
        <v>2479</v>
      </c>
      <c r="D1390" s="7" t="s">
        <v>2480</v>
      </c>
      <c r="E1390" s="6" t="s">
        <v>2481</v>
      </c>
      <c r="F1390" s="8" t="s">
        <v>7041</v>
      </c>
      <c r="G1390" s="8" t="s">
        <v>7056</v>
      </c>
      <c r="H1390" s="8" t="s">
        <v>7168</v>
      </c>
    </row>
    <row r="1391" spans="1:8">
      <c r="A1391" s="6" t="s">
        <v>786</v>
      </c>
      <c r="B1391" s="7" t="s">
        <v>1391</v>
      </c>
      <c r="C1391" s="7" t="s">
        <v>2479</v>
      </c>
      <c r="D1391" s="7" t="s">
        <v>2482</v>
      </c>
      <c r="E1391" s="6" t="s">
        <v>2483</v>
      </c>
      <c r="F1391" s="8" t="s">
        <v>7041</v>
      </c>
      <c r="G1391" s="8" t="s">
        <v>7056</v>
      </c>
      <c r="H1391" s="8" t="s">
        <v>7168</v>
      </c>
    </row>
    <row r="1392" spans="1:8">
      <c r="A1392" s="6" t="s">
        <v>786</v>
      </c>
      <c r="B1392" s="7" t="s">
        <v>1391</v>
      </c>
      <c r="C1392" s="7" t="s">
        <v>2484</v>
      </c>
      <c r="D1392" s="7" t="s">
        <v>2485</v>
      </c>
      <c r="E1392" s="6" t="s">
        <v>2486</v>
      </c>
      <c r="F1392" s="8"/>
      <c r="G1392" s="8"/>
      <c r="H1392" s="8"/>
    </row>
    <row r="1393" spans="1:8">
      <c r="A1393" s="6" t="s">
        <v>786</v>
      </c>
      <c r="B1393" s="7" t="s">
        <v>1391</v>
      </c>
      <c r="C1393" s="7" t="s">
        <v>2479</v>
      </c>
      <c r="D1393" s="7" t="s">
        <v>2487</v>
      </c>
      <c r="E1393" s="6" t="s">
        <v>2488</v>
      </c>
      <c r="F1393" s="8" t="s">
        <v>7041</v>
      </c>
      <c r="G1393" s="8" t="s">
        <v>7056</v>
      </c>
      <c r="H1393" s="8" t="s">
        <v>7168</v>
      </c>
    </row>
    <row r="1394" spans="1:8">
      <c r="A1394" s="6" t="s">
        <v>786</v>
      </c>
      <c r="B1394" s="7" t="s">
        <v>1391</v>
      </c>
      <c r="C1394" s="7" t="s">
        <v>2489</v>
      </c>
      <c r="D1394" s="7" t="s">
        <v>2490</v>
      </c>
      <c r="E1394" s="6" t="s">
        <v>2491</v>
      </c>
      <c r="F1394" s="8"/>
      <c r="G1394" s="8"/>
      <c r="H1394" s="8"/>
    </row>
    <row r="1395" spans="1:8">
      <c r="A1395" s="6" t="s">
        <v>786</v>
      </c>
      <c r="B1395" s="7" t="s">
        <v>1391</v>
      </c>
      <c r="C1395" s="7" t="s">
        <v>2484</v>
      </c>
      <c r="D1395" s="7" t="s">
        <v>2492</v>
      </c>
      <c r="E1395" s="6" t="s">
        <v>1286</v>
      </c>
      <c r="F1395" s="8"/>
      <c r="G1395" s="8"/>
      <c r="H1395" s="8"/>
    </row>
    <row r="1396" spans="1:8">
      <c r="A1396" s="6" t="s">
        <v>786</v>
      </c>
      <c r="B1396" s="7" t="s">
        <v>1391</v>
      </c>
      <c r="C1396" s="7" t="s">
        <v>2493</v>
      </c>
      <c r="D1396" s="7" t="s">
        <v>2494</v>
      </c>
      <c r="E1396" s="6" t="s">
        <v>2495</v>
      </c>
      <c r="F1396" s="8"/>
      <c r="G1396" s="8"/>
      <c r="H1396" s="8"/>
    </row>
    <row r="1397" spans="1:8">
      <c r="A1397" s="6" t="s">
        <v>786</v>
      </c>
      <c r="B1397" s="7" t="s">
        <v>1391</v>
      </c>
      <c r="C1397" s="7" t="s">
        <v>523</v>
      </c>
      <c r="D1397" s="7" t="s">
        <v>2496</v>
      </c>
      <c r="E1397" s="6" t="s">
        <v>2497</v>
      </c>
      <c r="F1397" s="8"/>
      <c r="G1397" s="8"/>
      <c r="H1397" s="8"/>
    </row>
    <row r="1398" spans="1:8">
      <c r="A1398" s="6" t="s">
        <v>786</v>
      </c>
      <c r="B1398" s="7" t="s">
        <v>1391</v>
      </c>
      <c r="C1398" s="7" t="s">
        <v>523</v>
      </c>
      <c r="D1398" s="7" t="s">
        <v>2498</v>
      </c>
      <c r="E1398" s="6" t="s">
        <v>2499</v>
      </c>
      <c r="F1398" s="8"/>
      <c r="G1398" s="8"/>
      <c r="H1398" s="8"/>
    </row>
    <row r="1399" spans="1:8">
      <c r="A1399" s="6" t="s">
        <v>786</v>
      </c>
      <c r="B1399" s="7" t="s">
        <v>1391</v>
      </c>
      <c r="C1399" s="7" t="s">
        <v>2500</v>
      </c>
      <c r="D1399" s="7" t="s">
        <v>2501</v>
      </c>
      <c r="E1399" s="6" t="s">
        <v>2502</v>
      </c>
      <c r="F1399" s="8" t="s">
        <v>6931</v>
      </c>
      <c r="G1399" s="8" t="s">
        <v>6929</v>
      </c>
      <c r="H1399" s="8" t="s">
        <v>6979</v>
      </c>
    </row>
    <row r="1400" spans="1:8">
      <c r="A1400" s="6" t="s">
        <v>786</v>
      </c>
      <c r="B1400" s="7" t="s">
        <v>1391</v>
      </c>
      <c r="C1400" s="7" t="s">
        <v>523</v>
      </c>
      <c r="D1400" s="7" t="s">
        <v>2503</v>
      </c>
      <c r="E1400" s="6" t="s">
        <v>2504</v>
      </c>
      <c r="F1400" s="8"/>
      <c r="G1400" s="8"/>
      <c r="H1400" s="8"/>
    </row>
    <row r="1401" spans="1:8">
      <c r="A1401" s="6" t="s">
        <v>786</v>
      </c>
      <c r="B1401" s="7" t="s">
        <v>1391</v>
      </c>
      <c r="C1401" s="7" t="s">
        <v>2505</v>
      </c>
      <c r="D1401" s="7" t="s">
        <v>2506</v>
      </c>
      <c r="E1401" s="6" t="s">
        <v>2507</v>
      </c>
      <c r="F1401" s="8"/>
      <c r="G1401" s="8"/>
      <c r="H1401" s="8"/>
    </row>
    <row r="1402" spans="1:8">
      <c r="A1402" s="6" t="s">
        <v>853</v>
      </c>
      <c r="B1402" s="7" t="s">
        <v>854</v>
      </c>
      <c r="C1402" s="7" t="s">
        <v>855</v>
      </c>
      <c r="D1402" s="7" t="s">
        <v>856</v>
      </c>
      <c r="E1402" s="6" t="s">
        <v>857</v>
      </c>
      <c r="F1402" s="8" t="s">
        <v>7041</v>
      </c>
      <c r="G1402" s="8" t="s">
        <v>6953</v>
      </c>
      <c r="H1402" s="8" t="s">
        <v>7068</v>
      </c>
    </row>
    <row r="1403" spans="1:8">
      <c r="A1403" s="6" t="s">
        <v>853</v>
      </c>
      <c r="B1403" s="7" t="s">
        <v>854</v>
      </c>
      <c r="C1403" s="7" t="s">
        <v>858</v>
      </c>
      <c r="D1403" s="7" t="s">
        <v>859</v>
      </c>
      <c r="E1403" s="6" t="s">
        <v>860</v>
      </c>
      <c r="F1403" s="8"/>
      <c r="G1403" s="8"/>
      <c r="H1403" s="8"/>
    </row>
    <row r="1404" spans="1:8">
      <c r="A1404" s="6" t="s">
        <v>853</v>
      </c>
      <c r="B1404" s="7" t="s">
        <v>935</v>
      </c>
      <c r="C1404" s="7" t="s">
        <v>936</v>
      </c>
      <c r="D1404" s="7" t="s">
        <v>937</v>
      </c>
      <c r="E1404" s="6" t="s">
        <v>938</v>
      </c>
      <c r="F1404" s="8"/>
      <c r="G1404" s="8"/>
      <c r="H1404" s="8"/>
    </row>
    <row r="1405" spans="1:8">
      <c r="A1405" s="6" t="s">
        <v>853</v>
      </c>
      <c r="B1405" s="7" t="s">
        <v>935</v>
      </c>
      <c r="C1405" s="7" t="s">
        <v>936</v>
      </c>
      <c r="D1405" s="7" t="s">
        <v>1191</v>
      </c>
      <c r="E1405" s="6" t="s">
        <v>1192</v>
      </c>
      <c r="F1405" s="8"/>
      <c r="G1405" s="8"/>
      <c r="H1405" s="8"/>
    </row>
    <row r="1406" spans="1:8">
      <c r="A1406" s="6" t="s">
        <v>853</v>
      </c>
      <c r="B1406" s="7" t="s">
        <v>1743</v>
      </c>
      <c r="C1406" s="7" t="s">
        <v>1744</v>
      </c>
      <c r="D1406" s="7" t="s">
        <v>1745</v>
      </c>
      <c r="E1406" s="6" t="s">
        <v>1746</v>
      </c>
      <c r="F1406" s="8" t="s">
        <v>7041</v>
      </c>
      <c r="G1406" s="8" t="s">
        <v>6926</v>
      </c>
      <c r="H1406" s="8" t="s">
        <v>7170</v>
      </c>
    </row>
    <row r="1407" spans="1:8">
      <c r="A1407" s="6" t="s">
        <v>853</v>
      </c>
      <c r="B1407" s="7" t="s">
        <v>854</v>
      </c>
      <c r="C1407" s="7" t="s">
        <v>2915</v>
      </c>
      <c r="D1407" s="7" t="s">
        <v>3817</v>
      </c>
      <c r="E1407" s="6" t="s">
        <v>3818</v>
      </c>
      <c r="F1407" s="8" t="s">
        <v>6931</v>
      </c>
      <c r="G1407" s="8" t="s">
        <v>6929</v>
      </c>
      <c r="H1407" s="8" t="s">
        <v>7068</v>
      </c>
    </row>
    <row r="1408" spans="1:8">
      <c r="A1408" s="6" t="s">
        <v>853</v>
      </c>
      <c r="B1408" s="7" t="s">
        <v>854</v>
      </c>
      <c r="C1408" s="7" t="s">
        <v>2915</v>
      </c>
      <c r="D1408" s="7" t="s">
        <v>3819</v>
      </c>
      <c r="E1408" s="6" t="s">
        <v>3820</v>
      </c>
      <c r="F1408" s="8" t="s">
        <v>6931</v>
      </c>
      <c r="G1408" s="8" t="s">
        <v>6929</v>
      </c>
      <c r="H1408" s="8" t="s">
        <v>7068</v>
      </c>
    </row>
    <row r="1409" spans="1:8">
      <c r="A1409" s="6" t="s">
        <v>853</v>
      </c>
      <c r="B1409" s="7" t="s">
        <v>854</v>
      </c>
      <c r="C1409" s="7" t="s">
        <v>264</v>
      </c>
      <c r="D1409" s="7" t="s">
        <v>3821</v>
      </c>
      <c r="E1409" s="6" t="s">
        <v>3822</v>
      </c>
      <c r="F1409" s="8"/>
      <c r="G1409" s="8"/>
      <c r="H1409" s="8"/>
    </row>
    <row r="1410" spans="1:8">
      <c r="A1410" s="6" t="s">
        <v>853</v>
      </c>
      <c r="B1410" s="7" t="s">
        <v>854</v>
      </c>
      <c r="C1410" s="7" t="s">
        <v>264</v>
      </c>
      <c r="D1410" s="7" t="s">
        <v>3823</v>
      </c>
      <c r="E1410" s="6" t="s">
        <v>3824</v>
      </c>
      <c r="F1410" s="8"/>
      <c r="G1410" s="8"/>
      <c r="H1410" s="8"/>
    </row>
    <row r="1411" spans="1:8">
      <c r="A1411" s="6" t="s">
        <v>853</v>
      </c>
      <c r="B1411" s="7" t="s">
        <v>854</v>
      </c>
      <c r="C1411" s="7" t="s">
        <v>264</v>
      </c>
      <c r="D1411" s="7" t="s">
        <v>3825</v>
      </c>
      <c r="E1411" s="6" t="s">
        <v>816</v>
      </c>
      <c r="F1411" s="8" t="s">
        <v>6931</v>
      </c>
      <c r="G1411" s="8" t="s">
        <v>6929</v>
      </c>
      <c r="H1411" s="8" t="s">
        <v>7070</v>
      </c>
    </row>
    <row r="1412" spans="1:8">
      <c r="A1412" s="6" t="s">
        <v>853</v>
      </c>
      <c r="B1412" s="7" t="s">
        <v>854</v>
      </c>
      <c r="C1412" s="7" t="s">
        <v>264</v>
      </c>
      <c r="D1412" s="7" t="s">
        <v>3826</v>
      </c>
      <c r="E1412" s="6" t="s">
        <v>3827</v>
      </c>
      <c r="F1412" s="8" t="s">
        <v>6931</v>
      </c>
      <c r="G1412" s="8" t="s">
        <v>6929</v>
      </c>
      <c r="H1412" s="8" t="s">
        <v>6927</v>
      </c>
    </row>
    <row r="1413" spans="1:8">
      <c r="A1413" s="6" t="s">
        <v>853</v>
      </c>
      <c r="B1413" s="7" t="s">
        <v>854</v>
      </c>
      <c r="C1413" s="7" t="s">
        <v>264</v>
      </c>
      <c r="D1413" s="7" t="s">
        <v>3828</v>
      </c>
      <c r="E1413" s="6" t="s">
        <v>3829</v>
      </c>
      <c r="F1413" s="8"/>
      <c r="G1413" s="8"/>
      <c r="H1413" s="8"/>
    </row>
    <row r="1414" spans="1:8">
      <c r="A1414" s="6" t="s">
        <v>853</v>
      </c>
      <c r="B1414" s="7" t="s">
        <v>854</v>
      </c>
      <c r="C1414" s="7" t="s">
        <v>620</v>
      </c>
      <c r="D1414" s="7" t="s">
        <v>3830</v>
      </c>
      <c r="E1414" s="6" t="s">
        <v>3831</v>
      </c>
      <c r="F1414" s="8" t="s">
        <v>6931</v>
      </c>
      <c r="G1414" s="8" t="s">
        <v>6929</v>
      </c>
      <c r="H1414" s="8" t="s">
        <v>6978</v>
      </c>
    </row>
    <row r="1415" spans="1:8">
      <c r="A1415" s="6" t="s">
        <v>853</v>
      </c>
      <c r="B1415" s="7" t="s">
        <v>854</v>
      </c>
      <c r="C1415" s="7" t="s">
        <v>620</v>
      </c>
      <c r="D1415" s="7" t="s">
        <v>3832</v>
      </c>
      <c r="E1415" s="6" t="s">
        <v>3833</v>
      </c>
      <c r="F1415" s="8" t="s">
        <v>6931</v>
      </c>
      <c r="G1415" s="8" t="s">
        <v>6929</v>
      </c>
      <c r="H1415" s="8" t="s">
        <v>6978</v>
      </c>
    </row>
    <row r="1416" spans="1:8">
      <c r="A1416" s="6" t="s">
        <v>853</v>
      </c>
      <c r="B1416" s="7" t="s">
        <v>854</v>
      </c>
      <c r="C1416" s="7" t="s">
        <v>116</v>
      </c>
      <c r="D1416" s="7" t="s">
        <v>3834</v>
      </c>
      <c r="E1416" s="6" t="s">
        <v>3835</v>
      </c>
      <c r="F1416" s="8"/>
      <c r="G1416" s="8"/>
      <c r="H1416" s="8"/>
    </row>
    <row r="1417" spans="1:8">
      <c r="A1417" s="6" t="s">
        <v>853</v>
      </c>
      <c r="B1417" s="7" t="s">
        <v>854</v>
      </c>
      <c r="C1417" s="7" t="s">
        <v>78</v>
      </c>
      <c r="D1417" s="7" t="s">
        <v>3836</v>
      </c>
      <c r="E1417" s="6" t="s">
        <v>3837</v>
      </c>
      <c r="F1417" s="8"/>
      <c r="G1417" s="8"/>
      <c r="H1417" s="8"/>
    </row>
    <row r="1418" spans="1:8">
      <c r="A1418" s="6" t="s">
        <v>853</v>
      </c>
      <c r="B1418" s="7" t="s">
        <v>854</v>
      </c>
      <c r="C1418" s="7" t="s">
        <v>3838</v>
      </c>
      <c r="D1418" s="7" t="s">
        <v>3839</v>
      </c>
      <c r="E1418" s="6" t="s">
        <v>3840</v>
      </c>
      <c r="F1418" s="8"/>
      <c r="G1418" s="8"/>
      <c r="H1418" s="8"/>
    </row>
    <row r="1419" spans="1:8">
      <c r="A1419" s="6" t="s">
        <v>853</v>
      </c>
      <c r="B1419" s="7" t="s">
        <v>854</v>
      </c>
      <c r="C1419" s="7" t="s">
        <v>2915</v>
      </c>
      <c r="D1419" s="7" t="s">
        <v>3841</v>
      </c>
      <c r="E1419" s="6" t="s">
        <v>3842</v>
      </c>
      <c r="F1419" s="8"/>
      <c r="G1419" s="8"/>
      <c r="H1419" s="8"/>
    </row>
    <row r="1420" spans="1:8">
      <c r="A1420" s="6" t="s">
        <v>853</v>
      </c>
      <c r="B1420" s="7" t="s">
        <v>854</v>
      </c>
      <c r="C1420" s="7" t="s">
        <v>116</v>
      </c>
      <c r="D1420" s="7" t="s">
        <v>3843</v>
      </c>
      <c r="E1420" s="6" t="s">
        <v>3844</v>
      </c>
      <c r="F1420" s="8" t="s">
        <v>7041</v>
      </c>
      <c r="G1420" s="8" t="s">
        <v>6929</v>
      </c>
      <c r="H1420" s="8" t="s">
        <v>7100</v>
      </c>
    </row>
    <row r="1421" spans="1:8">
      <c r="A1421" s="6" t="s">
        <v>853</v>
      </c>
      <c r="B1421" s="7" t="s">
        <v>854</v>
      </c>
      <c r="C1421" s="7" t="s">
        <v>78</v>
      </c>
      <c r="D1421" s="7" t="s">
        <v>3845</v>
      </c>
      <c r="E1421" s="6" t="s">
        <v>586</v>
      </c>
      <c r="F1421" s="8"/>
      <c r="G1421" s="8"/>
      <c r="H1421" s="8"/>
    </row>
    <row r="1422" spans="1:8">
      <c r="A1422" s="6" t="s">
        <v>853</v>
      </c>
      <c r="B1422" s="7" t="s">
        <v>854</v>
      </c>
      <c r="C1422" s="7" t="s">
        <v>264</v>
      </c>
      <c r="D1422" s="7" t="s">
        <v>3846</v>
      </c>
      <c r="E1422" s="6" t="s">
        <v>3847</v>
      </c>
      <c r="F1422" s="8" t="s">
        <v>6931</v>
      </c>
      <c r="G1422" s="8" t="s">
        <v>6929</v>
      </c>
      <c r="H1422" s="8" t="s">
        <v>7169</v>
      </c>
    </row>
    <row r="1423" spans="1:8">
      <c r="A1423" s="6" t="s">
        <v>853</v>
      </c>
      <c r="B1423" s="7" t="s">
        <v>854</v>
      </c>
      <c r="C1423" s="7" t="s">
        <v>620</v>
      </c>
      <c r="D1423" s="7" t="s">
        <v>3848</v>
      </c>
      <c r="E1423" s="6" t="s">
        <v>3849</v>
      </c>
      <c r="F1423" s="8" t="s">
        <v>6931</v>
      </c>
      <c r="G1423" s="8" t="s">
        <v>6953</v>
      </c>
      <c r="H1423" s="8" t="s">
        <v>7174</v>
      </c>
    </row>
    <row r="1424" spans="1:8">
      <c r="A1424" s="6" t="s">
        <v>853</v>
      </c>
      <c r="B1424" s="7" t="s">
        <v>854</v>
      </c>
      <c r="C1424" s="7" t="s">
        <v>620</v>
      </c>
      <c r="D1424" s="7" t="s">
        <v>3850</v>
      </c>
      <c r="E1424" s="6" t="s">
        <v>3851</v>
      </c>
      <c r="F1424" s="8" t="s">
        <v>6931</v>
      </c>
      <c r="G1424" s="8" t="s">
        <v>6953</v>
      </c>
      <c r="H1424" s="8" t="s">
        <v>7174</v>
      </c>
    </row>
    <row r="1425" spans="1:8">
      <c r="A1425" s="6" t="s">
        <v>853</v>
      </c>
      <c r="B1425" s="7" t="s">
        <v>854</v>
      </c>
      <c r="C1425" s="7" t="s">
        <v>116</v>
      </c>
      <c r="D1425" s="7" t="s">
        <v>3852</v>
      </c>
      <c r="E1425" s="6" t="s">
        <v>3853</v>
      </c>
      <c r="F1425" s="8"/>
      <c r="G1425" s="8"/>
      <c r="H1425" s="8"/>
    </row>
    <row r="1426" spans="1:8">
      <c r="A1426" s="6" t="s">
        <v>853</v>
      </c>
      <c r="B1426" s="7" t="s">
        <v>3854</v>
      </c>
      <c r="C1426" s="7" t="s">
        <v>106</v>
      </c>
      <c r="D1426" s="7" t="s">
        <v>3855</v>
      </c>
      <c r="E1426" s="6" t="s">
        <v>3856</v>
      </c>
      <c r="F1426" s="8"/>
      <c r="G1426" s="8"/>
      <c r="H1426" s="8"/>
    </row>
    <row r="1427" spans="1:8">
      <c r="A1427" s="6" t="s">
        <v>853</v>
      </c>
      <c r="B1427" s="7" t="s">
        <v>1743</v>
      </c>
      <c r="C1427" s="7" t="s">
        <v>1744</v>
      </c>
      <c r="D1427" s="7" t="s">
        <v>3857</v>
      </c>
      <c r="E1427" s="6" t="s">
        <v>3858</v>
      </c>
      <c r="F1427" s="8"/>
      <c r="G1427" s="8"/>
      <c r="H1427" s="8"/>
    </row>
    <row r="1428" spans="1:8">
      <c r="A1428" s="6" t="s">
        <v>853</v>
      </c>
      <c r="B1428" s="7" t="s">
        <v>935</v>
      </c>
      <c r="C1428" s="7" t="s">
        <v>936</v>
      </c>
      <c r="D1428" s="7" t="s">
        <v>3859</v>
      </c>
      <c r="E1428" s="6" t="s">
        <v>3860</v>
      </c>
      <c r="F1428" s="8" t="s">
        <v>6934</v>
      </c>
      <c r="G1428" s="8" t="s">
        <v>6929</v>
      </c>
      <c r="H1428" s="8" t="s">
        <v>6978</v>
      </c>
    </row>
    <row r="1429" spans="1:8">
      <c r="A1429" s="6" t="s">
        <v>853</v>
      </c>
      <c r="B1429" s="7" t="s">
        <v>935</v>
      </c>
      <c r="C1429" s="7" t="s">
        <v>936</v>
      </c>
      <c r="D1429" s="7" t="s">
        <v>3861</v>
      </c>
      <c r="E1429" s="6" t="s">
        <v>3862</v>
      </c>
      <c r="F1429" s="8" t="s">
        <v>6934</v>
      </c>
      <c r="G1429" s="8" t="s">
        <v>6929</v>
      </c>
      <c r="H1429" s="8" t="s">
        <v>6978</v>
      </c>
    </row>
    <row r="1430" spans="1:8">
      <c r="A1430" s="6" t="s">
        <v>853</v>
      </c>
      <c r="B1430" s="7" t="s">
        <v>935</v>
      </c>
      <c r="C1430" s="7" t="s">
        <v>936</v>
      </c>
      <c r="D1430" s="7" t="s">
        <v>3863</v>
      </c>
      <c r="E1430" s="6" t="s">
        <v>3864</v>
      </c>
      <c r="F1430" s="8" t="s">
        <v>6934</v>
      </c>
      <c r="G1430" s="8" t="s">
        <v>6929</v>
      </c>
      <c r="H1430" s="8" t="s">
        <v>6978</v>
      </c>
    </row>
    <row r="1431" spans="1:8">
      <c r="A1431" s="6" t="s">
        <v>853</v>
      </c>
      <c r="B1431" s="7" t="s">
        <v>935</v>
      </c>
      <c r="C1431" s="7" t="s">
        <v>1131</v>
      </c>
      <c r="D1431" s="7" t="s">
        <v>3865</v>
      </c>
      <c r="E1431" s="6" t="s">
        <v>3866</v>
      </c>
      <c r="F1431" s="8" t="s">
        <v>6982</v>
      </c>
      <c r="G1431" s="8" t="s">
        <v>6929</v>
      </c>
      <c r="H1431" s="8" t="s">
        <v>6979</v>
      </c>
    </row>
    <row r="1432" spans="1:8">
      <c r="A1432" s="6" t="s">
        <v>746</v>
      </c>
      <c r="B1432" s="7" t="s">
        <v>747</v>
      </c>
      <c r="C1432" s="7" t="s">
        <v>747</v>
      </c>
      <c r="D1432" s="7" t="s">
        <v>748</v>
      </c>
      <c r="E1432" s="6" t="s">
        <v>749</v>
      </c>
      <c r="F1432" s="8"/>
      <c r="G1432" s="8"/>
      <c r="H1432" s="8"/>
    </row>
    <row r="1433" spans="1:8">
      <c r="A1433" s="6" t="s">
        <v>746</v>
      </c>
      <c r="B1433" s="7" t="s">
        <v>747</v>
      </c>
      <c r="C1433" s="7" t="s">
        <v>2225</v>
      </c>
      <c r="D1433" s="7" t="s">
        <v>2344</v>
      </c>
      <c r="E1433" s="6" t="s">
        <v>2345</v>
      </c>
      <c r="F1433" s="8"/>
      <c r="G1433" s="8"/>
      <c r="H1433" s="8"/>
    </row>
    <row r="1434" spans="1:8">
      <c r="A1434" s="6" t="s">
        <v>746</v>
      </c>
      <c r="B1434" s="7" t="s">
        <v>747</v>
      </c>
      <c r="C1434" s="7" t="s">
        <v>747</v>
      </c>
      <c r="D1434" s="7" t="s">
        <v>2346</v>
      </c>
      <c r="E1434" s="6" t="s">
        <v>2347</v>
      </c>
      <c r="F1434" s="8"/>
      <c r="G1434" s="8"/>
      <c r="H1434" s="8"/>
    </row>
    <row r="1435" spans="1:8">
      <c r="A1435" s="6" t="s">
        <v>746</v>
      </c>
      <c r="B1435" s="7" t="s">
        <v>747</v>
      </c>
      <c r="C1435" s="7" t="s">
        <v>747</v>
      </c>
      <c r="D1435" s="7" t="s">
        <v>2348</v>
      </c>
      <c r="E1435" s="6" t="s">
        <v>2349</v>
      </c>
      <c r="F1435" s="8" t="s">
        <v>7067</v>
      </c>
      <c r="G1435" s="8" t="s">
        <v>6953</v>
      </c>
      <c r="H1435" s="8" t="s">
        <v>7068</v>
      </c>
    </row>
    <row r="1436" spans="1:8">
      <c r="A1436" s="6" t="s">
        <v>746</v>
      </c>
      <c r="B1436" s="7" t="s">
        <v>747</v>
      </c>
      <c r="C1436" s="7" t="s">
        <v>2351</v>
      </c>
      <c r="D1436" s="7" t="s">
        <v>2352</v>
      </c>
      <c r="E1436" s="6" t="s">
        <v>2353</v>
      </c>
      <c r="F1436" s="8"/>
      <c r="G1436" s="8"/>
      <c r="H1436" s="8"/>
    </row>
    <row r="1437" spans="1:8">
      <c r="A1437" s="6" t="s">
        <v>746</v>
      </c>
      <c r="B1437" s="7" t="s">
        <v>747</v>
      </c>
      <c r="C1437" s="7" t="s">
        <v>2161</v>
      </c>
      <c r="D1437" s="7" t="s">
        <v>2354</v>
      </c>
      <c r="E1437" s="6" t="s">
        <v>2355</v>
      </c>
      <c r="F1437" s="8" t="s">
        <v>6934</v>
      </c>
      <c r="G1437" s="8" t="s">
        <v>6929</v>
      </c>
      <c r="H1437" s="8" t="s">
        <v>7175</v>
      </c>
    </row>
    <row r="1438" spans="1:8">
      <c r="A1438" s="6" t="s">
        <v>746</v>
      </c>
      <c r="B1438" s="7" t="s">
        <v>747</v>
      </c>
      <c r="C1438" s="7" t="s">
        <v>2161</v>
      </c>
      <c r="D1438" s="7" t="s">
        <v>2356</v>
      </c>
      <c r="E1438" s="6" t="s">
        <v>2357</v>
      </c>
      <c r="F1438" s="8"/>
      <c r="G1438" s="8"/>
      <c r="H1438" s="8"/>
    </row>
    <row r="1439" spans="1:8">
      <c r="A1439" s="6" t="s">
        <v>746</v>
      </c>
      <c r="B1439" s="7" t="s">
        <v>747</v>
      </c>
      <c r="C1439" s="7" t="s">
        <v>2161</v>
      </c>
      <c r="D1439" s="7" t="s">
        <v>2358</v>
      </c>
      <c r="E1439" s="6" t="s">
        <v>2359</v>
      </c>
      <c r="F1439" s="8"/>
      <c r="G1439" s="8"/>
      <c r="H1439" s="8"/>
    </row>
    <row r="1440" spans="1:8">
      <c r="A1440" s="6" t="s">
        <v>746</v>
      </c>
      <c r="B1440" s="7" t="s">
        <v>747</v>
      </c>
      <c r="C1440" s="7" t="s">
        <v>1512</v>
      </c>
      <c r="D1440" s="7" t="s">
        <v>2360</v>
      </c>
      <c r="E1440" s="6" t="s">
        <v>2361</v>
      </c>
      <c r="F1440" s="8"/>
      <c r="G1440" s="8"/>
      <c r="H1440" s="8"/>
    </row>
    <row r="1441" spans="1:8">
      <c r="A1441" s="6" t="s">
        <v>746</v>
      </c>
      <c r="B1441" s="7" t="s">
        <v>747</v>
      </c>
      <c r="C1441" s="7" t="s">
        <v>1512</v>
      </c>
      <c r="D1441" s="7" t="s">
        <v>2362</v>
      </c>
      <c r="E1441" s="6" t="s">
        <v>2363</v>
      </c>
      <c r="F1441" s="8"/>
      <c r="G1441" s="8"/>
      <c r="H1441" s="8"/>
    </row>
    <row r="1442" spans="1:8">
      <c r="A1442" s="6" t="s">
        <v>746</v>
      </c>
      <c r="B1442" s="7" t="s">
        <v>747</v>
      </c>
      <c r="C1442" s="7" t="s">
        <v>1512</v>
      </c>
      <c r="D1442" s="7" t="s">
        <v>2364</v>
      </c>
      <c r="E1442" s="6" t="s">
        <v>2365</v>
      </c>
      <c r="F1442" s="8"/>
      <c r="G1442" s="8"/>
      <c r="H1442" s="8"/>
    </row>
    <row r="1443" spans="1:8">
      <c r="A1443" s="6" t="s">
        <v>746</v>
      </c>
      <c r="B1443" s="7" t="s">
        <v>747</v>
      </c>
      <c r="C1443" s="7" t="s">
        <v>1512</v>
      </c>
      <c r="D1443" s="7" t="s">
        <v>2366</v>
      </c>
      <c r="E1443" s="6" t="s">
        <v>2367</v>
      </c>
      <c r="F1443" s="8"/>
      <c r="G1443" s="8"/>
      <c r="H1443" s="8"/>
    </row>
    <row r="1444" spans="1:8">
      <c r="A1444" s="6" t="s">
        <v>746</v>
      </c>
      <c r="B1444" s="7" t="s">
        <v>747</v>
      </c>
      <c r="C1444" s="7" t="s">
        <v>1512</v>
      </c>
      <c r="D1444" s="7" t="s">
        <v>2368</v>
      </c>
      <c r="E1444" s="6" t="s">
        <v>2369</v>
      </c>
      <c r="F1444" s="8"/>
      <c r="G1444" s="8"/>
      <c r="H1444" s="8"/>
    </row>
    <row r="1445" spans="1:8">
      <c r="A1445" s="6" t="s">
        <v>746</v>
      </c>
      <c r="B1445" s="7" t="s">
        <v>747</v>
      </c>
      <c r="C1445" s="7" t="s">
        <v>2161</v>
      </c>
      <c r="D1445" s="7" t="s">
        <v>2370</v>
      </c>
      <c r="E1445" s="6" t="s">
        <v>2371</v>
      </c>
      <c r="F1445" s="8"/>
      <c r="G1445" s="8"/>
      <c r="H1445" s="8"/>
    </row>
    <row r="1446" spans="1:8">
      <c r="A1446" s="6" t="s">
        <v>1206</v>
      </c>
      <c r="B1446" s="7" t="s">
        <v>9</v>
      </c>
      <c r="C1446" s="7" t="s">
        <v>1207</v>
      </c>
      <c r="D1446" s="7" t="s">
        <v>1208</v>
      </c>
      <c r="E1446" s="6" t="s">
        <v>1209</v>
      </c>
      <c r="F1446" s="8" t="s">
        <v>6939</v>
      </c>
      <c r="G1446" s="8" t="s">
        <v>6929</v>
      </c>
      <c r="H1446" s="8" t="s">
        <v>6927</v>
      </c>
    </row>
    <row r="1447" spans="1:8">
      <c r="A1447" s="6" t="s">
        <v>1206</v>
      </c>
      <c r="B1447" s="7" t="s">
        <v>1207</v>
      </c>
      <c r="C1447" s="7" t="s">
        <v>1207</v>
      </c>
      <c r="D1447" s="7" t="s">
        <v>3734</v>
      </c>
      <c r="E1447" s="6" t="s">
        <v>3735</v>
      </c>
      <c r="F1447" s="8" t="s">
        <v>6939</v>
      </c>
      <c r="G1447" s="8" t="s">
        <v>6929</v>
      </c>
      <c r="H1447" s="8" t="s">
        <v>6927</v>
      </c>
    </row>
    <row r="1448" spans="1:8">
      <c r="A1448" s="6" t="s">
        <v>1206</v>
      </c>
      <c r="B1448" s="7" t="s">
        <v>1207</v>
      </c>
      <c r="C1448" s="7" t="s">
        <v>1207</v>
      </c>
      <c r="D1448" s="7" t="s">
        <v>3736</v>
      </c>
      <c r="E1448" s="6" t="s">
        <v>3737</v>
      </c>
      <c r="F1448" s="8" t="s">
        <v>6939</v>
      </c>
      <c r="G1448" s="8" t="s">
        <v>6929</v>
      </c>
      <c r="H1448" s="8" t="s">
        <v>6927</v>
      </c>
    </row>
    <row r="1449" spans="1:8">
      <c r="A1449" s="6" t="s">
        <v>1206</v>
      </c>
      <c r="B1449" s="7" t="s">
        <v>3738</v>
      </c>
      <c r="C1449" s="7" t="s">
        <v>3739</v>
      </c>
      <c r="D1449" s="7" t="s">
        <v>3740</v>
      </c>
      <c r="E1449" s="6" t="s">
        <v>3741</v>
      </c>
      <c r="F1449" s="8"/>
      <c r="G1449" s="8"/>
      <c r="H1449" s="8"/>
    </row>
    <row r="1450" spans="1:8">
      <c r="A1450" s="6" t="s">
        <v>1206</v>
      </c>
      <c r="B1450" s="7" t="s">
        <v>3742</v>
      </c>
      <c r="C1450" s="7" t="s">
        <v>3738</v>
      </c>
      <c r="D1450" s="7" t="s">
        <v>3743</v>
      </c>
      <c r="E1450" s="6" t="s">
        <v>3744</v>
      </c>
      <c r="F1450" s="8"/>
      <c r="G1450" s="8"/>
      <c r="H1450" s="8"/>
    </row>
    <row r="1451" spans="1:8">
      <c r="A1451" s="6" t="s">
        <v>1206</v>
      </c>
      <c r="B1451" s="7" t="s">
        <v>3745</v>
      </c>
      <c r="C1451" s="7" t="s">
        <v>3738</v>
      </c>
      <c r="D1451" s="7" t="s">
        <v>3746</v>
      </c>
      <c r="E1451" s="6" t="s">
        <v>3747</v>
      </c>
      <c r="F1451" s="8"/>
      <c r="G1451" s="8"/>
      <c r="H1451" s="8"/>
    </row>
    <row r="1452" spans="1:8">
      <c r="A1452" s="6" t="s">
        <v>4683</v>
      </c>
      <c r="B1452" s="7" t="s">
        <v>9</v>
      </c>
      <c r="C1452" s="7" t="s">
        <v>9</v>
      </c>
      <c r="D1452" s="7" t="s">
        <v>4684</v>
      </c>
      <c r="E1452" s="6" t="s">
        <v>4685</v>
      </c>
      <c r="F1452" s="8"/>
      <c r="G1452" s="8"/>
      <c r="H1452" s="8"/>
    </row>
    <row r="1453" spans="1:8">
      <c r="A1453" s="6" t="s">
        <v>4683</v>
      </c>
      <c r="B1453" s="7" t="s">
        <v>4686</v>
      </c>
      <c r="C1453" s="7" t="s">
        <v>4687</v>
      </c>
      <c r="D1453" s="7" t="s">
        <v>4688</v>
      </c>
      <c r="E1453" s="6" t="s">
        <v>4689</v>
      </c>
      <c r="F1453" s="8"/>
      <c r="G1453" s="8"/>
      <c r="H1453" s="8"/>
    </row>
    <row r="1454" spans="1:8">
      <c r="A1454" s="6" t="s">
        <v>1980</v>
      </c>
      <c r="B1454" s="7" t="s">
        <v>9</v>
      </c>
      <c r="C1454" s="7" t="s">
        <v>9</v>
      </c>
      <c r="D1454" s="7" t="s">
        <v>1981</v>
      </c>
      <c r="E1454" s="6" t="s">
        <v>1982</v>
      </c>
      <c r="F1454" s="8"/>
      <c r="G1454" s="8"/>
      <c r="H1454" s="8"/>
    </row>
    <row r="1455" spans="1:8">
      <c r="A1455" s="6" t="s">
        <v>1416</v>
      </c>
      <c r="B1455" s="7" t="s">
        <v>1319</v>
      </c>
      <c r="C1455" s="7" t="s">
        <v>1319</v>
      </c>
      <c r="D1455" s="7" t="s">
        <v>1417</v>
      </c>
      <c r="E1455" s="6" t="s">
        <v>1418</v>
      </c>
      <c r="F1455" s="8"/>
      <c r="G1455" s="8"/>
      <c r="H1455" s="8"/>
    </row>
    <row r="1456" spans="1:8">
      <c r="A1456" s="6" t="s">
        <v>1416</v>
      </c>
      <c r="B1456" s="7" t="s">
        <v>3958</v>
      </c>
      <c r="C1456" s="7" t="s">
        <v>3958</v>
      </c>
      <c r="D1456" s="7" t="s">
        <v>3959</v>
      </c>
      <c r="E1456" s="6" t="s">
        <v>3960</v>
      </c>
      <c r="F1456" s="8"/>
      <c r="G1456" s="8"/>
      <c r="H1456" s="8"/>
    </row>
    <row r="1457" spans="1:8">
      <c r="A1457" s="6" t="s">
        <v>1416</v>
      </c>
      <c r="B1457" s="7" t="s">
        <v>1319</v>
      </c>
      <c r="C1457" s="7" t="s">
        <v>1319</v>
      </c>
      <c r="D1457" s="7" t="s">
        <v>3977</v>
      </c>
      <c r="E1457" s="6" t="s">
        <v>3978</v>
      </c>
      <c r="F1457" s="8" t="s">
        <v>6943</v>
      </c>
      <c r="G1457" s="8" t="s">
        <v>6929</v>
      </c>
      <c r="H1457" s="8" t="s">
        <v>7176</v>
      </c>
    </row>
    <row r="1458" spans="1:8">
      <c r="A1458" s="6" t="s">
        <v>1416</v>
      </c>
      <c r="B1458" s="7" t="s">
        <v>1319</v>
      </c>
      <c r="C1458" s="7" t="s">
        <v>1319</v>
      </c>
      <c r="D1458" s="7" t="s">
        <v>3979</v>
      </c>
      <c r="E1458" s="6" t="s">
        <v>3980</v>
      </c>
      <c r="F1458" s="8" t="s">
        <v>6943</v>
      </c>
      <c r="G1458" s="8" t="s">
        <v>6929</v>
      </c>
      <c r="H1458" s="8" t="s">
        <v>7176</v>
      </c>
    </row>
    <row r="1459" spans="1:8">
      <c r="A1459" s="6" t="s">
        <v>1416</v>
      </c>
      <c r="B1459" s="7" t="s">
        <v>1319</v>
      </c>
      <c r="C1459" s="7" t="s">
        <v>1319</v>
      </c>
      <c r="D1459" s="7" t="s">
        <v>3981</v>
      </c>
      <c r="E1459" s="6" t="s">
        <v>3982</v>
      </c>
      <c r="F1459" s="8" t="s">
        <v>6943</v>
      </c>
      <c r="G1459" s="8" t="s">
        <v>6929</v>
      </c>
      <c r="H1459" s="8" t="s">
        <v>7177</v>
      </c>
    </row>
    <row r="1460" spans="1:8">
      <c r="A1460" s="6" t="s">
        <v>1416</v>
      </c>
      <c r="B1460" s="7" t="s">
        <v>3958</v>
      </c>
      <c r="C1460" s="7" t="s">
        <v>3958</v>
      </c>
      <c r="D1460" s="7" t="s">
        <v>3983</v>
      </c>
      <c r="E1460" s="6" t="s">
        <v>3960</v>
      </c>
      <c r="F1460" s="8"/>
      <c r="G1460" s="8"/>
      <c r="H1460" s="8"/>
    </row>
    <row r="1461" spans="1:8">
      <c r="A1461" s="6" t="s">
        <v>1416</v>
      </c>
      <c r="B1461" s="7" t="s">
        <v>3984</v>
      </c>
      <c r="C1461" s="7" t="s">
        <v>3984</v>
      </c>
      <c r="D1461" s="7" t="s">
        <v>3985</v>
      </c>
      <c r="E1461" s="6" t="s">
        <v>3986</v>
      </c>
      <c r="F1461" s="8"/>
      <c r="G1461" s="8"/>
      <c r="H1461" s="8"/>
    </row>
    <row r="1462" spans="1:8">
      <c r="A1462" s="6" t="s">
        <v>3961</v>
      </c>
      <c r="B1462" s="7" t="s">
        <v>414</v>
      </c>
      <c r="C1462" s="7" t="s">
        <v>1131</v>
      </c>
      <c r="D1462" s="7" t="s">
        <v>3962</v>
      </c>
      <c r="E1462" s="6" t="s">
        <v>3963</v>
      </c>
      <c r="F1462" s="8" t="s">
        <v>6982</v>
      </c>
      <c r="G1462" s="8" t="s">
        <v>6953</v>
      </c>
      <c r="H1462" s="8" t="s">
        <v>6927</v>
      </c>
    </row>
    <row r="1463" spans="1:8">
      <c r="A1463" s="6" t="s">
        <v>3961</v>
      </c>
      <c r="B1463" s="7" t="s">
        <v>414</v>
      </c>
      <c r="C1463" s="7" t="s">
        <v>1131</v>
      </c>
      <c r="D1463" s="7" t="s">
        <v>3964</v>
      </c>
      <c r="E1463" s="6" t="s">
        <v>3965</v>
      </c>
      <c r="F1463" s="8" t="s">
        <v>6982</v>
      </c>
      <c r="G1463" s="8" t="s">
        <v>6953</v>
      </c>
      <c r="H1463" s="8" t="s">
        <v>6927</v>
      </c>
    </row>
    <row r="1464" spans="1:8">
      <c r="A1464" s="6" t="s">
        <v>3961</v>
      </c>
      <c r="B1464" s="7" t="s">
        <v>661</v>
      </c>
      <c r="C1464" s="7" t="s">
        <v>3966</v>
      </c>
      <c r="D1464" s="7" t="s">
        <v>3967</v>
      </c>
      <c r="E1464" s="6" t="s">
        <v>3968</v>
      </c>
      <c r="F1464" s="8" t="s">
        <v>6943</v>
      </c>
      <c r="G1464" s="8" t="s">
        <v>6929</v>
      </c>
      <c r="H1464" s="8" t="s">
        <v>7179</v>
      </c>
    </row>
    <row r="1465" spans="1:8">
      <c r="A1465" s="6" t="s">
        <v>3961</v>
      </c>
      <c r="B1465" s="7" t="s">
        <v>661</v>
      </c>
      <c r="C1465" s="7" t="s">
        <v>264</v>
      </c>
      <c r="D1465" s="7" t="s">
        <v>3969</v>
      </c>
      <c r="E1465" s="6" t="s">
        <v>3970</v>
      </c>
      <c r="F1465" s="8"/>
      <c r="G1465" s="8"/>
      <c r="H1465" s="8"/>
    </row>
    <row r="1466" spans="1:8">
      <c r="A1466" s="6" t="s">
        <v>3961</v>
      </c>
      <c r="B1466" s="7" t="s">
        <v>661</v>
      </c>
      <c r="C1466" s="7" t="s">
        <v>264</v>
      </c>
      <c r="D1466" s="7" t="s">
        <v>3971</v>
      </c>
      <c r="E1466" s="6" t="s">
        <v>3972</v>
      </c>
      <c r="F1466" s="8" t="s">
        <v>5162</v>
      </c>
      <c r="G1466" s="8" t="s">
        <v>6929</v>
      </c>
      <c r="H1466" s="8" t="s">
        <v>6927</v>
      </c>
    </row>
    <row r="1467" spans="1:8">
      <c r="A1467" s="6" t="s">
        <v>3961</v>
      </c>
      <c r="B1467" s="7" t="s">
        <v>661</v>
      </c>
      <c r="C1467" s="7" t="s">
        <v>3966</v>
      </c>
      <c r="D1467" s="7" t="s">
        <v>3973</v>
      </c>
      <c r="E1467" s="6" t="s">
        <v>3974</v>
      </c>
      <c r="F1467" s="8"/>
      <c r="G1467" s="8"/>
      <c r="H1467" s="8"/>
    </row>
    <row r="1468" spans="1:8">
      <c r="A1468" s="6" t="s">
        <v>3961</v>
      </c>
      <c r="B1468" s="7" t="s">
        <v>661</v>
      </c>
      <c r="C1468" s="7" t="s">
        <v>264</v>
      </c>
      <c r="D1468" s="7" t="s">
        <v>3975</v>
      </c>
      <c r="E1468" s="6" t="s">
        <v>3976</v>
      </c>
      <c r="F1468" s="8" t="s">
        <v>6931</v>
      </c>
      <c r="G1468" s="8" t="s">
        <v>7056</v>
      </c>
      <c r="H1468" s="8" t="s">
        <v>7178</v>
      </c>
    </row>
    <row r="1469" spans="1:8">
      <c r="A1469" s="6" t="s">
        <v>914</v>
      </c>
      <c r="B1469" s="7" t="s">
        <v>9</v>
      </c>
      <c r="C1469" s="7" t="s">
        <v>9</v>
      </c>
      <c r="D1469" s="7" t="s">
        <v>915</v>
      </c>
      <c r="E1469" s="6" t="s">
        <v>916</v>
      </c>
      <c r="F1469" s="8"/>
      <c r="G1469" s="8"/>
      <c r="H1469" s="8"/>
    </row>
    <row r="1470" spans="1:8">
      <c r="A1470" s="6" t="s">
        <v>914</v>
      </c>
      <c r="B1470" s="7" t="s">
        <v>2161</v>
      </c>
      <c r="C1470" s="7" t="s">
        <v>3654</v>
      </c>
      <c r="D1470" s="7" t="s">
        <v>3655</v>
      </c>
      <c r="E1470" s="6" t="s">
        <v>3656</v>
      </c>
      <c r="F1470" s="8"/>
      <c r="G1470" s="8"/>
      <c r="H1470" s="8"/>
    </row>
    <row r="1471" spans="1:8">
      <c r="A1471" s="6" t="s">
        <v>914</v>
      </c>
      <c r="B1471" s="7" t="s">
        <v>9</v>
      </c>
      <c r="C1471" s="7" t="s">
        <v>3657</v>
      </c>
      <c r="D1471" s="7" t="s">
        <v>3658</v>
      </c>
      <c r="E1471" s="6" t="s">
        <v>3659</v>
      </c>
      <c r="F1471" s="8" t="s">
        <v>6931</v>
      </c>
      <c r="G1471" s="8" t="s">
        <v>6926</v>
      </c>
      <c r="H1471" s="8" t="s">
        <v>7181</v>
      </c>
    </row>
    <row r="1472" spans="1:8">
      <c r="A1472" s="6" t="s">
        <v>1989</v>
      </c>
      <c r="B1472" s="7" t="s">
        <v>9</v>
      </c>
      <c r="C1472" s="7" t="s">
        <v>9</v>
      </c>
      <c r="D1472" s="7" t="s">
        <v>1990</v>
      </c>
      <c r="E1472" s="6" t="s">
        <v>1991</v>
      </c>
      <c r="F1472" s="8" t="s">
        <v>6931</v>
      </c>
      <c r="G1472" s="8" t="s">
        <v>7099</v>
      </c>
      <c r="H1472" s="8" t="s">
        <v>6927</v>
      </c>
    </row>
    <row r="1473" spans="1:8">
      <c r="A1473" s="6" t="s">
        <v>111</v>
      </c>
      <c r="B1473" s="7" t="s">
        <v>112</v>
      </c>
      <c r="C1473" s="7" t="s">
        <v>112</v>
      </c>
      <c r="D1473" s="7" t="s">
        <v>113</v>
      </c>
      <c r="E1473" s="6" t="s">
        <v>114</v>
      </c>
      <c r="F1473" s="8"/>
      <c r="G1473" s="8"/>
      <c r="H1473" s="8"/>
    </row>
    <row r="1474" spans="1:8">
      <c r="A1474" s="6" t="s">
        <v>111</v>
      </c>
      <c r="B1474" s="7" t="s">
        <v>112</v>
      </c>
      <c r="C1474" s="7" t="s">
        <v>112</v>
      </c>
      <c r="D1474" s="7" t="s">
        <v>511</v>
      </c>
      <c r="E1474" s="6" t="s">
        <v>512</v>
      </c>
      <c r="F1474" s="8"/>
      <c r="G1474" s="8"/>
      <c r="H1474" s="8"/>
    </row>
    <row r="1475" spans="1:8">
      <c r="A1475" s="6" t="s">
        <v>111</v>
      </c>
      <c r="B1475" s="7" t="s">
        <v>1805</v>
      </c>
      <c r="C1475" s="7" t="s">
        <v>1805</v>
      </c>
      <c r="D1475" s="7" t="s">
        <v>1806</v>
      </c>
      <c r="E1475" s="6" t="s">
        <v>1807</v>
      </c>
      <c r="F1475" s="8"/>
      <c r="G1475" s="8"/>
      <c r="H1475" s="8"/>
    </row>
    <row r="1476" spans="1:8">
      <c r="A1476" s="6" t="s">
        <v>111</v>
      </c>
      <c r="B1476" s="7" t="s">
        <v>6600</v>
      </c>
      <c r="C1476" s="7" t="s">
        <v>6601</v>
      </c>
      <c r="D1476" s="7" t="s">
        <v>6602</v>
      </c>
      <c r="E1476" s="6" t="s">
        <v>6603</v>
      </c>
      <c r="F1476" s="8"/>
      <c r="G1476" s="8"/>
      <c r="H1476" s="8"/>
    </row>
    <row r="1477" spans="1:8">
      <c r="A1477" s="6" t="s">
        <v>111</v>
      </c>
      <c r="B1477" s="7" t="s">
        <v>6604</v>
      </c>
      <c r="C1477" s="7" t="s">
        <v>880</v>
      </c>
      <c r="D1477" s="7" t="s">
        <v>6605</v>
      </c>
      <c r="E1477" s="6" t="s">
        <v>4346</v>
      </c>
      <c r="F1477" s="8"/>
      <c r="G1477" s="8"/>
      <c r="H1477" s="8"/>
    </row>
    <row r="1478" spans="1:8">
      <c r="A1478" s="6" t="s">
        <v>111</v>
      </c>
      <c r="B1478" s="7" t="s">
        <v>112</v>
      </c>
      <c r="C1478" s="7" t="s">
        <v>149</v>
      </c>
      <c r="D1478" s="7" t="s">
        <v>6606</v>
      </c>
      <c r="E1478" s="6" t="s">
        <v>6607</v>
      </c>
      <c r="F1478" s="8"/>
      <c r="G1478" s="8"/>
      <c r="H1478" s="8"/>
    </row>
    <row r="1479" spans="1:8">
      <c r="A1479" s="6" t="s">
        <v>111</v>
      </c>
      <c r="B1479" s="7" t="s">
        <v>112</v>
      </c>
      <c r="C1479" s="7" t="s">
        <v>149</v>
      </c>
      <c r="D1479" s="7" t="s">
        <v>6608</v>
      </c>
      <c r="E1479" s="6" t="s">
        <v>6609</v>
      </c>
      <c r="F1479" s="8" t="s">
        <v>6939</v>
      </c>
      <c r="G1479" s="8" t="s">
        <v>6973</v>
      </c>
      <c r="H1479" s="8" t="s">
        <v>7182</v>
      </c>
    </row>
    <row r="1480" spans="1:8">
      <c r="A1480" s="6" t="s">
        <v>111</v>
      </c>
      <c r="B1480" s="7" t="s">
        <v>112</v>
      </c>
      <c r="C1480" s="7" t="s">
        <v>149</v>
      </c>
      <c r="D1480" s="7" t="s">
        <v>6610</v>
      </c>
      <c r="E1480" s="6" t="s">
        <v>6611</v>
      </c>
      <c r="F1480" s="8" t="s">
        <v>6939</v>
      </c>
      <c r="G1480" s="8" t="s">
        <v>6929</v>
      </c>
      <c r="H1480" s="8" t="s">
        <v>7060</v>
      </c>
    </row>
    <row r="1481" spans="1:8">
      <c r="A1481" s="6" t="s">
        <v>111</v>
      </c>
      <c r="B1481" s="7" t="s">
        <v>112</v>
      </c>
      <c r="C1481" s="7" t="s">
        <v>149</v>
      </c>
      <c r="D1481" s="7" t="s">
        <v>6612</v>
      </c>
      <c r="E1481" s="6" t="s">
        <v>2867</v>
      </c>
      <c r="F1481" s="8" t="s">
        <v>6939</v>
      </c>
      <c r="G1481" s="8" t="s">
        <v>6929</v>
      </c>
      <c r="H1481" s="8" t="s">
        <v>7060</v>
      </c>
    </row>
    <row r="1482" spans="1:8">
      <c r="A1482" s="6" t="s">
        <v>111</v>
      </c>
      <c r="B1482" s="7" t="s">
        <v>112</v>
      </c>
      <c r="C1482" s="7" t="s">
        <v>149</v>
      </c>
      <c r="D1482" s="7" t="s">
        <v>6613</v>
      </c>
      <c r="E1482" s="6" t="s">
        <v>6614</v>
      </c>
      <c r="F1482" s="8"/>
      <c r="G1482" s="8"/>
      <c r="H1482" s="8"/>
    </row>
    <row r="1483" spans="1:8">
      <c r="A1483" s="6" t="s">
        <v>111</v>
      </c>
      <c r="B1483" s="7" t="s">
        <v>112</v>
      </c>
      <c r="C1483" s="7" t="s">
        <v>149</v>
      </c>
      <c r="D1483" s="7" t="s">
        <v>6615</v>
      </c>
      <c r="E1483" s="6" t="s">
        <v>1733</v>
      </c>
      <c r="F1483" s="8"/>
      <c r="G1483" s="8"/>
      <c r="H1483" s="8"/>
    </row>
    <row r="1484" spans="1:8">
      <c r="A1484" s="6" t="s">
        <v>111</v>
      </c>
      <c r="B1484" s="7" t="s">
        <v>112</v>
      </c>
      <c r="C1484" s="7" t="s">
        <v>149</v>
      </c>
      <c r="D1484" s="7" t="s">
        <v>6616</v>
      </c>
      <c r="E1484" s="6" t="s">
        <v>6617</v>
      </c>
      <c r="F1484" s="8" t="s">
        <v>6939</v>
      </c>
      <c r="G1484" s="8" t="s">
        <v>6929</v>
      </c>
      <c r="H1484" s="8" t="s">
        <v>7060</v>
      </c>
    </row>
    <row r="1485" spans="1:8">
      <c r="A1485" s="6" t="s">
        <v>111</v>
      </c>
      <c r="B1485" s="7" t="s">
        <v>112</v>
      </c>
      <c r="C1485" s="7" t="s">
        <v>149</v>
      </c>
      <c r="D1485" s="7" t="s">
        <v>6618</v>
      </c>
      <c r="E1485" s="6" t="s">
        <v>6619</v>
      </c>
      <c r="F1485" s="8" t="s">
        <v>6939</v>
      </c>
      <c r="G1485" s="8" t="s">
        <v>6929</v>
      </c>
      <c r="H1485" s="8" t="s">
        <v>7060</v>
      </c>
    </row>
    <row r="1486" spans="1:8">
      <c r="A1486" s="6" t="s">
        <v>111</v>
      </c>
      <c r="B1486" s="7" t="s">
        <v>2330</v>
      </c>
      <c r="C1486" s="7" t="s">
        <v>2330</v>
      </c>
      <c r="D1486" s="7" t="s">
        <v>6620</v>
      </c>
      <c r="E1486" s="6" t="s">
        <v>6621</v>
      </c>
      <c r="F1486" s="8"/>
      <c r="G1486" s="8"/>
      <c r="H1486" s="8"/>
    </row>
    <row r="1487" spans="1:8">
      <c r="A1487" s="6" t="s">
        <v>111</v>
      </c>
      <c r="B1487" s="7" t="s">
        <v>6622</v>
      </c>
      <c r="C1487" s="7" t="s">
        <v>6623</v>
      </c>
      <c r="D1487" s="7" t="s">
        <v>6624</v>
      </c>
      <c r="E1487" s="6" t="s">
        <v>6625</v>
      </c>
      <c r="F1487" s="8"/>
      <c r="G1487" s="8"/>
      <c r="H1487" s="8"/>
    </row>
    <row r="1488" spans="1:8">
      <c r="A1488" s="6" t="s">
        <v>111</v>
      </c>
      <c r="B1488" s="7" t="s">
        <v>162</v>
      </c>
      <c r="C1488" s="7" t="s">
        <v>162</v>
      </c>
      <c r="D1488" s="7" t="s">
        <v>6626</v>
      </c>
      <c r="E1488" s="6" t="s">
        <v>2117</v>
      </c>
      <c r="F1488" s="8"/>
      <c r="G1488" s="8"/>
      <c r="H1488" s="8"/>
    </row>
    <row r="1489" spans="1:8">
      <c r="A1489" s="6" t="s">
        <v>111</v>
      </c>
      <c r="B1489" s="7" t="s">
        <v>264</v>
      </c>
      <c r="C1489" s="7" t="s">
        <v>650</v>
      </c>
      <c r="D1489" s="7" t="s">
        <v>6627</v>
      </c>
      <c r="E1489" s="6" t="s">
        <v>6628</v>
      </c>
      <c r="F1489" s="8"/>
      <c r="G1489" s="8"/>
      <c r="H1489" s="8"/>
    </row>
    <row r="1490" spans="1:8">
      <c r="A1490" s="6" t="s">
        <v>111</v>
      </c>
      <c r="B1490" s="7" t="s">
        <v>264</v>
      </c>
      <c r="C1490" s="7" t="s">
        <v>650</v>
      </c>
      <c r="D1490" s="7" t="s">
        <v>6629</v>
      </c>
      <c r="E1490" s="6" t="s">
        <v>6630</v>
      </c>
      <c r="F1490" s="8"/>
      <c r="G1490" s="8"/>
      <c r="H1490" s="8"/>
    </row>
    <row r="1491" spans="1:8">
      <c r="A1491" s="6" t="s">
        <v>890</v>
      </c>
      <c r="B1491" s="7" t="s">
        <v>891</v>
      </c>
      <c r="C1491" s="7" t="s">
        <v>892</v>
      </c>
      <c r="D1491" s="7" t="s">
        <v>893</v>
      </c>
      <c r="E1491" s="6" t="s">
        <v>894</v>
      </c>
      <c r="F1491" s="8"/>
      <c r="G1491" s="8"/>
      <c r="H1491" s="8"/>
    </row>
    <row r="1492" spans="1:8">
      <c r="A1492" s="6" t="s">
        <v>890</v>
      </c>
      <c r="B1492" s="7" t="s">
        <v>3790</v>
      </c>
      <c r="C1492" s="7" t="s">
        <v>3791</v>
      </c>
      <c r="D1492" s="7" t="s">
        <v>3792</v>
      </c>
      <c r="E1492" s="6" t="s">
        <v>3793</v>
      </c>
      <c r="F1492" s="8" t="s">
        <v>7041</v>
      </c>
      <c r="G1492" s="8" t="s">
        <v>6926</v>
      </c>
      <c r="H1492" s="8" t="s">
        <v>6927</v>
      </c>
    </row>
    <row r="1493" spans="1:8">
      <c r="A1493" s="6" t="s">
        <v>890</v>
      </c>
      <c r="B1493" s="7" t="s">
        <v>3790</v>
      </c>
      <c r="C1493" s="7" t="s">
        <v>3794</v>
      </c>
      <c r="D1493" s="7" t="s">
        <v>3795</v>
      </c>
      <c r="E1493" s="6" t="s">
        <v>369</v>
      </c>
      <c r="F1493" s="8"/>
      <c r="G1493" s="8"/>
      <c r="H1493" s="8"/>
    </row>
    <row r="1494" spans="1:8">
      <c r="A1494" s="6" t="s">
        <v>890</v>
      </c>
      <c r="B1494" s="7" t="s">
        <v>3790</v>
      </c>
      <c r="C1494" s="7" t="s">
        <v>3790</v>
      </c>
      <c r="D1494" s="7" t="s">
        <v>3796</v>
      </c>
      <c r="E1494" s="6" t="s">
        <v>3797</v>
      </c>
      <c r="F1494" s="8"/>
      <c r="G1494" s="8"/>
      <c r="H1494" s="8"/>
    </row>
    <row r="1495" spans="1:8">
      <c r="A1495" s="6" t="s">
        <v>890</v>
      </c>
      <c r="B1495" s="7" t="s">
        <v>414</v>
      </c>
      <c r="C1495" s="7" t="s">
        <v>414</v>
      </c>
      <c r="D1495" s="7" t="s">
        <v>3798</v>
      </c>
      <c r="E1495" s="6" t="s">
        <v>3799</v>
      </c>
      <c r="F1495" s="8"/>
      <c r="G1495" s="8"/>
      <c r="H1495" s="8"/>
    </row>
    <row r="1496" spans="1:8">
      <c r="A1496" s="6" t="s">
        <v>890</v>
      </c>
      <c r="B1496" s="7" t="s">
        <v>3790</v>
      </c>
      <c r="C1496" s="7" t="s">
        <v>2915</v>
      </c>
      <c r="D1496" s="7" t="s">
        <v>3800</v>
      </c>
      <c r="E1496" s="6" t="s">
        <v>3801</v>
      </c>
      <c r="F1496" s="8" t="s">
        <v>7046</v>
      </c>
      <c r="G1496" s="8" t="s">
        <v>6953</v>
      </c>
      <c r="H1496" s="8" t="s">
        <v>7068</v>
      </c>
    </row>
    <row r="1497" spans="1:8">
      <c r="A1497" s="6" t="s">
        <v>890</v>
      </c>
      <c r="B1497" s="7" t="s">
        <v>661</v>
      </c>
      <c r="C1497" s="7" t="s">
        <v>414</v>
      </c>
      <c r="D1497" s="7" t="s">
        <v>3802</v>
      </c>
      <c r="E1497" s="6" t="s">
        <v>3803</v>
      </c>
      <c r="F1497" s="8"/>
      <c r="G1497" s="8"/>
      <c r="H1497" s="8"/>
    </row>
    <row r="1498" spans="1:8">
      <c r="A1498" s="6" t="s">
        <v>890</v>
      </c>
      <c r="B1498" s="7" t="s">
        <v>661</v>
      </c>
      <c r="C1498" s="7" t="s">
        <v>78</v>
      </c>
      <c r="D1498" s="7" t="s">
        <v>3804</v>
      </c>
      <c r="E1498" s="6" t="s">
        <v>3805</v>
      </c>
      <c r="F1498" s="8" t="s">
        <v>6931</v>
      </c>
      <c r="G1498" s="8" t="s">
        <v>6929</v>
      </c>
      <c r="H1498" s="8" t="s">
        <v>6954</v>
      </c>
    </row>
    <row r="1499" spans="1:8">
      <c r="A1499" s="6" t="s">
        <v>890</v>
      </c>
      <c r="B1499" s="7" t="s">
        <v>661</v>
      </c>
      <c r="C1499" s="7" t="s">
        <v>78</v>
      </c>
      <c r="D1499" s="7" t="s">
        <v>3806</v>
      </c>
      <c r="E1499" s="6" t="s">
        <v>3807</v>
      </c>
      <c r="F1499" s="8"/>
      <c r="G1499" s="8"/>
      <c r="H1499" s="8"/>
    </row>
    <row r="1500" spans="1:8">
      <c r="A1500" s="6" t="s">
        <v>890</v>
      </c>
      <c r="B1500" s="7" t="s">
        <v>661</v>
      </c>
      <c r="C1500" s="7" t="s">
        <v>78</v>
      </c>
      <c r="D1500" s="7" t="s">
        <v>3808</v>
      </c>
      <c r="E1500" s="6" t="s">
        <v>3809</v>
      </c>
      <c r="F1500" s="8"/>
      <c r="G1500" s="8"/>
      <c r="H1500" s="8"/>
    </row>
    <row r="1501" spans="1:8">
      <c r="A1501" s="6" t="s">
        <v>890</v>
      </c>
      <c r="B1501" s="7" t="s">
        <v>661</v>
      </c>
      <c r="C1501" s="7" t="s">
        <v>414</v>
      </c>
      <c r="D1501" s="7" t="s">
        <v>3810</v>
      </c>
      <c r="E1501" s="6" t="s">
        <v>3811</v>
      </c>
      <c r="F1501" s="8" t="s">
        <v>6982</v>
      </c>
      <c r="G1501" s="8" t="s">
        <v>6926</v>
      </c>
      <c r="H1501" s="8" t="s">
        <v>7197</v>
      </c>
    </row>
    <row r="1502" spans="1:8">
      <c r="A1502" s="6" t="s">
        <v>830</v>
      </c>
      <c r="B1502" s="7" t="s">
        <v>831</v>
      </c>
      <c r="C1502" s="7" t="s">
        <v>831</v>
      </c>
      <c r="D1502" s="7" t="s">
        <v>832</v>
      </c>
      <c r="E1502" s="6" t="s">
        <v>833</v>
      </c>
      <c r="F1502" s="8"/>
      <c r="G1502" s="8"/>
      <c r="H1502" s="8"/>
    </row>
    <row r="1503" spans="1:8">
      <c r="A1503" s="6" t="s">
        <v>830</v>
      </c>
      <c r="B1503" s="7" t="s">
        <v>831</v>
      </c>
      <c r="C1503" s="7" t="s">
        <v>831</v>
      </c>
      <c r="D1503" s="7" t="s">
        <v>4428</v>
      </c>
      <c r="E1503" s="6" t="s">
        <v>2187</v>
      </c>
      <c r="F1503" s="8"/>
      <c r="G1503" s="8"/>
      <c r="H1503" s="8"/>
    </row>
    <row r="1504" spans="1:8">
      <c r="A1504" s="6" t="s">
        <v>830</v>
      </c>
      <c r="B1504" s="7" t="s">
        <v>4429</v>
      </c>
      <c r="C1504" s="7" t="s">
        <v>4429</v>
      </c>
      <c r="D1504" s="7" t="s">
        <v>4430</v>
      </c>
      <c r="E1504" s="6" t="s">
        <v>58</v>
      </c>
      <c r="F1504" s="8"/>
      <c r="G1504" s="8"/>
      <c r="H1504" s="8"/>
    </row>
    <row r="1505" spans="1:8">
      <c r="A1505" s="6" t="s">
        <v>830</v>
      </c>
      <c r="B1505" s="7" t="s">
        <v>2217</v>
      </c>
      <c r="C1505" s="7" t="s">
        <v>2217</v>
      </c>
      <c r="D1505" s="7" t="s">
        <v>4431</v>
      </c>
      <c r="E1505" s="6" t="s">
        <v>4432</v>
      </c>
      <c r="F1505" s="8"/>
      <c r="G1505" s="8"/>
      <c r="H1505" s="8"/>
    </row>
    <row r="1506" spans="1:8">
      <c r="A1506" s="6" t="s">
        <v>55</v>
      </c>
      <c r="B1506" s="7" t="s">
        <v>56</v>
      </c>
      <c r="C1506" s="7" t="s">
        <v>56</v>
      </c>
      <c r="D1506" s="7" t="s">
        <v>57</v>
      </c>
      <c r="E1506" s="6" t="s">
        <v>58</v>
      </c>
      <c r="F1506" s="8"/>
      <c r="G1506" s="8"/>
      <c r="H1506" s="8"/>
    </row>
    <row r="1507" spans="1:8">
      <c r="A1507" s="6" t="s">
        <v>55</v>
      </c>
      <c r="B1507" s="7" t="s">
        <v>149</v>
      </c>
      <c r="C1507" s="7" t="s">
        <v>149</v>
      </c>
      <c r="D1507" s="7" t="s">
        <v>150</v>
      </c>
      <c r="E1507" s="6" t="s">
        <v>151</v>
      </c>
      <c r="F1507" s="8"/>
      <c r="G1507" s="8"/>
      <c r="H1507" s="8"/>
    </row>
    <row r="1508" spans="1:8">
      <c r="A1508" s="6" t="s">
        <v>55</v>
      </c>
      <c r="B1508" s="7" t="s">
        <v>304</v>
      </c>
      <c r="C1508" s="7" t="s">
        <v>304</v>
      </c>
      <c r="D1508" s="7" t="s">
        <v>305</v>
      </c>
      <c r="E1508" s="6" t="s">
        <v>306</v>
      </c>
      <c r="F1508" s="8"/>
      <c r="G1508" s="8"/>
      <c r="H1508" s="8"/>
    </row>
    <row r="1509" spans="1:8">
      <c r="A1509" s="6" t="s">
        <v>55</v>
      </c>
      <c r="B1509" s="7" t="s">
        <v>149</v>
      </c>
      <c r="C1509" s="7" t="s">
        <v>149</v>
      </c>
      <c r="D1509" s="7" t="s">
        <v>499</v>
      </c>
      <c r="E1509" s="6" t="s">
        <v>500</v>
      </c>
      <c r="F1509" s="8"/>
      <c r="G1509" s="8"/>
      <c r="H1509" s="8"/>
    </row>
    <row r="1510" spans="1:8">
      <c r="A1510" s="6" t="s">
        <v>55</v>
      </c>
      <c r="B1510" s="7" t="s">
        <v>501</v>
      </c>
      <c r="C1510" s="7" t="s">
        <v>501</v>
      </c>
      <c r="D1510" s="7" t="s">
        <v>502</v>
      </c>
      <c r="E1510" s="6" t="s">
        <v>503</v>
      </c>
      <c r="F1510" s="8"/>
      <c r="G1510" s="8"/>
      <c r="H1510" s="8"/>
    </row>
    <row r="1511" spans="1:8">
      <c r="A1511" s="6" t="s">
        <v>55</v>
      </c>
      <c r="B1511" s="7" t="s">
        <v>587</v>
      </c>
      <c r="C1511" s="7" t="s">
        <v>587</v>
      </c>
      <c r="D1511" s="7" t="s">
        <v>588</v>
      </c>
      <c r="E1511" s="6" t="s">
        <v>472</v>
      </c>
      <c r="F1511" s="8"/>
      <c r="G1511" s="8"/>
      <c r="H1511" s="8"/>
    </row>
    <row r="1512" spans="1:8">
      <c r="A1512" s="6" t="s">
        <v>55</v>
      </c>
      <c r="B1512" s="7" t="s">
        <v>877</v>
      </c>
      <c r="C1512" s="7" t="s">
        <v>877</v>
      </c>
      <c r="D1512" s="7" t="s">
        <v>878</v>
      </c>
      <c r="E1512" s="6" t="s">
        <v>879</v>
      </c>
      <c r="F1512" s="8"/>
      <c r="G1512" s="8"/>
      <c r="H1512" s="8"/>
    </row>
    <row r="1513" spans="1:8">
      <c r="A1513" s="6" t="s">
        <v>55</v>
      </c>
      <c r="B1513" s="7" t="s">
        <v>917</v>
      </c>
      <c r="C1513" s="7" t="s">
        <v>917</v>
      </c>
      <c r="D1513" s="7" t="s">
        <v>918</v>
      </c>
      <c r="E1513" s="6" t="s">
        <v>919</v>
      </c>
      <c r="F1513" s="8" t="s">
        <v>6931</v>
      </c>
      <c r="G1513" s="8" t="s">
        <v>6953</v>
      </c>
      <c r="H1513" s="8" t="s">
        <v>7187</v>
      </c>
    </row>
    <row r="1514" spans="1:8">
      <c r="A1514" s="6" t="s">
        <v>55</v>
      </c>
      <c r="B1514" s="7" t="s">
        <v>917</v>
      </c>
      <c r="C1514" s="7" t="s">
        <v>917</v>
      </c>
      <c r="D1514" s="7" t="s">
        <v>925</v>
      </c>
      <c r="E1514" s="6" t="s">
        <v>926</v>
      </c>
      <c r="F1514" s="8" t="s">
        <v>6931</v>
      </c>
      <c r="G1514" s="8" t="s">
        <v>6953</v>
      </c>
      <c r="H1514" s="8" t="s">
        <v>7187</v>
      </c>
    </row>
    <row r="1515" spans="1:8">
      <c r="A1515" s="6" t="s">
        <v>55</v>
      </c>
      <c r="B1515" s="7" t="s">
        <v>149</v>
      </c>
      <c r="C1515" s="7" t="s">
        <v>149</v>
      </c>
      <c r="D1515" s="7" t="s">
        <v>1037</v>
      </c>
      <c r="E1515" s="6" t="s">
        <v>1038</v>
      </c>
      <c r="F1515" s="8"/>
      <c r="G1515" s="8"/>
      <c r="H1515" s="8"/>
    </row>
    <row r="1516" spans="1:8">
      <c r="A1516" s="6" t="s">
        <v>55</v>
      </c>
      <c r="B1516" s="7" t="s">
        <v>149</v>
      </c>
      <c r="C1516" s="7" t="s">
        <v>149</v>
      </c>
      <c r="D1516" s="7" t="s">
        <v>1039</v>
      </c>
      <c r="E1516" s="6" t="s">
        <v>1040</v>
      </c>
      <c r="F1516" s="8"/>
      <c r="G1516" s="8"/>
      <c r="H1516" s="8"/>
    </row>
    <row r="1517" spans="1:8">
      <c r="A1517" s="6" t="s">
        <v>55</v>
      </c>
      <c r="B1517" s="7" t="s">
        <v>697</v>
      </c>
      <c r="C1517" s="7" t="s">
        <v>697</v>
      </c>
      <c r="D1517" s="7" t="s">
        <v>1317</v>
      </c>
      <c r="E1517" s="6" t="s">
        <v>1318</v>
      </c>
      <c r="F1517" s="8" t="s">
        <v>3334</v>
      </c>
      <c r="G1517" s="8" t="s">
        <v>6929</v>
      </c>
      <c r="H1517" s="8" t="s">
        <v>6951</v>
      </c>
    </row>
    <row r="1518" spans="1:8">
      <c r="A1518" s="6" t="s">
        <v>55</v>
      </c>
      <c r="B1518" s="7" t="s">
        <v>697</v>
      </c>
      <c r="C1518" s="7" t="s">
        <v>697</v>
      </c>
      <c r="D1518" s="7" t="s">
        <v>1566</v>
      </c>
      <c r="E1518" s="6" t="s">
        <v>1567</v>
      </c>
      <c r="F1518" s="8"/>
      <c r="G1518" s="8"/>
      <c r="H1518" s="8"/>
    </row>
    <row r="1519" spans="1:8">
      <c r="A1519" s="6" t="s">
        <v>55</v>
      </c>
      <c r="B1519" s="7" t="s">
        <v>149</v>
      </c>
      <c r="C1519" s="7" t="s">
        <v>149</v>
      </c>
      <c r="D1519" s="7" t="s">
        <v>1657</v>
      </c>
      <c r="E1519" s="6" t="s">
        <v>1658</v>
      </c>
      <c r="F1519" s="8"/>
      <c r="G1519" s="8"/>
      <c r="H1519" s="8"/>
    </row>
    <row r="1520" spans="1:8">
      <c r="A1520" s="6" t="s">
        <v>55</v>
      </c>
      <c r="B1520" s="7" t="s">
        <v>149</v>
      </c>
      <c r="C1520" s="7" t="s">
        <v>149</v>
      </c>
      <c r="D1520" s="7" t="s">
        <v>1901</v>
      </c>
      <c r="E1520" s="6" t="s">
        <v>1902</v>
      </c>
      <c r="F1520" s="8"/>
      <c r="G1520" s="8"/>
      <c r="H1520" s="8"/>
    </row>
    <row r="1521" spans="1:8">
      <c r="A1521" s="6" t="s">
        <v>55</v>
      </c>
      <c r="B1521" s="7" t="s">
        <v>988</v>
      </c>
      <c r="C1521" s="7" t="s">
        <v>988</v>
      </c>
      <c r="D1521" s="7" t="s">
        <v>6801</v>
      </c>
      <c r="E1521" s="6" t="s">
        <v>6802</v>
      </c>
      <c r="F1521" s="8" t="s">
        <v>7142</v>
      </c>
      <c r="G1521" s="8" t="s">
        <v>6973</v>
      </c>
      <c r="H1521" s="8" t="s">
        <v>7189</v>
      </c>
    </row>
    <row r="1522" spans="1:8">
      <c r="A1522" s="6" t="s">
        <v>55</v>
      </c>
      <c r="B1522" s="7" t="s">
        <v>6803</v>
      </c>
      <c r="C1522" s="7" t="s">
        <v>6803</v>
      </c>
      <c r="D1522" s="7" t="s">
        <v>6804</v>
      </c>
      <c r="E1522" s="6" t="s">
        <v>6805</v>
      </c>
      <c r="F1522" s="8" t="s">
        <v>6934</v>
      </c>
      <c r="G1522" s="8" t="s">
        <v>7186</v>
      </c>
      <c r="H1522" s="8" t="s">
        <v>6951</v>
      </c>
    </row>
    <row r="1523" spans="1:8">
      <c r="A1523" s="6" t="s">
        <v>55</v>
      </c>
      <c r="B1523" s="7" t="s">
        <v>3128</v>
      </c>
      <c r="C1523" s="7" t="s">
        <v>3128</v>
      </c>
      <c r="D1523" s="7" t="s">
        <v>6806</v>
      </c>
      <c r="E1523" s="6" t="s">
        <v>6807</v>
      </c>
      <c r="F1523" s="8" t="s">
        <v>3334</v>
      </c>
      <c r="G1523" s="8" t="s">
        <v>6929</v>
      </c>
      <c r="H1523" s="8" t="s">
        <v>6954</v>
      </c>
    </row>
    <row r="1524" spans="1:8">
      <c r="A1524" s="6" t="s">
        <v>55</v>
      </c>
      <c r="B1524" s="7" t="s">
        <v>6803</v>
      </c>
      <c r="C1524" s="7" t="s">
        <v>6803</v>
      </c>
      <c r="D1524" s="7" t="s">
        <v>6808</v>
      </c>
      <c r="E1524" s="6" t="s">
        <v>6809</v>
      </c>
      <c r="F1524" s="8"/>
      <c r="G1524" s="8"/>
      <c r="H1524" s="8"/>
    </row>
    <row r="1525" spans="1:8">
      <c r="A1525" s="6" t="s">
        <v>55</v>
      </c>
      <c r="B1525" s="7" t="s">
        <v>5634</v>
      </c>
      <c r="C1525" s="7" t="s">
        <v>5634</v>
      </c>
      <c r="D1525" s="7" t="s">
        <v>6810</v>
      </c>
      <c r="E1525" s="6" t="s">
        <v>6811</v>
      </c>
      <c r="F1525" s="8"/>
      <c r="G1525" s="8"/>
      <c r="H1525" s="8"/>
    </row>
    <row r="1526" spans="1:8">
      <c r="A1526" s="6" t="s">
        <v>55</v>
      </c>
      <c r="B1526" s="7" t="s">
        <v>5634</v>
      </c>
      <c r="C1526" s="7" t="s">
        <v>5634</v>
      </c>
      <c r="D1526" s="7" t="s">
        <v>6812</v>
      </c>
      <c r="E1526" s="6" t="s">
        <v>6813</v>
      </c>
      <c r="F1526" s="8"/>
      <c r="G1526" s="8"/>
      <c r="H1526" s="8"/>
    </row>
    <row r="1527" spans="1:8">
      <c r="A1527" s="6" t="s">
        <v>55</v>
      </c>
      <c r="B1527" s="7" t="s">
        <v>6814</v>
      </c>
      <c r="C1527" s="7" t="s">
        <v>6814</v>
      </c>
      <c r="D1527" s="7" t="s">
        <v>6815</v>
      </c>
      <c r="E1527" s="6" t="s">
        <v>6816</v>
      </c>
      <c r="F1527" s="8"/>
      <c r="G1527" s="8"/>
      <c r="H1527" s="8"/>
    </row>
    <row r="1528" spans="1:8">
      <c r="A1528" s="6" t="s">
        <v>55</v>
      </c>
      <c r="B1528" s="7" t="s">
        <v>6814</v>
      </c>
      <c r="C1528" s="7" t="s">
        <v>6814</v>
      </c>
      <c r="D1528" s="7" t="s">
        <v>6817</v>
      </c>
      <c r="E1528" s="6" t="s">
        <v>6818</v>
      </c>
      <c r="F1528" s="8"/>
      <c r="G1528" s="8"/>
      <c r="H1528" s="8"/>
    </row>
    <row r="1529" spans="1:8">
      <c r="A1529" s="6" t="s">
        <v>55</v>
      </c>
      <c r="B1529" s="7" t="s">
        <v>6819</v>
      </c>
      <c r="C1529" s="7" t="s">
        <v>6819</v>
      </c>
      <c r="D1529" s="7" t="s">
        <v>6820</v>
      </c>
      <c r="E1529" s="6" t="s">
        <v>6821</v>
      </c>
      <c r="F1529" s="8"/>
      <c r="G1529" s="8"/>
      <c r="H1529" s="8"/>
    </row>
    <row r="1530" spans="1:8">
      <c r="A1530" s="6" t="s">
        <v>55</v>
      </c>
      <c r="B1530" s="7" t="s">
        <v>1289</v>
      </c>
      <c r="C1530" s="7" t="s">
        <v>606</v>
      </c>
      <c r="D1530" s="7" t="s">
        <v>6822</v>
      </c>
      <c r="E1530" s="6" t="s">
        <v>1260</v>
      </c>
      <c r="F1530" s="8" t="s">
        <v>6931</v>
      </c>
      <c r="G1530" s="8" t="s">
        <v>6961</v>
      </c>
      <c r="H1530" s="8" t="s">
        <v>7188</v>
      </c>
    </row>
    <row r="1531" spans="1:8">
      <c r="A1531" s="6" t="s">
        <v>55</v>
      </c>
      <c r="B1531" s="7" t="s">
        <v>5252</v>
      </c>
      <c r="C1531" s="7" t="s">
        <v>5252</v>
      </c>
      <c r="D1531" s="7" t="s">
        <v>6823</v>
      </c>
      <c r="E1531" s="6" t="s">
        <v>6824</v>
      </c>
      <c r="F1531" s="8"/>
      <c r="G1531" s="8"/>
      <c r="H1531" s="8"/>
    </row>
    <row r="1532" spans="1:8">
      <c r="A1532" s="6" t="s">
        <v>55</v>
      </c>
      <c r="B1532" s="7" t="s">
        <v>935</v>
      </c>
      <c r="C1532" s="7" t="s">
        <v>935</v>
      </c>
      <c r="D1532" s="7" t="s">
        <v>6825</v>
      </c>
      <c r="E1532" s="6" t="s">
        <v>6826</v>
      </c>
      <c r="F1532" s="8"/>
      <c r="G1532" s="8"/>
      <c r="H1532" s="8"/>
    </row>
    <row r="1533" spans="1:8">
      <c r="A1533" s="6" t="s">
        <v>55</v>
      </c>
      <c r="B1533" s="7" t="s">
        <v>877</v>
      </c>
      <c r="C1533" s="7" t="s">
        <v>877</v>
      </c>
      <c r="D1533" s="7" t="s">
        <v>6827</v>
      </c>
      <c r="E1533" s="6" t="s">
        <v>6828</v>
      </c>
      <c r="F1533" s="8"/>
      <c r="G1533" s="8"/>
      <c r="H1533" s="8"/>
    </row>
    <row r="1534" spans="1:8">
      <c r="A1534" s="6" t="s">
        <v>55</v>
      </c>
      <c r="B1534" s="7" t="s">
        <v>877</v>
      </c>
      <c r="C1534" s="7" t="s">
        <v>877</v>
      </c>
      <c r="D1534" s="7" t="s">
        <v>6829</v>
      </c>
      <c r="E1534" s="6" t="s">
        <v>6830</v>
      </c>
      <c r="F1534" s="8"/>
      <c r="G1534" s="8"/>
      <c r="H1534" s="8"/>
    </row>
    <row r="1535" spans="1:8">
      <c r="A1535" s="6" t="s">
        <v>55</v>
      </c>
      <c r="B1535" s="7" t="s">
        <v>5526</v>
      </c>
      <c r="C1535" s="7" t="s">
        <v>5526</v>
      </c>
      <c r="D1535" s="7" t="s">
        <v>6831</v>
      </c>
      <c r="E1535" s="6" t="s">
        <v>6832</v>
      </c>
      <c r="F1535" s="8"/>
      <c r="G1535" s="8"/>
      <c r="H1535" s="8"/>
    </row>
    <row r="1536" spans="1:8">
      <c r="A1536" s="6" t="s">
        <v>55</v>
      </c>
      <c r="B1536" s="7" t="s">
        <v>1289</v>
      </c>
      <c r="C1536" s="7" t="s">
        <v>1289</v>
      </c>
      <c r="D1536" s="7" t="s">
        <v>6833</v>
      </c>
      <c r="E1536" s="6" t="s">
        <v>6834</v>
      </c>
      <c r="F1536" s="8"/>
      <c r="G1536" s="8"/>
      <c r="H1536" s="8"/>
    </row>
    <row r="1537" spans="1:8">
      <c r="A1537" s="6" t="s">
        <v>55</v>
      </c>
      <c r="B1537" s="7" t="s">
        <v>6022</v>
      </c>
      <c r="C1537" s="7" t="s">
        <v>6835</v>
      </c>
      <c r="D1537" s="7" t="s">
        <v>6836</v>
      </c>
      <c r="E1537" s="6" t="s">
        <v>6837</v>
      </c>
      <c r="F1537" s="8"/>
      <c r="G1537" s="8"/>
      <c r="H1537" s="8"/>
    </row>
    <row r="1538" spans="1:8">
      <c r="A1538" s="6" t="s">
        <v>55</v>
      </c>
      <c r="B1538" s="7" t="s">
        <v>149</v>
      </c>
      <c r="C1538" s="7" t="s">
        <v>149</v>
      </c>
      <c r="D1538" s="7" t="s">
        <v>6838</v>
      </c>
      <c r="E1538" s="6" t="s">
        <v>6839</v>
      </c>
      <c r="F1538" s="8"/>
      <c r="G1538" s="8"/>
      <c r="H1538" s="8"/>
    </row>
    <row r="1539" spans="1:8">
      <c r="A1539" s="6" t="s">
        <v>55</v>
      </c>
      <c r="B1539" s="7" t="s">
        <v>149</v>
      </c>
      <c r="C1539" s="7" t="s">
        <v>149</v>
      </c>
      <c r="D1539" s="7" t="s">
        <v>6840</v>
      </c>
      <c r="E1539" s="6" t="s">
        <v>6841</v>
      </c>
      <c r="F1539" s="8"/>
      <c r="G1539" s="8"/>
      <c r="H1539" s="8"/>
    </row>
    <row r="1540" spans="1:8">
      <c r="A1540" s="6" t="s">
        <v>55</v>
      </c>
      <c r="B1540" s="7" t="s">
        <v>149</v>
      </c>
      <c r="C1540" s="7" t="s">
        <v>149</v>
      </c>
      <c r="D1540" s="7" t="s">
        <v>6842</v>
      </c>
      <c r="E1540" s="6" t="s">
        <v>3077</v>
      </c>
      <c r="F1540" s="8"/>
      <c r="G1540" s="8"/>
      <c r="H1540" s="8"/>
    </row>
    <row r="1541" spans="1:8">
      <c r="A1541" s="6" t="s">
        <v>55</v>
      </c>
      <c r="B1541" s="7" t="s">
        <v>149</v>
      </c>
      <c r="C1541" s="7" t="s">
        <v>149</v>
      </c>
      <c r="D1541" s="7" t="s">
        <v>6843</v>
      </c>
      <c r="E1541" s="6" t="s">
        <v>1038</v>
      </c>
      <c r="F1541" s="8"/>
      <c r="G1541" s="8"/>
      <c r="H1541" s="8"/>
    </row>
    <row r="1542" spans="1:8">
      <c r="A1542" s="6" t="s">
        <v>55</v>
      </c>
      <c r="B1542" s="7" t="s">
        <v>365</v>
      </c>
      <c r="C1542" s="7" t="s">
        <v>6844</v>
      </c>
      <c r="D1542" s="7" t="s">
        <v>6845</v>
      </c>
      <c r="E1542" s="6" t="s">
        <v>6846</v>
      </c>
      <c r="F1542" s="8" t="s">
        <v>5162</v>
      </c>
      <c r="G1542" s="8" t="s">
        <v>6929</v>
      </c>
      <c r="H1542" s="8" t="s">
        <v>6967</v>
      </c>
    </row>
    <row r="1543" spans="1:8">
      <c r="A1543" s="6" t="s">
        <v>55</v>
      </c>
      <c r="B1543" s="7" t="s">
        <v>365</v>
      </c>
      <c r="C1543" s="7" t="s">
        <v>6844</v>
      </c>
      <c r="D1543" s="7" t="s">
        <v>6847</v>
      </c>
      <c r="E1543" s="6" t="s">
        <v>6848</v>
      </c>
      <c r="F1543" s="8"/>
      <c r="G1543" s="8"/>
      <c r="H1543" s="8"/>
    </row>
    <row r="1544" spans="1:8">
      <c r="A1544" s="6" t="s">
        <v>55</v>
      </c>
      <c r="B1544" s="7" t="s">
        <v>1731</v>
      </c>
      <c r="C1544" s="7" t="s">
        <v>1731</v>
      </c>
      <c r="D1544" s="7" t="s">
        <v>6849</v>
      </c>
      <c r="E1544" s="6" t="s">
        <v>6850</v>
      </c>
      <c r="F1544" s="8"/>
      <c r="G1544" s="8"/>
      <c r="H1544" s="8"/>
    </row>
    <row r="1545" spans="1:8">
      <c r="A1545" s="6" t="s">
        <v>55</v>
      </c>
      <c r="B1545" s="7" t="s">
        <v>1731</v>
      </c>
      <c r="C1545" s="7" t="s">
        <v>1731</v>
      </c>
      <c r="D1545" s="7" t="s">
        <v>6851</v>
      </c>
      <c r="E1545" s="6" t="s">
        <v>6852</v>
      </c>
      <c r="F1545" s="8"/>
      <c r="G1545" s="8"/>
      <c r="H1545" s="8"/>
    </row>
    <row r="1546" spans="1:8">
      <c r="A1546" s="6" t="s">
        <v>55</v>
      </c>
      <c r="B1546" s="7" t="s">
        <v>1731</v>
      </c>
      <c r="C1546" s="7" t="s">
        <v>1731</v>
      </c>
      <c r="D1546" s="7" t="s">
        <v>6853</v>
      </c>
      <c r="E1546" s="6" t="s">
        <v>6854</v>
      </c>
      <c r="F1546" s="8"/>
      <c r="G1546" s="8"/>
      <c r="H1546" s="8"/>
    </row>
    <row r="1547" spans="1:8">
      <c r="A1547" s="6" t="s">
        <v>55</v>
      </c>
      <c r="B1547" s="7" t="s">
        <v>1731</v>
      </c>
      <c r="C1547" s="7" t="s">
        <v>1731</v>
      </c>
      <c r="D1547" s="7" t="s">
        <v>6855</v>
      </c>
      <c r="E1547" s="6" t="s">
        <v>4044</v>
      </c>
      <c r="F1547" s="8"/>
      <c r="G1547" s="8"/>
      <c r="H1547" s="8"/>
    </row>
    <row r="1548" spans="1:8">
      <c r="A1548" s="6" t="s">
        <v>55</v>
      </c>
      <c r="B1548" s="7" t="s">
        <v>1731</v>
      </c>
      <c r="C1548" s="7" t="s">
        <v>1731</v>
      </c>
      <c r="D1548" s="7" t="s">
        <v>6856</v>
      </c>
      <c r="E1548" s="6" t="s">
        <v>6857</v>
      </c>
      <c r="F1548" s="8"/>
      <c r="G1548" s="8"/>
      <c r="H1548" s="8"/>
    </row>
    <row r="1549" spans="1:8">
      <c r="A1549" s="6" t="s">
        <v>115</v>
      </c>
      <c r="B1549" s="7" t="s">
        <v>116</v>
      </c>
      <c r="C1549" s="7" t="s">
        <v>116</v>
      </c>
      <c r="D1549" s="7" t="s">
        <v>117</v>
      </c>
      <c r="E1549" s="6" t="s">
        <v>118</v>
      </c>
      <c r="F1549" s="8"/>
      <c r="G1549" s="8"/>
      <c r="H1549" s="8"/>
    </row>
    <row r="1550" spans="1:8">
      <c r="A1550" s="6" t="s">
        <v>115</v>
      </c>
      <c r="B1550" s="7" t="s">
        <v>307</v>
      </c>
      <c r="C1550" s="7" t="s">
        <v>308</v>
      </c>
      <c r="D1550" s="7" t="s">
        <v>309</v>
      </c>
      <c r="E1550" s="6" t="s">
        <v>310</v>
      </c>
      <c r="F1550" s="8"/>
      <c r="G1550" s="8"/>
      <c r="H1550" s="8"/>
    </row>
    <row r="1551" spans="1:8">
      <c r="A1551" s="6" t="s">
        <v>115</v>
      </c>
      <c r="B1551" s="7" t="s">
        <v>307</v>
      </c>
      <c r="C1551" s="7" t="s">
        <v>308</v>
      </c>
      <c r="D1551" s="7" t="s">
        <v>679</v>
      </c>
      <c r="E1551" s="6" t="s">
        <v>680</v>
      </c>
      <c r="F1551" s="8" t="s">
        <v>6931</v>
      </c>
      <c r="G1551" s="8" t="s">
        <v>7004</v>
      </c>
      <c r="H1551" s="8" t="s">
        <v>7185</v>
      </c>
    </row>
    <row r="1552" spans="1:8">
      <c r="A1552" s="6" t="s">
        <v>115</v>
      </c>
      <c r="B1552" s="7" t="s">
        <v>307</v>
      </c>
      <c r="C1552" s="7" t="s">
        <v>308</v>
      </c>
      <c r="D1552" s="7" t="s">
        <v>1055</v>
      </c>
      <c r="E1552" s="6" t="s">
        <v>1056</v>
      </c>
      <c r="F1552" s="8"/>
      <c r="G1552" s="8"/>
      <c r="H1552" s="8"/>
    </row>
    <row r="1553" spans="1:8">
      <c r="A1553" s="6" t="s">
        <v>115</v>
      </c>
      <c r="B1553" s="7" t="s">
        <v>3420</v>
      </c>
      <c r="C1553" s="7" t="s">
        <v>488</v>
      </c>
      <c r="D1553" s="7" t="s">
        <v>3421</v>
      </c>
      <c r="E1553" s="6" t="s">
        <v>3422</v>
      </c>
      <c r="F1553" s="8"/>
      <c r="G1553" s="8"/>
      <c r="H1553" s="8"/>
    </row>
    <row r="1554" spans="1:8">
      <c r="A1554" s="6" t="s">
        <v>115</v>
      </c>
      <c r="B1554" s="7" t="s">
        <v>307</v>
      </c>
      <c r="C1554" s="7" t="s">
        <v>308</v>
      </c>
      <c r="D1554" s="7" t="s">
        <v>3423</v>
      </c>
      <c r="E1554" s="6" t="s">
        <v>3424</v>
      </c>
      <c r="F1554" s="8"/>
      <c r="G1554" s="8"/>
      <c r="H1554" s="8"/>
    </row>
    <row r="1555" spans="1:8">
      <c r="A1555" s="6" t="s">
        <v>115</v>
      </c>
      <c r="B1555" s="7" t="s">
        <v>3425</v>
      </c>
      <c r="C1555" s="7" t="s">
        <v>3426</v>
      </c>
      <c r="D1555" s="7" t="s">
        <v>3427</v>
      </c>
      <c r="E1555" s="6" t="s">
        <v>3428</v>
      </c>
      <c r="F1555" s="8"/>
      <c r="G1555" s="8"/>
      <c r="H1555" s="8"/>
    </row>
    <row r="1556" spans="1:8">
      <c r="A1556" s="6" t="s">
        <v>115</v>
      </c>
      <c r="B1556" s="7" t="s">
        <v>3429</v>
      </c>
      <c r="C1556" s="7" t="s">
        <v>374</v>
      </c>
      <c r="D1556" s="7" t="s">
        <v>3430</v>
      </c>
      <c r="E1556" s="6" t="s">
        <v>3431</v>
      </c>
      <c r="F1556" s="8"/>
      <c r="G1556" s="8"/>
      <c r="H1556" s="8"/>
    </row>
    <row r="1557" spans="1:8">
      <c r="A1557" s="6" t="s">
        <v>115</v>
      </c>
      <c r="B1557" s="7" t="s">
        <v>3432</v>
      </c>
      <c r="C1557" s="7" t="s">
        <v>3433</v>
      </c>
      <c r="D1557" s="7" t="s">
        <v>3434</v>
      </c>
      <c r="E1557" s="6" t="s">
        <v>3435</v>
      </c>
      <c r="F1557" s="8"/>
      <c r="G1557" s="8"/>
      <c r="H1557" s="8"/>
    </row>
    <row r="1558" spans="1:8">
      <c r="A1558" s="6" t="s">
        <v>115</v>
      </c>
      <c r="B1558" s="7" t="s">
        <v>3432</v>
      </c>
      <c r="C1558" s="7" t="s">
        <v>789</v>
      </c>
      <c r="D1558" s="7" t="s">
        <v>3436</v>
      </c>
      <c r="E1558" s="6" t="s">
        <v>3437</v>
      </c>
      <c r="F1558" s="8"/>
      <c r="G1558" s="8"/>
      <c r="H1558" s="8"/>
    </row>
    <row r="1559" spans="1:8">
      <c r="A1559" s="6" t="s">
        <v>115</v>
      </c>
      <c r="B1559" s="7" t="s">
        <v>3432</v>
      </c>
      <c r="C1559" s="7" t="s">
        <v>135</v>
      </c>
      <c r="D1559" s="7" t="s">
        <v>3438</v>
      </c>
      <c r="E1559" s="6" t="s">
        <v>3439</v>
      </c>
      <c r="F1559" s="8"/>
      <c r="G1559" s="8"/>
      <c r="H1559" s="8"/>
    </row>
    <row r="1560" spans="1:8">
      <c r="A1560" s="6" t="s">
        <v>115</v>
      </c>
      <c r="B1560" s="7" t="s">
        <v>3432</v>
      </c>
      <c r="C1560" s="7" t="s">
        <v>789</v>
      </c>
      <c r="D1560" s="7" t="s">
        <v>3440</v>
      </c>
      <c r="E1560" s="6" t="s">
        <v>3441</v>
      </c>
      <c r="F1560" s="8" t="s">
        <v>6931</v>
      </c>
      <c r="G1560" s="8" t="s">
        <v>6929</v>
      </c>
      <c r="H1560" s="8" t="s">
        <v>6927</v>
      </c>
    </row>
    <row r="1561" spans="1:8">
      <c r="A1561" s="6" t="s">
        <v>115</v>
      </c>
      <c r="B1561" s="7" t="s">
        <v>3429</v>
      </c>
      <c r="C1561" s="7" t="s">
        <v>78</v>
      </c>
      <c r="D1561" s="7" t="s">
        <v>3442</v>
      </c>
      <c r="E1561" s="6" t="s">
        <v>3443</v>
      </c>
      <c r="F1561" s="8"/>
      <c r="G1561" s="8"/>
      <c r="H1561" s="8"/>
    </row>
    <row r="1562" spans="1:8">
      <c r="A1562" s="6" t="s">
        <v>115</v>
      </c>
      <c r="B1562" s="7" t="s">
        <v>307</v>
      </c>
      <c r="C1562" s="7" t="s">
        <v>308</v>
      </c>
      <c r="D1562" s="7" t="s">
        <v>3444</v>
      </c>
      <c r="E1562" s="6" t="s">
        <v>3077</v>
      </c>
      <c r="F1562" s="8" t="s">
        <v>6931</v>
      </c>
      <c r="G1562" s="8" t="s">
        <v>6999</v>
      </c>
      <c r="H1562" s="8" t="s">
        <v>7184</v>
      </c>
    </row>
    <row r="1563" spans="1:8">
      <c r="A1563" s="6" t="s">
        <v>115</v>
      </c>
      <c r="B1563" s="7" t="s">
        <v>3429</v>
      </c>
      <c r="C1563" s="7" t="s">
        <v>78</v>
      </c>
      <c r="D1563" s="7" t="s">
        <v>3445</v>
      </c>
      <c r="E1563" s="6" t="s">
        <v>977</v>
      </c>
      <c r="F1563" s="8"/>
      <c r="G1563" s="8"/>
      <c r="H1563" s="8"/>
    </row>
    <row r="1564" spans="1:8">
      <c r="A1564" s="6" t="s">
        <v>115</v>
      </c>
      <c r="B1564" s="7" t="s">
        <v>3429</v>
      </c>
      <c r="C1564" s="7" t="s">
        <v>78</v>
      </c>
      <c r="D1564" s="7" t="s">
        <v>3446</v>
      </c>
      <c r="E1564" s="6" t="s">
        <v>3447</v>
      </c>
      <c r="F1564" s="8"/>
      <c r="G1564" s="8"/>
      <c r="H1564" s="8"/>
    </row>
    <row r="1565" spans="1:8">
      <c r="A1565" s="6" t="s">
        <v>115</v>
      </c>
      <c r="B1565" s="7" t="s">
        <v>3425</v>
      </c>
      <c r="C1565" s="7" t="s">
        <v>3448</v>
      </c>
      <c r="D1565" s="7" t="s">
        <v>3449</v>
      </c>
      <c r="E1565" s="6" t="s">
        <v>625</v>
      </c>
      <c r="F1565" s="8"/>
      <c r="G1565" s="8"/>
      <c r="H1565" s="8"/>
    </row>
    <row r="1566" spans="1:8">
      <c r="A1566" s="6" t="s">
        <v>115</v>
      </c>
      <c r="B1566" s="7" t="s">
        <v>3432</v>
      </c>
      <c r="C1566" s="7" t="s">
        <v>3433</v>
      </c>
      <c r="D1566" s="7" t="s">
        <v>3450</v>
      </c>
      <c r="E1566" s="6" t="s">
        <v>3451</v>
      </c>
      <c r="F1566" s="8"/>
      <c r="G1566" s="8"/>
      <c r="H1566" s="8"/>
    </row>
    <row r="1567" spans="1:8">
      <c r="A1567" s="6" t="s">
        <v>2642</v>
      </c>
      <c r="B1567" s="7" t="s">
        <v>2643</v>
      </c>
      <c r="C1567" s="7" t="s">
        <v>2643</v>
      </c>
      <c r="D1567" s="7" t="s">
        <v>2644</v>
      </c>
      <c r="E1567" s="6" t="s">
        <v>2645</v>
      </c>
      <c r="F1567" s="8"/>
      <c r="G1567" s="8"/>
      <c r="H1567" s="8"/>
    </row>
    <row r="1568" spans="1:8">
      <c r="A1568" s="6" t="s">
        <v>2180</v>
      </c>
      <c r="B1568" s="7" t="s">
        <v>2181</v>
      </c>
      <c r="C1568" s="7" t="s">
        <v>2181</v>
      </c>
      <c r="D1568" s="7" t="s">
        <v>2182</v>
      </c>
      <c r="E1568" s="6" t="s">
        <v>2183</v>
      </c>
      <c r="F1568" s="8"/>
      <c r="G1568" s="8"/>
      <c r="H1568" s="8"/>
    </row>
    <row r="1569" spans="1:8">
      <c r="A1569" s="6" t="s">
        <v>2180</v>
      </c>
      <c r="B1569" s="7" t="s">
        <v>2181</v>
      </c>
      <c r="C1569" s="7" t="s">
        <v>2181</v>
      </c>
      <c r="D1569" s="7" t="s">
        <v>2184</v>
      </c>
      <c r="E1569" s="6" t="s">
        <v>2185</v>
      </c>
      <c r="F1569" s="8"/>
      <c r="G1569" s="8"/>
      <c r="H1569" s="8"/>
    </row>
    <row r="1570" spans="1:8">
      <c r="A1570" s="6" t="s">
        <v>47</v>
      </c>
      <c r="B1570" s="7" t="s">
        <v>48</v>
      </c>
      <c r="C1570" s="7" t="s">
        <v>48</v>
      </c>
      <c r="D1570" s="7" t="s">
        <v>49</v>
      </c>
      <c r="E1570" s="6" t="s">
        <v>50</v>
      </c>
      <c r="F1570" s="8"/>
      <c r="G1570" s="8"/>
      <c r="H1570" s="8"/>
    </row>
    <row r="1571" spans="1:8">
      <c r="A1571" s="6" t="s">
        <v>47</v>
      </c>
      <c r="B1571" s="7" t="s">
        <v>482</v>
      </c>
      <c r="C1571" s="7" t="s">
        <v>483</v>
      </c>
      <c r="D1571" s="7" t="s">
        <v>484</v>
      </c>
      <c r="E1571" s="6" t="s">
        <v>485</v>
      </c>
      <c r="F1571" s="8"/>
      <c r="G1571" s="8"/>
      <c r="H1571" s="8"/>
    </row>
    <row r="1572" spans="1:8">
      <c r="A1572" s="6" t="s">
        <v>47</v>
      </c>
      <c r="B1572" s="7" t="s">
        <v>482</v>
      </c>
      <c r="C1572" s="7" t="s">
        <v>483</v>
      </c>
      <c r="D1572" s="7" t="s">
        <v>574</v>
      </c>
      <c r="E1572" s="6" t="s">
        <v>575</v>
      </c>
      <c r="F1572" s="8"/>
      <c r="G1572" s="8"/>
      <c r="H1572" s="8"/>
    </row>
    <row r="1573" spans="1:8">
      <c r="A1573" s="6" t="s">
        <v>47</v>
      </c>
      <c r="B1573" s="7" t="s">
        <v>1034</v>
      </c>
      <c r="C1573" s="7" t="s">
        <v>1034</v>
      </c>
      <c r="D1573" s="7" t="s">
        <v>1035</v>
      </c>
      <c r="E1573" s="6" t="s">
        <v>1036</v>
      </c>
      <c r="F1573" s="8"/>
      <c r="G1573" s="8"/>
      <c r="H1573" s="8"/>
    </row>
    <row r="1574" spans="1:8">
      <c r="A1574" s="6" t="s">
        <v>47</v>
      </c>
      <c r="B1574" s="7" t="s">
        <v>1034</v>
      </c>
      <c r="C1574" s="7" t="s">
        <v>1034</v>
      </c>
      <c r="D1574" s="7" t="s">
        <v>1278</v>
      </c>
      <c r="E1574" s="6" t="s">
        <v>1279</v>
      </c>
      <c r="F1574" s="8"/>
      <c r="G1574" s="8"/>
      <c r="H1574" s="8"/>
    </row>
    <row r="1575" spans="1:8">
      <c r="A1575" s="6" t="s">
        <v>47</v>
      </c>
      <c r="B1575" s="7" t="s">
        <v>482</v>
      </c>
      <c r="C1575" s="7" t="s">
        <v>482</v>
      </c>
      <c r="D1575" s="7" t="s">
        <v>1299</v>
      </c>
      <c r="E1575" s="6" t="s">
        <v>1300</v>
      </c>
      <c r="F1575" s="8"/>
      <c r="G1575" s="8"/>
      <c r="H1575" s="8"/>
    </row>
    <row r="1576" spans="1:8">
      <c r="A1576" s="6" t="s">
        <v>47</v>
      </c>
      <c r="B1576" s="7" t="s">
        <v>1522</v>
      </c>
      <c r="C1576" s="7" t="s">
        <v>1523</v>
      </c>
      <c r="D1576" s="7" t="s">
        <v>1524</v>
      </c>
      <c r="E1576" s="6" t="s">
        <v>1264</v>
      </c>
      <c r="F1576" s="8" t="s">
        <v>3334</v>
      </c>
      <c r="G1576" s="8" t="s">
        <v>6929</v>
      </c>
      <c r="H1576" s="8" t="s">
        <v>7194</v>
      </c>
    </row>
    <row r="1577" spans="1:8">
      <c r="A1577" s="6" t="s">
        <v>47</v>
      </c>
      <c r="B1577" s="7" t="s">
        <v>482</v>
      </c>
      <c r="C1577" s="7" t="s">
        <v>483</v>
      </c>
      <c r="D1577" s="7" t="s">
        <v>1559</v>
      </c>
      <c r="E1577" s="6" t="s">
        <v>798</v>
      </c>
      <c r="F1577" s="8"/>
      <c r="G1577" s="8"/>
      <c r="H1577" s="8"/>
    </row>
    <row r="1578" spans="1:8">
      <c r="A1578" s="6" t="s">
        <v>47</v>
      </c>
      <c r="B1578" s="7" t="s">
        <v>1034</v>
      </c>
      <c r="C1578" s="7" t="s">
        <v>1034</v>
      </c>
      <c r="D1578" s="7" t="s">
        <v>1810</v>
      </c>
      <c r="E1578" s="6" t="s">
        <v>1811</v>
      </c>
      <c r="F1578" s="8" t="s">
        <v>6944</v>
      </c>
      <c r="G1578" s="8" t="s">
        <v>6929</v>
      </c>
      <c r="H1578" s="8" t="s">
        <v>7182</v>
      </c>
    </row>
    <row r="1579" spans="1:8">
      <c r="A1579" s="6" t="s">
        <v>47</v>
      </c>
      <c r="B1579" s="7" t="s">
        <v>4433</v>
      </c>
      <c r="C1579" s="7" t="s">
        <v>4433</v>
      </c>
      <c r="D1579" s="7" t="s">
        <v>4434</v>
      </c>
      <c r="E1579" s="6" t="s">
        <v>4435</v>
      </c>
      <c r="F1579" s="8"/>
      <c r="G1579" s="8"/>
      <c r="H1579" s="8"/>
    </row>
    <row r="1580" spans="1:8">
      <c r="A1580" s="6" t="s">
        <v>47</v>
      </c>
      <c r="B1580" s="7" t="s">
        <v>1034</v>
      </c>
      <c r="C1580" s="7" t="s">
        <v>1034</v>
      </c>
      <c r="D1580" s="7" t="s">
        <v>4436</v>
      </c>
      <c r="E1580" s="6" t="s">
        <v>4437</v>
      </c>
      <c r="F1580" s="8"/>
      <c r="G1580" s="8"/>
      <c r="H1580" s="8"/>
    </row>
    <row r="1581" spans="1:8">
      <c r="A1581" s="6" t="s">
        <v>47</v>
      </c>
      <c r="B1581" s="7" t="s">
        <v>1034</v>
      </c>
      <c r="C1581" s="7" t="s">
        <v>1034</v>
      </c>
      <c r="D1581" s="7" t="s">
        <v>4438</v>
      </c>
      <c r="E1581" s="6" t="s">
        <v>4439</v>
      </c>
      <c r="F1581" s="8"/>
      <c r="G1581" s="8"/>
      <c r="H1581" s="8"/>
    </row>
    <row r="1582" spans="1:8">
      <c r="A1582" s="6" t="s">
        <v>47</v>
      </c>
      <c r="B1582" s="7" t="s">
        <v>1034</v>
      </c>
      <c r="C1582" s="7" t="s">
        <v>1034</v>
      </c>
      <c r="D1582" s="7" t="s">
        <v>4440</v>
      </c>
      <c r="E1582" s="6" t="s">
        <v>862</v>
      </c>
      <c r="F1582" s="8"/>
      <c r="G1582" s="8"/>
      <c r="H1582" s="8"/>
    </row>
    <row r="1583" spans="1:8">
      <c r="A1583" s="6" t="s">
        <v>47</v>
      </c>
      <c r="B1583" s="7" t="s">
        <v>1034</v>
      </c>
      <c r="C1583" s="7" t="s">
        <v>1034</v>
      </c>
      <c r="D1583" s="7" t="s">
        <v>4441</v>
      </c>
      <c r="E1583" s="6" t="s">
        <v>4442</v>
      </c>
      <c r="F1583" s="8"/>
      <c r="G1583" s="8"/>
      <c r="H1583" s="8"/>
    </row>
    <row r="1584" spans="1:8">
      <c r="A1584" s="6" t="s">
        <v>47</v>
      </c>
      <c r="B1584" s="7" t="s">
        <v>1034</v>
      </c>
      <c r="C1584" s="7" t="s">
        <v>1034</v>
      </c>
      <c r="D1584" s="7" t="s">
        <v>4443</v>
      </c>
      <c r="E1584" s="6" t="s">
        <v>4444</v>
      </c>
      <c r="F1584" s="8"/>
      <c r="G1584" s="8"/>
      <c r="H1584" s="8"/>
    </row>
    <row r="1585" spans="1:8">
      <c r="A1585" s="6" t="s">
        <v>47</v>
      </c>
      <c r="B1585" s="7" t="s">
        <v>4445</v>
      </c>
      <c r="C1585" s="7" t="s">
        <v>4445</v>
      </c>
      <c r="D1585" s="7" t="s">
        <v>4446</v>
      </c>
      <c r="E1585" s="6" t="s">
        <v>4447</v>
      </c>
      <c r="F1585" s="8"/>
      <c r="G1585" s="8"/>
      <c r="H1585" s="8"/>
    </row>
    <row r="1586" spans="1:8">
      <c r="A1586" s="6" t="s">
        <v>47</v>
      </c>
      <c r="B1586" s="7" t="s">
        <v>4448</v>
      </c>
      <c r="C1586" s="7" t="s">
        <v>4448</v>
      </c>
      <c r="D1586" s="7" t="s">
        <v>4449</v>
      </c>
      <c r="E1586" s="6" t="s">
        <v>4450</v>
      </c>
      <c r="F1586" s="8"/>
      <c r="G1586" s="8"/>
      <c r="H1586" s="8"/>
    </row>
    <row r="1587" spans="1:8">
      <c r="A1587" s="6" t="s">
        <v>47</v>
      </c>
      <c r="B1587" s="7" t="s">
        <v>4451</v>
      </c>
      <c r="C1587" s="7" t="s">
        <v>4452</v>
      </c>
      <c r="D1587" s="7" t="s">
        <v>4453</v>
      </c>
      <c r="E1587" s="6" t="s">
        <v>4454</v>
      </c>
      <c r="F1587" s="8"/>
      <c r="G1587" s="8"/>
      <c r="H1587" s="8"/>
    </row>
    <row r="1588" spans="1:8">
      <c r="A1588" s="6" t="s">
        <v>47</v>
      </c>
      <c r="B1588" s="7" t="s">
        <v>4455</v>
      </c>
      <c r="C1588" s="7" t="s">
        <v>4455</v>
      </c>
      <c r="D1588" s="7" t="s">
        <v>4456</v>
      </c>
      <c r="E1588" s="6" t="s">
        <v>4457</v>
      </c>
      <c r="F1588" s="8"/>
      <c r="G1588" s="8"/>
      <c r="H1588" s="8"/>
    </row>
    <row r="1589" spans="1:8">
      <c r="A1589" s="6" t="s">
        <v>47</v>
      </c>
      <c r="B1589" s="7" t="s">
        <v>4448</v>
      </c>
      <c r="C1589" s="7" t="s">
        <v>4448</v>
      </c>
      <c r="D1589" s="7" t="s">
        <v>4458</v>
      </c>
      <c r="E1589" s="6" t="s">
        <v>4459</v>
      </c>
      <c r="F1589" s="8"/>
      <c r="G1589" s="8"/>
      <c r="H1589" s="8"/>
    </row>
    <row r="1590" spans="1:8">
      <c r="A1590" s="6" t="s">
        <v>47</v>
      </c>
      <c r="B1590" s="7" t="s">
        <v>4460</v>
      </c>
      <c r="C1590" s="7" t="s">
        <v>4461</v>
      </c>
      <c r="D1590" s="7" t="s">
        <v>4462</v>
      </c>
      <c r="E1590" s="6" t="s">
        <v>2867</v>
      </c>
      <c r="F1590" s="8"/>
      <c r="G1590" s="8"/>
      <c r="H1590" s="8"/>
    </row>
    <row r="1591" spans="1:8">
      <c r="A1591" s="6" t="s">
        <v>47</v>
      </c>
      <c r="B1591" s="7" t="s">
        <v>4463</v>
      </c>
      <c r="C1591" s="7" t="s">
        <v>483</v>
      </c>
      <c r="D1591" s="7" t="s">
        <v>4464</v>
      </c>
      <c r="E1591" s="6" t="s">
        <v>4465</v>
      </c>
      <c r="F1591" s="8"/>
      <c r="G1591" s="8"/>
      <c r="H1591" s="8"/>
    </row>
    <row r="1592" spans="1:8">
      <c r="A1592" s="6" t="s">
        <v>47</v>
      </c>
      <c r="B1592" s="7" t="s">
        <v>482</v>
      </c>
      <c r="C1592" s="7" t="s">
        <v>483</v>
      </c>
      <c r="D1592" s="7" t="s">
        <v>4466</v>
      </c>
      <c r="E1592" s="6" t="s">
        <v>2071</v>
      </c>
      <c r="F1592" s="8"/>
      <c r="G1592" s="8"/>
      <c r="H1592" s="8"/>
    </row>
    <row r="1593" spans="1:8">
      <c r="A1593" s="6" t="s">
        <v>47</v>
      </c>
      <c r="B1593" s="7" t="s">
        <v>482</v>
      </c>
      <c r="C1593" s="7" t="s">
        <v>483</v>
      </c>
      <c r="D1593" s="7" t="s">
        <v>4467</v>
      </c>
      <c r="E1593" s="6" t="s">
        <v>4468</v>
      </c>
      <c r="F1593" s="8" t="s">
        <v>5162</v>
      </c>
      <c r="G1593" s="8" t="s">
        <v>6929</v>
      </c>
      <c r="H1593" s="8" t="s">
        <v>7190</v>
      </c>
    </row>
    <row r="1594" spans="1:8">
      <c r="A1594" s="6" t="s">
        <v>47</v>
      </c>
      <c r="B1594" s="7" t="s">
        <v>482</v>
      </c>
      <c r="C1594" s="7" t="s">
        <v>483</v>
      </c>
      <c r="D1594" s="7" t="s">
        <v>4469</v>
      </c>
      <c r="E1594" s="6" t="s">
        <v>4470</v>
      </c>
      <c r="F1594" s="8"/>
      <c r="G1594" s="8"/>
      <c r="H1594" s="8"/>
    </row>
    <row r="1595" spans="1:8">
      <c r="A1595" s="6" t="s">
        <v>47</v>
      </c>
      <c r="B1595" s="7" t="s">
        <v>482</v>
      </c>
      <c r="C1595" s="7" t="s">
        <v>483</v>
      </c>
      <c r="D1595" s="7" t="s">
        <v>4471</v>
      </c>
      <c r="E1595" s="6" t="s">
        <v>4472</v>
      </c>
      <c r="F1595" s="8"/>
      <c r="G1595" s="8"/>
      <c r="H1595" s="8"/>
    </row>
    <row r="1596" spans="1:8">
      <c r="A1596" s="6" t="s">
        <v>47</v>
      </c>
      <c r="B1596" s="7" t="s">
        <v>482</v>
      </c>
      <c r="C1596" s="7" t="s">
        <v>483</v>
      </c>
      <c r="D1596" s="7" t="s">
        <v>4473</v>
      </c>
      <c r="E1596" s="6" t="s">
        <v>4474</v>
      </c>
      <c r="F1596" s="8" t="s">
        <v>5162</v>
      </c>
      <c r="G1596" s="8" t="s">
        <v>6929</v>
      </c>
      <c r="H1596" s="8" t="s">
        <v>7192</v>
      </c>
    </row>
    <row r="1597" spans="1:8">
      <c r="A1597" s="6" t="s">
        <v>47</v>
      </c>
      <c r="B1597" s="7" t="s">
        <v>482</v>
      </c>
      <c r="C1597" s="7" t="s">
        <v>483</v>
      </c>
      <c r="D1597" s="7" t="s">
        <v>4475</v>
      </c>
      <c r="E1597" s="6" t="s">
        <v>4476</v>
      </c>
      <c r="F1597" s="8"/>
      <c r="G1597" s="8"/>
      <c r="H1597" s="8"/>
    </row>
    <row r="1598" spans="1:8">
      <c r="A1598" s="6" t="s">
        <v>47</v>
      </c>
      <c r="B1598" s="7" t="s">
        <v>482</v>
      </c>
      <c r="C1598" s="7" t="s">
        <v>483</v>
      </c>
      <c r="D1598" s="7" t="s">
        <v>4477</v>
      </c>
      <c r="E1598" s="6" t="s">
        <v>4478</v>
      </c>
      <c r="F1598" s="8"/>
      <c r="G1598" s="8"/>
      <c r="H1598" s="8"/>
    </row>
    <row r="1599" spans="1:8">
      <c r="A1599" s="6" t="s">
        <v>47</v>
      </c>
      <c r="B1599" s="7" t="s">
        <v>1522</v>
      </c>
      <c r="C1599" s="7" t="s">
        <v>1523</v>
      </c>
      <c r="D1599" s="7" t="s">
        <v>4479</v>
      </c>
      <c r="E1599" s="6" t="s">
        <v>4480</v>
      </c>
      <c r="F1599" s="8" t="s">
        <v>5162</v>
      </c>
      <c r="G1599" s="8" t="s">
        <v>6929</v>
      </c>
      <c r="H1599" s="8" t="s">
        <v>6967</v>
      </c>
    </row>
    <row r="1600" spans="1:8">
      <c r="A1600" s="6" t="s">
        <v>47</v>
      </c>
      <c r="B1600" s="7" t="s">
        <v>1319</v>
      </c>
      <c r="C1600" s="7" t="s">
        <v>1319</v>
      </c>
      <c r="D1600" s="7" t="s">
        <v>4481</v>
      </c>
      <c r="E1600" s="6" t="s">
        <v>4482</v>
      </c>
      <c r="F1600" s="8"/>
      <c r="G1600" s="8"/>
      <c r="H1600" s="8"/>
    </row>
    <row r="1601" spans="1:8">
      <c r="A1601" s="6" t="s">
        <v>47</v>
      </c>
      <c r="B1601" s="7" t="s">
        <v>1319</v>
      </c>
      <c r="C1601" s="7" t="s">
        <v>1319</v>
      </c>
      <c r="D1601" s="7" t="s">
        <v>4483</v>
      </c>
      <c r="E1601" s="6" t="s">
        <v>4484</v>
      </c>
      <c r="F1601" s="8"/>
      <c r="G1601" s="8"/>
      <c r="H1601" s="8"/>
    </row>
    <row r="1602" spans="1:8">
      <c r="A1602" s="6" t="s">
        <v>47</v>
      </c>
      <c r="B1602" s="7" t="s">
        <v>1319</v>
      </c>
      <c r="C1602" s="7" t="s">
        <v>1319</v>
      </c>
      <c r="D1602" s="7" t="s">
        <v>4485</v>
      </c>
      <c r="E1602" s="6" t="s">
        <v>4486</v>
      </c>
      <c r="F1602" s="8"/>
      <c r="G1602" s="8"/>
      <c r="H1602" s="8"/>
    </row>
    <row r="1603" spans="1:8">
      <c r="A1603" s="6" t="s">
        <v>47</v>
      </c>
      <c r="B1603" s="7" t="s">
        <v>1319</v>
      </c>
      <c r="C1603" s="7" t="s">
        <v>1319</v>
      </c>
      <c r="D1603" s="7" t="s">
        <v>4487</v>
      </c>
      <c r="E1603" s="6" t="s">
        <v>4488</v>
      </c>
      <c r="F1603" s="8"/>
      <c r="G1603" s="8"/>
      <c r="H1603" s="8"/>
    </row>
    <row r="1604" spans="1:8">
      <c r="A1604" s="6" t="s">
        <v>47</v>
      </c>
      <c r="B1604" s="7" t="s">
        <v>1319</v>
      </c>
      <c r="C1604" s="7" t="s">
        <v>1319</v>
      </c>
      <c r="D1604" s="7" t="s">
        <v>4489</v>
      </c>
      <c r="E1604" s="6" t="s">
        <v>4490</v>
      </c>
      <c r="F1604" s="8"/>
      <c r="G1604" s="8"/>
      <c r="H1604" s="8"/>
    </row>
    <row r="1605" spans="1:8">
      <c r="A1605" s="6" t="s">
        <v>47</v>
      </c>
      <c r="B1605" s="7" t="s">
        <v>4491</v>
      </c>
      <c r="C1605" s="7" t="s">
        <v>4492</v>
      </c>
      <c r="D1605" s="7" t="s">
        <v>4493</v>
      </c>
      <c r="E1605" s="6" t="s">
        <v>4494</v>
      </c>
      <c r="F1605" s="8" t="s">
        <v>6931</v>
      </c>
      <c r="G1605" s="8" t="s">
        <v>6987</v>
      </c>
      <c r="H1605" s="8" t="s">
        <v>7193</v>
      </c>
    </row>
    <row r="1606" spans="1:8">
      <c r="A1606" s="6" t="s">
        <v>47</v>
      </c>
      <c r="B1606" s="7" t="s">
        <v>4491</v>
      </c>
      <c r="C1606" s="7" t="s">
        <v>4492</v>
      </c>
      <c r="D1606" s="7" t="s">
        <v>4495</v>
      </c>
      <c r="E1606" s="6" t="s">
        <v>4496</v>
      </c>
      <c r="F1606" s="8"/>
      <c r="G1606" s="8"/>
      <c r="H1606" s="8"/>
    </row>
    <row r="1607" spans="1:8">
      <c r="A1607" s="6" t="s">
        <v>47</v>
      </c>
      <c r="B1607" s="7" t="s">
        <v>4491</v>
      </c>
      <c r="C1607" s="7" t="s">
        <v>4491</v>
      </c>
      <c r="D1607" s="7" t="s">
        <v>4497</v>
      </c>
      <c r="E1607" s="6" t="s">
        <v>4498</v>
      </c>
      <c r="F1607" s="8"/>
      <c r="G1607" s="8"/>
      <c r="H1607" s="8"/>
    </row>
    <row r="1608" spans="1:8">
      <c r="A1608" s="6" t="s">
        <v>47</v>
      </c>
      <c r="B1608" s="7" t="s">
        <v>4491</v>
      </c>
      <c r="C1608" s="7" t="s">
        <v>4492</v>
      </c>
      <c r="D1608" s="7" t="s">
        <v>4499</v>
      </c>
      <c r="E1608" s="6" t="s">
        <v>4500</v>
      </c>
      <c r="F1608" s="8"/>
      <c r="G1608" s="8"/>
      <c r="H1608" s="8"/>
    </row>
    <row r="1609" spans="1:8">
      <c r="A1609" s="6" t="s">
        <v>47</v>
      </c>
      <c r="B1609" s="7" t="s">
        <v>4491</v>
      </c>
      <c r="C1609" s="7" t="s">
        <v>4492</v>
      </c>
      <c r="D1609" s="7" t="s">
        <v>4501</v>
      </c>
      <c r="E1609" s="6" t="s">
        <v>4502</v>
      </c>
      <c r="F1609" s="8"/>
      <c r="G1609" s="8"/>
      <c r="H1609" s="8"/>
    </row>
    <row r="1610" spans="1:8">
      <c r="A1610" s="6" t="s">
        <v>47</v>
      </c>
      <c r="B1610" s="7" t="s">
        <v>4491</v>
      </c>
      <c r="C1610" s="7" t="s">
        <v>565</v>
      </c>
      <c r="D1610" s="7" t="s">
        <v>4503</v>
      </c>
      <c r="E1610" s="6" t="s">
        <v>4504</v>
      </c>
      <c r="F1610" s="8"/>
      <c r="G1610" s="8"/>
      <c r="H1610" s="8"/>
    </row>
    <row r="1611" spans="1:8">
      <c r="A1611" s="6" t="s">
        <v>47</v>
      </c>
      <c r="B1611" s="7" t="s">
        <v>4491</v>
      </c>
      <c r="C1611" s="7" t="s">
        <v>4491</v>
      </c>
      <c r="D1611" s="7" t="s">
        <v>4505</v>
      </c>
      <c r="E1611" s="6" t="s">
        <v>4506</v>
      </c>
      <c r="F1611" s="8"/>
      <c r="G1611" s="8"/>
      <c r="H1611" s="8"/>
    </row>
    <row r="1612" spans="1:8">
      <c r="A1612" s="6" t="s">
        <v>47</v>
      </c>
      <c r="B1612" s="7" t="s">
        <v>4491</v>
      </c>
      <c r="C1612" s="7" t="s">
        <v>4491</v>
      </c>
      <c r="D1612" s="7" t="s">
        <v>4507</v>
      </c>
      <c r="E1612" s="6" t="s">
        <v>2904</v>
      </c>
      <c r="F1612" s="8"/>
      <c r="G1612" s="8"/>
      <c r="H1612" s="8"/>
    </row>
    <row r="1613" spans="1:8">
      <c r="A1613" s="6" t="s">
        <v>47</v>
      </c>
      <c r="B1613" s="7" t="s">
        <v>4491</v>
      </c>
      <c r="C1613" s="7" t="s">
        <v>4491</v>
      </c>
      <c r="D1613" s="7" t="s">
        <v>4508</v>
      </c>
      <c r="E1613" s="6" t="s">
        <v>3930</v>
      </c>
      <c r="F1613" s="8"/>
      <c r="G1613" s="8"/>
      <c r="H1613" s="8"/>
    </row>
    <row r="1614" spans="1:8">
      <c r="A1614" s="6" t="s">
        <v>47</v>
      </c>
      <c r="B1614" s="7" t="s">
        <v>4509</v>
      </c>
      <c r="C1614" s="7" t="s">
        <v>4509</v>
      </c>
      <c r="D1614" s="7" t="s">
        <v>4510</v>
      </c>
      <c r="E1614" s="6" t="s">
        <v>4511</v>
      </c>
      <c r="F1614" s="8"/>
      <c r="G1614" s="8"/>
      <c r="H1614" s="8"/>
    </row>
    <row r="1615" spans="1:8">
      <c r="A1615" s="6" t="s">
        <v>47</v>
      </c>
      <c r="B1615" s="7" t="s">
        <v>4509</v>
      </c>
      <c r="C1615" s="7" t="s">
        <v>4509</v>
      </c>
      <c r="D1615" s="7" t="s">
        <v>4512</v>
      </c>
      <c r="E1615" s="6" t="s">
        <v>4513</v>
      </c>
      <c r="F1615" s="8"/>
      <c r="G1615" s="8"/>
      <c r="H1615" s="8"/>
    </row>
    <row r="1616" spans="1:8">
      <c r="A1616" s="6" t="s">
        <v>47</v>
      </c>
      <c r="B1616" s="7" t="s">
        <v>4514</v>
      </c>
      <c r="C1616" s="7" t="s">
        <v>4515</v>
      </c>
      <c r="D1616" s="7" t="s">
        <v>4516</v>
      </c>
      <c r="E1616" s="6" t="s">
        <v>4517</v>
      </c>
      <c r="F1616" s="8"/>
      <c r="G1616" s="8"/>
      <c r="H1616" s="8"/>
    </row>
    <row r="1617" spans="1:8">
      <c r="A1617" s="6" t="s">
        <v>47</v>
      </c>
      <c r="B1617" s="7" t="s">
        <v>4518</v>
      </c>
      <c r="C1617" s="7" t="s">
        <v>2225</v>
      </c>
      <c r="D1617" s="7" t="s">
        <v>4519</v>
      </c>
      <c r="E1617" s="6" t="s">
        <v>4520</v>
      </c>
      <c r="F1617" s="8"/>
      <c r="G1617" s="8"/>
      <c r="H1617" s="8"/>
    </row>
    <row r="1618" spans="1:8">
      <c r="A1618" s="6" t="s">
        <v>47</v>
      </c>
      <c r="B1618" s="7" t="s">
        <v>1522</v>
      </c>
      <c r="C1618" s="7" t="s">
        <v>1523</v>
      </c>
      <c r="D1618" s="7" t="s">
        <v>4521</v>
      </c>
      <c r="E1618" s="6" t="s">
        <v>4522</v>
      </c>
      <c r="F1618" s="8"/>
      <c r="G1618" s="8"/>
      <c r="H1618" s="8"/>
    </row>
    <row r="1619" spans="1:8">
      <c r="A1619" s="6" t="s">
        <v>47</v>
      </c>
      <c r="B1619" s="7" t="s">
        <v>1522</v>
      </c>
      <c r="C1619" s="7" t="s">
        <v>4523</v>
      </c>
      <c r="D1619" s="7" t="s">
        <v>4524</v>
      </c>
      <c r="E1619" s="6" t="s">
        <v>4525</v>
      </c>
      <c r="F1619" s="8" t="s">
        <v>5162</v>
      </c>
      <c r="G1619" s="8" t="s">
        <v>6929</v>
      </c>
      <c r="H1619" s="8" t="s">
        <v>7195</v>
      </c>
    </row>
    <row r="1620" spans="1:8">
      <c r="A1620" s="6" t="s">
        <v>47</v>
      </c>
      <c r="B1620" s="7" t="s">
        <v>1522</v>
      </c>
      <c r="C1620" s="7" t="s">
        <v>4526</v>
      </c>
      <c r="D1620" s="7" t="s">
        <v>4527</v>
      </c>
      <c r="E1620" s="6" t="s">
        <v>4528</v>
      </c>
      <c r="F1620" s="8" t="s">
        <v>5162</v>
      </c>
      <c r="G1620" s="8" t="s">
        <v>6929</v>
      </c>
      <c r="H1620" s="8" t="s">
        <v>7195</v>
      </c>
    </row>
    <row r="1621" spans="1:8">
      <c r="A1621" s="6" t="s">
        <v>47</v>
      </c>
      <c r="B1621" s="7" t="s">
        <v>1522</v>
      </c>
      <c r="C1621" s="7" t="s">
        <v>4529</v>
      </c>
      <c r="D1621" s="7" t="s">
        <v>4530</v>
      </c>
      <c r="E1621" s="6" t="s">
        <v>4531</v>
      </c>
      <c r="F1621" s="8"/>
      <c r="G1621" s="8"/>
      <c r="H1621" s="8"/>
    </row>
    <row r="1622" spans="1:8">
      <c r="A1622" s="6" t="s">
        <v>63</v>
      </c>
      <c r="B1622" s="7" t="s">
        <v>64</v>
      </c>
      <c r="C1622" s="7" t="s">
        <v>64</v>
      </c>
      <c r="D1622" s="7" t="s">
        <v>65</v>
      </c>
      <c r="E1622" s="6" t="s">
        <v>62</v>
      </c>
      <c r="F1622" s="8"/>
      <c r="G1622" s="8"/>
      <c r="H1622" s="8"/>
    </row>
    <row r="1623" spans="1:8">
      <c r="A1623" s="6" t="s">
        <v>63</v>
      </c>
      <c r="B1623" s="7" t="s">
        <v>9</v>
      </c>
      <c r="C1623" s="7" t="s">
        <v>220</v>
      </c>
      <c r="D1623" s="7" t="s">
        <v>221</v>
      </c>
      <c r="E1623" s="6" t="s">
        <v>222</v>
      </c>
      <c r="F1623" s="8"/>
      <c r="G1623" s="8"/>
      <c r="H1623" s="8"/>
    </row>
    <row r="1624" spans="1:8">
      <c r="A1624" s="6" t="s">
        <v>63</v>
      </c>
      <c r="B1624" s="7" t="s">
        <v>1389</v>
      </c>
      <c r="C1624" s="7" t="s">
        <v>9</v>
      </c>
      <c r="D1624" s="7" t="s">
        <v>1390</v>
      </c>
      <c r="E1624" s="6" t="s">
        <v>62</v>
      </c>
      <c r="F1624" s="8"/>
      <c r="G1624" s="8"/>
      <c r="H1624" s="8"/>
    </row>
    <row r="1625" spans="1:8">
      <c r="A1625" s="6" t="s">
        <v>63</v>
      </c>
      <c r="B1625" s="7" t="s">
        <v>5136</v>
      </c>
      <c r="C1625" s="7" t="s">
        <v>1240</v>
      </c>
      <c r="D1625" s="7" t="s">
        <v>5137</v>
      </c>
      <c r="E1625" s="6" t="s">
        <v>5138</v>
      </c>
      <c r="F1625" s="8"/>
      <c r="G1625" s="8"/>
      <c r="H1625" s="8"/>
    </row>
    <row r="1626" spans="1:8">
      <c r="A1626" s="6" t="s">
        <v>63</v>
      </c>
      <c r="B1626" s="7" t="s">
        <v>3075</v>
      </c>
      <c r="C1626" s="7" t="s">
        <v>9</v>
      </c>
      <c r="D1626" s="7" t="s">
        <v>5139</v>
      </c>
      <c r="E1626" s="6" t="s">
        <v>5140</v>
      </c>
      <c r="F1626" s="8"/>
      <c r="G1626" s="8"/>
      <c r="H1626" s="8"/>
    </row>
    <row r="1627" spans="1:8">
      <c r="A1627" s="6" t="s">
        <v>63</v>
      </c>
      <c r="B1627" s="7" t="s">
        <v>3075</v>
      </c>
      <c r="C1627" s="7" t="s">
        <v>9</v>
      </c>
      <c r="D1627" s="7" t="s">
        <v>5141</v>
      </c>
      <c r="E1627" s="6" t="s">
        <v>5140</v>
      </c>
      <c r="F1627" s="8"/>
      <c r="G1627" s="8"/>
      <c r="H1627" s="8"/>
    </row>
    <row r="1628" spans="1:8">
      <c r="A1628" s="6" t="s">
        <v>63</v>
      </c>
      <c r="B1628" s="7" t="s">
        <v>3075</v>
      </c>
      <c r="C1628" s="7" t="s">
        <v>9</v>
      </c>
      <c r="D1628" s="7" t="s">
        <v>5142</v>
      </c>
      <c r="E1628" s="6" t="s">
        <v>5140</v>
      </c>
      <c r="F1628" s="8"/>
      <c r="G1628" s="8"/>
      <c r="H1628" s="8"/>
    </row>
    <row r="1629" spans="1:8">
      <c r="A1629" s="6" t="s">
        <v>63</v>
      </c>
      <c r="B1629" s="7" t="s">
        <v>3075</v>
      </c>
      <c r="C1629" s="7" t="s">
        <v>9</v>
      </c>
      <c r="D1629" s="7" t="s">
        <v>5143</v>
      </c>
      <c r="E1629" s="6" t="s">
        <v>5140</v>
      </c>
      <c r="F1629" s="8"/>
      <c r="G1629" s="8"/>
      <c r="H1629" s="8"/>
    </row>
    <row r="1630" spans="1:8">
      <c r="A1630" s="6" t="s">
        <v>63</v>
      </c>
      <c r="B1630" s="7" t="s">
        <v>3075</v>
      </c>
      <c r="C1630" s="7" t="s">
        <v>9</v>
      </c>
      <c r="D1630" s="7" t="s">
        <v>5144</v>
      </c>
      <c r="E1630" s="6" t="s">
        <v>5140</v>
      </c>
      <c r="F1630" s="8"/>
      <c r="G1630" s="8"/>
      <c r="H1630" s="8"/>
    </row>
    <row r="1631" spans="1:8">
      <c r="A1631" s="6" t="s">
        <v>63</v>
      </c>
      <c r="B1631" s="7" t="s">
        <v>3075</v>
      </c>
      <c r="C1631" s="7" t="s">
        <v>9</v>
      </c>
      <c r="D1631" s="7" t="s">
        <v>5145</v>
      </c>
      <c r="E1631" s="6" t="s">
        <v>5140</v>
      </c>
      <c r="F1631" s="8"/>
      <c r="G1631" s="8"/>
      <c r="H1631" s="8"/>
    </row>
    <row r="1632" spans="1:8">
      <c r="A1632" s="6" t="s">
        <v>63</v>
      </c>
      <c r="B1632" s="7" t="s">
        <v>64</v>
      </c>
      <c r="C1632" s="7" t="s">
        <v>377</v>
      </c>
      <c r="D1632" s="7" t="s">
        <v>5146</v>
      </c>
      <c r="E1632" s="6" t="s">
        <v>5147</v>
      </c>
      <c r="F1632" s="8"/>
      <c r="G1632" s="8"/>
      <c r="H1632" s="8"/>
    </row>
    <row r="1633" spans="1:8">
      <c r="A1633" s="6" t="s">
        <v>63</v>
      </c>
      <c r="B1633" s="7" t="s">
        <v>64</v>
      </c>
      <c r="C1633" s="7" t="s">
        <v>1079</v>
      </c>
      <c r="D1633" s="7" t="s">
        <v>5148</v>
      </c>
      <c r="E1633" s="6" t="s">
        <v>5149</v>
      </c>
      <c r="F1633" s="8" t="s">
        <v>5162</v>
      </c>
      <c r="G1633" s="8" t="s">
        <v>6953</v>
      </c>
      <c r="H1633" s="8" t="s">
        <v>6954</v>
      </c>
    </row>
    <row r="1634" spans="1:8">
      <c r="A1634" s="6" t="s">
        <v>63</v>
      </c>
      <c r="B1634" s="7" t="s">
        <v>64</v>
      </c>
      <c r="C1634" s="7" t="s">
        <v>377</v>
      </c>
      <c r="D1634" s="7" t="s">
        <v>5150</v>
      </c>
      <c r="E1634" s="6" t="s">
        <v>5151</v>
      </c>
      <c r="F1634" s="8"/>
      <c r="G1634" s="8"/>
      <c r="H1634" s="8"/>
    </row>
    <row r="1635" spans="1:8">
      <c r="A1635" s="6" t="s">
        <v>63</v>
      </c>
      <c r="B1635" s="7" t="s">
        <v>1389</v>
      </c>
      <c r="C1635" s="7" t="s">
        <v>377</v>
      </c>
      <c r="D1635" s="7" t="s">
        <v>5152</v>
      </c>
      <c r="E1635" s="6" t="s">
        <v>547</v>
      </c>
      <c r="F1635" s="8" t="s">
        <v>3334</v>
      </c>
      <c r="G1635" s="8" t="s">
        <v>6929</v>
      </c>
      <c r="H1635" s="8" t="s">
        <v>6951</v>
      </c>
    </row>
    <row r="1636" spans="1:8">
      <c r="A1636" s="6" t="s">
        <v>63</v>
      </c>
      <c r="B1636" s="7" t="s">
        <v>1389</v>
      </c>
      <c r="C1636" s="7" t="s">
        <v>202</v>
      </c>
      <c r="D1636" s="7" t="s">
        <v>5153</v>
      </c>
      <c r="E1636" s="6" t="s">
        <v>5154</v>
      </c>
      <c r="F1636" s="8"/>
      <c r="G1636" s="8"/>
      <c r="H1636" s="8"/>
    </row>
    <row r="1637" spans="1:8">
      <c r="A1637" s="6" t="s">
        <v>63</v>
      </c>
      <c r="B1637" s="7" t="s">
        <v>5155</v>
      </c>
      <c r="C1637" s="7" t="s">
        <v>3334</v>
      </c>
      <c r="D1637" s="7" t="s">
        <v>5156</v>
      </c>
      <c r="E1637" s="6" t="s">
        <v>5157</v>
      </c>
      <c r="F1637" s="8"/>
      <c r="G1637" s="8"/>
      <c r="H1637" s="8"/>
    </row>
    <row r="1638" spans="1:8">
      <c r="A1638" s="6" t="s">
        <v>63</v>
      </c>
      <c r="B1638" s="7" t="s">
        <v>5158</v>
      </c>
      <c r="C1638" s="7" t="s">
        <v>1079</v>
      </c>
      <c r="D1638" s="7" t="s">
        <v>5159</v>
      </c>
      <c r="E1638" s="6" t="s">
        <v>5160</v>
      </c>
      <c r="F1638" s="8"/>
      <c r="G1638" s="8"/>
      <c r="H1638" s="8"/>
    </row>
    <row r="1639" spans="1:8">
      <c r="A1639" s="6" t="s">
        <v>63</v>
      </c>
      <c r="B1639" s="7" t="s">
        <v>5158</v>
      </c>
      <c r="C1639" s="7" t="s">
        <v>1079</v>
      </c>
      <c r="D1639" s="7" t="s">
        <v>5161</v>
      </c>
      <c r="E1639" s="6" t="s">
        <v>326</v>
      </c>
      <c r="F1639" s="8"/>
      <c r="G1639" s="8"/>
      <c r="H1639" s="8"/>
    </row>
    <row r="1640" spans="1:8">
      <c r="A1640" s="6" t="s">
        <v>63</v>
      </c>
      <c r="B1640" s="7" t="s">
        <v>5158</v>
      </c>
      <c r="C1640" s="7" t="s">
        <v>5162</v>
      </c>
      <c r="D1640" s="7" t="s">
        <v>5163</v>
      </c>
      <c r="E1640" s="6" t="s">
        <v>5164</v>
      </c>
      <c r="F1640" s="8" t="s">
        <v>6955</v>
      </c>
      <c r="G1640" s="8" t="s">
        <v>6929</v>
      </c>
      <c r="H1640" s="8" t="s">
        <v>6940</v>
      </c>
    </row>
    <row r="1641" spans="1:8">
      <c r="A1641" s="6" t="s">
        <v>63</v>
      </c>
      <c r="B1641" s="7" t="s">
        <v>5158</v>
      </c>
      <c r="C1641" s="7" t="s">
        <v>5162</v>
      </c>
      <c r="D1641" s="7" t="s">
        <v>5165</v>
      </c>
      <c r="E1641" s="6" t="s">
        <v>5166</v>
      </c>
      <c r="F1641" s="8" t="s">
        <v>6955</v>
      </c>
      <c r="G1641" s="8" t="s">
        <v>6929</v>
      </c>
      <c r="H1641" s="8" t="s">
        <v>6940</v>
      </c>
    </row>
    <row r="1642" spans="1:8">
      <c r="A1642" s="6" t="s">
        <v>152</v>
      </c>
      <c r="B1642" s="7" t="s">
        <v>153</v>
      </c>
      <c r="C1642" s="7" t="s">
        <v>153</v>
      </c>
      <c r="D1642" s="7" t="s">
        <v>154</v>
      </c>
      <c r="E1642" s="6" t="s">
        <v>155</v>
      </c>
      <c r="F1642" s="8"/>
      <c r="G1642" s="8"/>
      <c r="H1642" s="8"/>
    </row>
    <row r="1643" spans="1:8">
      <c r="A1643" s="6" t="s">
        <v>152</v>
      </c>
      <c r="B1643" s="7" t="s">
        <v>382</v>
      </c>
      <c r="C1643" s="7" t="s">
        <v>382</v>
      </c>
      <c r="D1643" s="7" t="s">
        <v>383</v>
      </c>
      <c r="E1643" s="6" t="s">
        <v>384</v>
      </c>
      <c r="F1643" s="8"/>
      <c r="G1643" s="8"/>
      <c r="H1643" s="8"/>
    </row>
    <row r="1644" spans="1:8">
      <c r="A1644" s="6" t="s">
        <v>152</v>
      </c>
      <c r="B1644" s="7" t="s">
        <v>382</v>
      </c>
      <c r="C1644" s="7" t="s">
        <v>382</v>
      </c>
      <c r="D1644" s="7" t="s">
        <v>837</v>
      </c>
      <c r="E1644" s="6" t="s">
        <v>838</v>
      </c>
      <c r="F1644" s="8"/>
      <c r="G1644" s="8"/>
      <c r="H1644" s="8"/>
    </row>
    <row r="1645" spans="1:8">
      <c r="A1645" s="6" t="s">
        <v>152</v>
      </c>
      <c r="B1645" s="7" t="s">
        <v>2313</v>
      </c>
      <c r="C1645" s="7" t="s">
        <v>2313</v>
      </c>
      <c r="D1645" s="7" t="s">
        <v>5296</v>
      </c>
      <c r="E1645" s="6" t="s">
        <v>5297</v>
      </c>
      <c r="F1645" s="8"/>
      <c r="G1645" s="8"/>
      <c r="H1645" s="8"/>
    </row>
    <row r="1646" spans="1:8">
      <c r="A1646" s="6" t="s">
        <v>152</v>
      </c>
      <c r="B1646" s="7" t="s">
        <v>2313</v>
      </c>
      <c r="C1646" s="7" t="s">
        <v>2313</v>
      </c>
      <c r="D1646" s="7" t="s">
        <v>5298</v>
      </c>
      <c r="E1646" s="6" t="s">
        <v>5297</v>
      </c>
      <c r="F1646" s="8"/>
      <c r="G1646" s="8"/>
      <c r="H1646" s="8"/>
    </row>
    <row r="1647" spans="1:8">
      <c r="A1647" s="6" t="s">
        <v>152</v>
      </c>
      <c r="B1647" s="7" t="s">
        <v>153</v>
      </c>
      <c r="C1647" s="7" t="s">
        <v>153</v>
      </c>
      <c r="D1647" s="7" t="s">
        <v>5299</v>
      </c>
      <c r="E1647" s="6" t="s">
        <v>2186</v>
      </c>
      <c r="F1647" s="8" t="s">
        <v>5162</v>
      </c>
      <c r="G1647" s="8" t="s">
        <v>6950</v>
      </c>
      <c r="H1647" s="8" t="s">
        <v>6951</v>
      </c>
    </row>
    <row r="1648" spans="1:8">
      <c r="A1648" s="6" t="s">
        <v>152</v>
      </c>
      <c r="B1648" s="7" t="s">
        <v>153</v>
      </c>
      <c r="C1648" s="7" t="s">
        <v>153</v>
      </c>
      <c r="D1648" s="7" t="s">
        <v>5300</v>
      </c>
      <c r="E1648" s="6" t="s">
        <v>5301</v>
      </c>
      <c r="F1648" s="8" t="s">
        <v>5162</v>
      </c>
      <c r="G1648" s="8" t="s">
        <v>6950</v>
      </c>
      <c r="H1648" s="8" t="s">
        <v>6951</v>
      </c>
    </row>
    <row r="1649" spans="1:8">
      <c r="A1649" s="6" t="s">
        <v>152</v>
      </c>
      <c r="B1649" s="7" t="s">
        <v>153</v>
      </c>
      <c r="C1649" s="7" t="s">
        <v>153</v>
      </c>
      <c r="D1649" s="7" t="s">
        <v>5302</v>
      </c>
      <c r="E1649" s="6" t="s">
        <v>5303</v>
      </c>
      <c r="F1649" s="8" t="s">
        <v>5162</v>
      </c>
      <c r="G1649" s="8" t="s">
        <v>6950</v>
      </c>
      <c r="H1649" s="8" t="s">
        <v>6951</v>
      </c>
    </row>
    <row r="1650" spans="1:8">
      <c r="A1650" s="6" t="s">
        <v>152</v>
      </c>
      <c r="B1650" s="7" t="s">
        <v>382</v>
      </c>
      <c r="C1650" s="7" t="s">
        <v>382</v>
      </c>
      <c r="D1650" s="7" t="s">
        <v>5304</v>
      </c>
      <c r="E1650" s="6" t="s">
        <v>5305</v>
      </c>
      <c r="F1650" s="8"/>
      <c r="G1650" s="8"/>
      <c r="H1650" s="8"/>
    </row>
    <row r="1651" spans="1:8">
      <c r="A1651" s="6" t="s">
        <v>427</v>
      </c>
      <c r="B1651" s="7" t="s">
        <v>428</v>
      </c>
      <c r="C1651" s="7" t="s">
        <v>429</v>
      </c>
      <c r="D1651" s="7" t="s">
        <v>430</v>
      </c>
      <c r="E1651" s="6" t="s">
        <v>431</v>
      </c>
      <c r="F1651" s="8"/>
      <c r="G1651" s="8"/>
      <c r="H1651" s="8"/>
    </row>
    <row r="1652" spans="1:8">
      <c r="A1652" s="6" t="s">
        <v>427</v>
      </c>
      <c r="B1652" s="7" t="s">
        <v>428</v>
      </c>
      <c r="C1652" s="7" t="s">
        <v>1798</v>
      </c>
      <c r="D1652" s="7" t="s">
        <v>5208</v>
      </c>
      <c r="E1652" s="6" t="s">
        <v>62</v>
      </c>
      <c r="F1652" s="8"/>
      <c r="G1652" s="8"/>
      <c r="H1652" s="8"/>
    </row>
    <row r="1653" spans="1:8">
      <c r="A1653" s="6" t="s">
        <v>427</v>
      </c>
      <c r="B1653" s="7" t="s">
        <v>5209</v>
      </c>
      <c r="C1653" s="7" t="s">
        <v>5209</v>
      </c>
      <c r="D1653" s="7" t="s">
        <v>5210</v>
      </c>
      <c r="E1653" s="6" t="s">
        <v>5211</v>
      </c>
      <c r="F1653" s="8"/>
      <c r="G1653" s="8"/>
      <c r="H1653" s="8"/>
    </row>
    <row r="1654" spans="1:8">
      <c r="A1654" s="6" t="s">
        <v>427</v>
      </c>
      <c r="B1654" s="7" t="s">
        <v>428</v>
      </c>
      <c r="C1654" s="7" t="s">
        <v>429</v>
      </c>
      <c r="D1654" s="7" t="s">
        <v>5212</v>
      </c>
      <c r="E1654" s="6" t="s">
        <v>5213</v>
      </c>
      <c r="F1654" s="8"/>
      <c r="G1654" s="8"/>
      <c r="H1654" s="8"/>
    </row>
    <row r="1655" spans="1:8">
      <c r="A1655" s="6" t="s">
        <v>427</v>
      </c>
      <c r="B1655" s="7" t="s">
        <v>428</v>
      </c>
      <c r="C1655" s="7" t="s">
        <v>429</v>
      </c>
      <c r="D1655" s="7" t="s">
        <v>5214</v>
      </c>
      <c r="E1655" s="6" t="s">
        <v>5215</v>
      </c>
      <c r="F1655" s="8"/>
      <c r="G1655" s="8"/>
      <c r="H1655" s="8"/>
    </row>
    <row r="1656" spans="1:8">
      <c r="A1656" s="6" t="s">
        <v>427</v>
      </c>
      <c r="B1656" s="7" t="s">
        <v>428</v>
      </c>
      <c r="C1656" s="7" t="s">
        <v>429</v>
      </c>
      <c r="D1656" s="7" t="s">
        <v>5216</v>
      </c>
      <c r="E1656" s="6" t="s">
        <v>3124</v>
      </c>
      <c r="F1656" s="8"/>
      <c r="G1656" s="8"/>
      <c r="H1656" s="8"/>
    </row>
    <row r="1657" spans="1:8">
      <c r="A1657" s="6" t="s">
        <v>427</v>
      </c>
      <c r="B1657" s="7" t="s">
        <v>428</v>
      </c>
      <c r="C1657" s="7" t="s">
        <v>429</v>
      </c>
      <c r="D1657" s="7" t="s">
        <v>5217</v>
      </c>
      <c r="E1657" s="6" t="s">
        <v>5218</v>
      </c>
      <c r="F1657" s="8"/>
      <c r="G1657" s="8"/>
      <c r="H1657" s="8"/>
    </row>
    <row r="1658" spans="1:8">
      <c r="A1658" s="6" t="s">
        <v>427</v>
      </c>
      <c r="B1658" s="7" t="s">
        <v>1079</v>
      </c>
      <c r="C1658" s="7" t="s">
        <v>1079</v>
      </c>
      <c r="D1658" s="7" t="s">
        <v>5219</v>
      </c>
      <c r="E1658" s="6" t="s">
        <v>5220</v>
      </c>
      <c r="F1658" s="8"/>
      <c r="G1658" s="8"/>
      <c r="H1658" s="8"/>
    </row>
    <row r="1659" spans="1:8">
      <c r="A1659" s="6" t="s">
        <v>427</v>
      </c>
      <c r="B1659" s="7" t="s">
        <v>5221</v>
      </c>
      <c r="C1659" s="7" t="s">
        <v>5221</v>
      </c>
      <c r="D1659" s="7" t="s">
        <v>5222</v>
      </c>
      <c r="E1659" s="6" t="s">
        <v>46</v>
      </c>
      <c r="F1659" s="8"/>
      <c r="G1659" s="8"/>
      <c r="H1659" s="8"/>
    </row>
    <row r="1660" spans="1:8">
      <c r="A1660" s="6" t="s">
        <v>2128</v>
      </c>
      <c r="B1660" s="7" t="s">
        <v>9</v>
      </c>
      <c r="C1660" s="7" t="s">
        <v>2129</v>
      </c>
      <c r="D1660" s="7" t="s">
        <v>2130</v>
      </c>
      <c r="E1660" s="6" t="s">
        <v>324</v>
      </c>
      <c r="F1660" s="8"/>
      <c r="G1660" s="8"/>
      <c r="H1660" s="8"/>
    </row>
    <row r="1661" spans="1:8">
      <c r="A1661" s="6" t="s">
        <v>2128</v>
      </c>
      <c r="B1661" s="7" t="s">
        <v>69</v>
      </c>
      <c r="C1661" s="7" t="s">
        <v>2131</v>
      </c>
      <c r="D1661" s="7" t="s">
        <v>2132</v>
      </c>
      <c r="E1661" s="6" t="s">
        <v>1585</v>
      </c>
      <c r="F1661" s="8"/>
      <c r="G1661" s="8"/>
      <c r="H1661" s="8"/>
    </row>
    <row r="1662" spans="1:8">
      <c r="A1662" s="6" t="s">
        <v>2128</v>
      </c>
      <c r="B1662" s="7" t="s">
        <v>9</v>
      </c>
      <c r="C1662" s="7" t="s">
        <v>2133</v>
      </c>
      <c r="D1662" s="7" t="s">
        <v>2134</v>
      </c>
      <c r="E1662" s="6" t="s">
        <v>2135</v>
      </c>
      <c r="F1662" s="8"/>
      <c r="G1662" s="8"/>
      <c r="H1662" s="8"/>
    </row>
    <row r="1663" spans="1:8">
      <c r="A1663" s="6" t="s">
        <v>2128</v>
      </c>
      <c r="B1663" s="7" t="s">
        <v>9</v>
      </c>
      <c r="C1663" s="7" t="s">
        <v>2129</v>
      </c>
      <c r="D1663" s="7" t="s">
        <v>2136</v>
      </c>
      <c r="E1663" s="6" t="s">
        <v>2137</v>
      </c>
      <c r="F1663" s="8"/>
      <c r="G1663" s="8"/>
      <c r="H1663" s="8"/>
    </row>
    <row r="1664" spans="1:8">
      <c r="A1664" s="6" t="s">
        <v>2128</v>
      </c>
      <c r="B1664" s="7" t="s">
        <v>9</v>
      </c>
      <c r="C1664" s="7" t="s">
        <v>2133</v>
      </c>
      <c r="D1664" s="7" t="s">
        <v>2138</v>
      </c>
      <c r="E1664" s="6" t="s">
        <v>2139</v>
      </c>
      <c r="F1664" s="8"/>
      <c r="G1664" s="8"/>
      <c r="H1664" s="8"/>
    </row>
    <row r="1665" spans="1:8">
      <c r="A1665" s="6" t="s">
        <v>2128</v>
      </c>
      <c r="B1665" s="7" t="s">
        <v>2140</v>
      </c>
      <c r="C1665" s="7" t="s">
        <v>2141</v>
      </c>
      <c r="D1665" s="7" t="s">
        <v>2142</v>
      </c>
      <c r="E1665" s="6" t="s">
        <v>2143</v>
      </c>
      <c r="F1665" s="8"/>
      <c r="G1665" s="8"/>
      <c r="H1665" s="8"/>
    </row>
    <row r="1666" spans="1:8">
      <c r="A1666" s="6" t="s">
        <v>2128</v>
      </c>
      <c r="B1666" s="7" t="s">
        <v>9</v>
      </c>
      <c r="C1666" s="7" t="s">
        <v>2131</v>
      </c>
      <c r="D1666" s="7" t="s">
        <v>2144</v>
      </c>
      <c r="E1666" s="6" t="s">
        <v>2145</v>
      </c>
      <c r="F1666" s="8"/>
      <c r="G1666" s="8"/>
      <c r="H1666" s="8"/>
    </row>
    <row r="1667" spans="1:8">
      <c r="A1667" s="6" t="s">
        <v>2128</v>
      </c>
      <c r="B1667" s="7" t="s">
        <v>9</v>
      </c>
      <c r="C1667" s="7" t="s">
        <v>2131</v>
      </c>
      <c r="D1667" s="7" t="s">
        <v>2146</v>
      </c>
      <c r="E1667" s="6" t="s">
        <v>2147</v>
      </c>
      <c r="F1667" s="8"/>
      <c r="G1667" s="8"/>
      <c r="H1667" s="8"/>
    </row>
    <row r="1668" spans="1:8">
      <c r="A1668" s="6" t="s">
        <v>2128</v>
      </c>
      <c r="B1668" s="7" t="s">
        <v>9</v>
      </c>
      <c r="C1668" s="7" t="s">
        <v>2148</v>
      </c>
      <c r="D1668" s="7" t="s">
        <v>2149</v>
      </c>
      <c r="E1668" s="6" t="s">
        <v>2150</v>
      </c>
      <c r="F1668" s="8" t="s">
        <v>6982</v>
      </c>
      <c r="G1668" s="8" t="s">
        <v>6944</v>
      </c>
      <c r="H1668" s="8" t="s">
        <v>6983</v>
      </c>
    </row>
    <row r="1669" spans="1:8">
      <c r="A1669" s="6" t="s">
        <v>2128</v>
      </c>
      <c r="B1669" s="7" t="s">
        <v>9</v>
      </c>
      <c r="C1669" s="7" t="s">
        <v>2131</v>
      </c>
      <c r="D1669" s="7" t="s">
        <v>2151</v>
      </c>
      <c r="E1669" s="6" t="s">
        <v>2152</v>
      </c>
      <c r="F1669" s="8"/>
      <c r="G1669" s="8"/>
      <c r="H1669" s="8"/>
    </row>
    <row r="1670" spans="1:8">
      <c r="A1670" s="6" t="s">
        <v>2128</v>
      </c>
      <c r="B1670" s="7" t="s">
        <v>9</v>
      </c>
      <c r="C1670" s="7" t="s">
        <v>2131</v>
      </c>
      <c r="D1670" s="7" t="s">
        <v>2153</v>
      </c>
      <c r="E1670" s="6" t="s">
        <v>2154</v>
      </c>
      <c r="F1670" s="8"/>
      <c r="G1670" s="8"/>
      <c r="H1670" s="8"/>
    </row>
    <row r="1671" spans="1:8">
      <c r="A1671" s="6" t="s">
        <v>2128</v>
      </c>
      <c r="B1671" s="7" t="s">
        <v>9</v>
      </c>
      <c r="C1671" s="7" t="s">
        <v>2131</v>
      </c>
      <c r="D1671" s="7" t="s">
        <v>2155</v>
      </c>
      <c r="E1671" s="6" t="s">
        <v>2156</v>
      </c>
      <c r="F1671" s="8"/>
      <c r="G1671" s="8"/>
      <c r="H1671" s="8"/>
    </row>
    <row r="1672" spans="1:8">
      <c r="A1672" s="6" t="s">
        <v>2128</v>
      </c>
      <c r="B1672" s="7" t="s">
        <v>9</v>
      </c>
      <c r="C1672" s="7" t="s">
        <v>2129</v>
      </c>
      <c r="D1672" s="7" t="s">
        <v>2157</v>
      </c>
      <c r="E1672" s="6" t="s">
        <v>2158</v>
      </c>
      <c r="F1672" s="8"/>
      <c r="G1672" s="8"/>
      <c r="H1672" s="8"/>
    </row>
    <row r="1673" spans="1:8">
      <c r="A1673" s="6" t="s">
        <v>2128</v>
      </c>
      <c r="B1673" s="7" t="s">
        <v>9</v>
      </c>
      <c r="C1673" s="7" t="s">
        <v>134</v>
      </c>
      <c r="D1673" s="7" t="s">
        <v>2159</v>
      </c>
      <c r="E1673" s="6" t="s">
        <v>2160</v>
      </c>
      <c r="F1673" s="8"/>
      <c r="G1673" s="8"/>
      <c r="H1673" s="8"/>
    </row>
    <row r="1674" spans="1:8">
      <c r="A1674" s="6" t="s">
        <v>182</v>
      </c>
      <c r="B1674" s="7" t="s">
        <v>183</v>
      </c>
      <c r="C1674" s="7" t="s">
        <v>183</v>
      </c>
      <c r="D1674" s="7" t="s">
        <v>184</v>
      </c>
      <c r="E1674" s="6" t="s">
        <v>185</v>
      </c>
      <c r="F1674" s="8"/>
      <c r="G1674" s="8"/>
      <c r="H1674" s="8"/>
    </row>
    <row r="1675" spans="1:8">
      <c r="A1675" s="6" t="s">
        <v>182</v>
      </c>
      <c r="B1675" s="7" t="s">
        <v>216</v>
      </c>
      <c r="C1675" s="7" t="s">
        <v>217</v>
      </c>
      <c r="D1675" s="7" t="s">
        <v>218</v>
      </c>
      <c r="E1675" s="6" t="s">
        <v>219</v>
      </c>
      <c r="F1675" s="8"/>
      <c r="G1675" s="8"/>
      <c r="H1675" s="8"/>
    </row>
    <row r="1676" spans="1:8">
      <c r="A1676" s="6" t="s">
        <v>182</v>
      </c>
      <c r="B1676" s="7" t="s">
        <v>947</v>
      </c>
      <c r="C1676" s="7" t="s">
        <v>947</v>
      </c>
      <c r="D1676" s="7" t="s">
        <v>948</v>
      </c>
      <c r="E1676" s="6" t="s">
        <v>949</v>
      </c>
      <c r="F1676" s="8"/>
      <c r="G1676" s="8"/>
      <c r="H1676" s="8"/>
    </row>
    <row r="1677" spans="1:8">
      <c r="A1677" s="6" t="s">
        <v>182</v>
      </c>
      <c r="B1677" s="7" t="s">
        <v>458</v>
      </c>
      <c r="C1677" s="7" t="s">
        <v>458</v>
      </c>
      <c r="D1677" s="7" t="s">
        <v>1015</v>
      </c>
      <c r="E1677" s="6" t="s">
        <v>1016</v>
      </c>
      <c r="F1677" s="8"/>
      <c r="G1677" s="8"/>
      <c r="H1677" s="8"/>
    </row>
    <row r="1678" spans="1:8">
      <c r="A1678" s="6" t="s">
        <v>182</v>
      </c>
      <c r="B1678" s="7" t="s">
        <v>1057</v>
      </c>
      <c r="C1678" s="7" t="s">
        <v>149</v>
      </c>
      <c r="D1678" s="7" t="s">
        <v>1058</v>
      </c>
      <c r="E1678" s="6" t="s">
        <v>1059</v>
      </c>
      <c r="F1678" s="8"/>
      <c r="G1678" s="8"/>
      <c r="H1678" s="8"/>
    </row>
    <row r="1679" spans="1:8">
      <c r="A1679" s="6" t="s">
        <v>182</v>
      </c>
      <c r="B1679" s="7" t="s">
        <v>1179</v>
      </c>
      <c r="C1679" s="7" t="s">
        <v>789</v>
      </c>
      <c r="D1679" s="7" t="s">
        <v>1180</v>
      </c>
      <c r="E1679" s="6" t="s">
        <v>1181</v>
      </c>
      <c r="F1679" s="8"/>
      <c r="G1679" s="8"/>
      <c r="H1679" s="8"/>
    </row>
    <row r="1680" spans="1:8">
      <c r="A1680" s="6" t="s">
        <v>182</v>
      </c>
      <c r="B1680" s="7" t="s">
        <v>609</v>
      </c>
      <c r="C1680" s="7" t="s">
        <v>217</v>
      </c>
      <c r="D1680" s="7" t="s">
        <v>1189</v>
      </c>
      <c r="E1680" s="6" t="s">
        <v>1190</v>
      </c>
      <c r="F1680" s="8"/>
      <c r="G1680" s="8"/>
      <c r="H1680" s="8"/>
    </row>
    <row r="1681" spans="1:8">
      <c r="A1681" s="6" t="s">
        <v>182</v>
      </c>
      <c r="B1681" s="7" t="s">
        <v>1411</v>
      </c>
      <c r="C1681" s="7" t="s">
        <v>149</v>
      </c>
      <c r="D1681" s="7" t="s">
        <v>1412</v>
      </c>
      <c r="E1681" s="6" t="s">
        <v>1413</v>
      </c>
      <c r="F1681" s="8"/>
      <c r="G1681" s="8"/>
      <c r="H1681" s="8"/>
    </row>
    <row r="1682" spans="1:8">
      <c r="A1682" s="6" t="s">
        <v>182</v>
      </c>
      <c r="B1682" s="7" t="s">
        <v>1057</v>
      </c>
      <c r="C1682" s="7" t="s">
        <v>135</v>
      </c>
      <c r="D1682" s="7" t="s">
        <v>1534</v>
      </c>
      <c r="E1682" s="6" t="s">
        <v>1535</v>
      </c>
      <c r="F1682" s="8"/>
      <c r="G1682" s="8"/>
      <c r="H1682" s="8"/>
    </row>
    <row r="1683" spans="1:8">
      <c r="A1683" s="6" t="s">
        <v>182</v>
      </c>
      <c r="B1683" s="7" t="s">
        <v>4694</v>
      </c>
      <c r="C1683" s="7" t="s">
        <v>4694</v>
      </c>
      <c r="D1683" s="7" t="s">
        <v>4695</v>
      </c>
      <c r="E1683" s="6" t="s">
        <v>2331</v>
      </c>
      <c r="F1683" s="8"/>
      <c r="G1683" s="8"/>
      <c r="H1683" s="8"/>
    </row>
    <row r="1684" spans="1:8">
      <c r="A1684" s="6" t="s">
        <v>182</v>
      </c>
      <c r="B1684" s="7" t="s">
        <v>947</v>
      </c>
      <c r="C1684" s="7" t="s">
        <v>947</v>
      </c>
      <c r="D1684" s="7" t="s">
        <v>4696</v>
      </c>
      <c r="E1684" s="6" t="s">
        <v>4697</v>
      </c>
      <c r="F1684" s="8"/>
      <c r="G1684" s="8"/>
      <c r="H1684" s="8"/>
    </row>
    <row r="1685" spans="1:8">
      <c r="A1685" s="6" t="s">
        <v>182</v>
      </c>
      <c r="B1685" s="7" t="s">
        <v>4698</v>
      </c>
      <c r="C1685" s="7" t="s">
        <v>4698</v>
      </c>
      <c r="D1685" s="7" t="s">
        <v>4699</v>
      </c>
      <c r="E1685" s="6" t="s">
        <v>2401</v>
      </c>
      <c r="F1685" s="8"/>
      <c r="G1685" s="8"/>
      <c r="H1685" s="8"/>
    </row>
    <row r="1686" spans="1:8">
      <c r="A1686" s="6" t="s">
        <v>182</v>
      </c>
      <c r="B1686" s="7" t="s">
        <v>1179</v>
      </c>
      <c r="C1686" s="7" t="s">
        <v>789</v>
      </c>
      <c r="D1686" s="7" t="s">
        <v>4700</v>
      </c>
      <c r="E1686" s="6" t="s">
        <v>4701</v>
      </c>
      <c r="F1686" s="8" t="s">
        <v>6957</v>
      </c>
      <c r="G1686" s="8" t="s">
        <v>6987</v>
      </c>
      <c r="H1686" s="8" t="s">
        <v>6988</v>
      </c>
    </row>
    <row r="1687" spans="1:8">
      <c r="A1687" s="6" t="s">
        <v>182</v>
      </c>
      <c r="B1687" s="7" t="s">
        <v>1179</v>
      </c>
      <c r="C1687" s="7" t="s">
        <v>789</v>
      </c>
      <c r="D1687" s="7" t="s">
        <v>4702</v>
      </c>
      <c r="E1687" s="6" t="s">
        <v>4703</v>
      </c>
      <c r="F1687" s="8"/>
      <c r="G1687" s="8"/>
      <c r="H1687" s="8"/>
    </row>
    <row r="1688" spans="1:8">
      <c r="A1688" s="6" t="s">
        <v>182</v>
      </c>
      <c r="B1688" s="7" t="s">
        <v>1179</v>
      </c>
      <c r="C1688" s="7" t="s">
        <v>789</v>
      </c>
      <c r="D1688" s="7" t="s">
        <v>4704</v>
      </c>
      <c r="E1688" s="6" t="s">
        <v>1652</v>
      </c>
      <c r="F1688" s="8"/>
      <c r="G1688" s="8"/>
      <c r="H1688" s="8"/>
    </row>
    <row r="1689" spans="1:8">
      <c r="A1689" s="6" t="s">
        <v>182</v>
      </c>
      <c r="B1689" s="7" t="s">
        <v>1411</v>
      </c>
      <c r="C1689" s="7" t="s">
        <v>78</v>
      </c>
      <c r="D1689" s="7" t="s">
        <v>4705</v>
      </c>
      <c r="E1689" s="6" t="s">
        <v>4706</v>
      </c>
      <c r="F1689" s="8" t="s">
        <v>3334</v>
      </c>
      <c r="G1689" s="8" t="s">
        <v>6929</v>
      </c>
      <c r="H1689" s="8" t="s">
        <v>6951</v>
      </c>
    </row>
    <row r="1690" spans="1:8">
      <c r="A1690" s="6" t="s">
        <v>182</v>
      </c>
      <c r="B1690" s="7" t="s">
        <v>188</v>
      </c>
      <c r="C1690" s="7" t="s">
        <v>149</v>
      </c>
      <c r="D1690" s="7" t="s">
        <v>4707</v>
      </c>
      <c r="E1690" s="6" t="s">
        <v>4708</v>
      </c>
      <c r="F1690" s="8"/>
      <c r="G1690" s="8"/>
      <c r="H1690" s="8"/>
    </row>
    <row r="1691" spans="1:8">
      <c r="A1691" s="6" t="s">
        <v>182</v>
      </c>
      <c r="B1691" s="7" t="s">
        <v>188</v>
      </c>
      <c r="C1691" s="7" t="s">
        <v>149</v>
      </c>
      <c r="D1691" s="7" t="s">
        <v>4709</v>
      </c>
      <c r="E1691" s="6" t="s">
        <v>4710</v>
      </c>
      <c r="F1691" s="8" t="s">
        <v>6939</v>
      </c>
      <c r="G1691" s="8" t="s">
        <v>6929</v>
      </c>
      <c r="H1691" s="8" t="s">
        <v>6986</v>
      </c>
    </row>
    <row r="1692" spans="1:8">
      <c r="A1692" s="6" t="s">
        <v>182</v>
      </c>
      <c r="B1692" s="7" t="s">
        <v>188</v>
      </c>
      <c r="C1692" s="7" t="s">
        <v>149</v>
      </c>
      <c r="D1692" s="7" t="s">
        <v>4711</v>
      </c>
      <c r="E1692" s="6"/>
      <c r="F1692" s="8" t="s">
        <v>6939</v>
      </c>
      <c r="G1692" s="8" t="s">
        <v>6929</v>
      </c>
      <c r="H1692" s="8" t="s">
        <v>6986</v>
      </c>
    </row>
    <row r="1693" spans="1:8">
      <c r="A1693" s="6" t="s">
        <v>182</v>
      </c>
      <c r="B1693" s="7" t="s">
        <v>4713</v>
      </c>
      <c r="C1693" s="7" t="s">
        <v>135</v>
      </c>
      <c r="D1693" s="7" t="s">
        <v>4714</v>
      </c>
      <c r="E1693" s="6" t="s">
        <v>4715</v>
      </c>
      <c r="F1693" s="8"/>
      <c r="G1693" s="8"/>
      <c r="H1693" s="8"/>
    </row>
    <row r="1694" spans="1:8">
      <c r="A1694" s="6" t="s">
        <v>182</v>
      </c>
      <c r="B1694" s="7" t="s">
        <v>4716</v>
      </c>
      <c r="C1694" s="7" t="s">
        <v>4716</v>
      </c>
      <c r="D1694" s="7" t="s">
        <v>4717</v>
      </c>
      <c r="E1694" s="6" t="s">
        <v>2331</v>
      </c>
      <c r="F1694" s="8"/>
      <c r="G1694" s="8"/>
      <c r="H1694" s="8"/>
    </row>
    <row r="1695" spans="1:8">
      <c r="A1695" s="6" t="s">
        <v>182</v>
      </c>
      <c r="B1695" s="7" t="s">
        <v>4718</v>
      </c>
      <c r="C1695" s="7" t="s">
        <v>4718</v>
      </c>
      <c r="D1695" s="7" t="s">
        <v>4719</v>
      </c>
      <c r="E1695" s="6" t="s">
        <v>4720</v>
      </c>
      <c r="F1695" s="8"/>
      <c r="G1695" s="8"/>
      <c r="H1695" s="8"/>
    </row>
    <row r="1696" spans="1:8">
      <c r="A1696" s="6" t="s">
        <v>182</v>
      </c>
      <c r="B1696" s="7" t="s">
        <v>4721</v>
      </c>
      <c r="C1696" s="7" t="s">
        <v>4722</v>
      </c>
      <c r="D1696" s="7" t="s">
        <v>4723</v>
      </c>
      <c r="E1696" s="6" t="s">
        <v>4724</v>
      </c>
      <c r="F1696" s="8"/>
      <c r="G1696" s="8"/>
      <c r="H1696" s="8"/>
    </row>
    <row r="1697" spans="1:8">
      <c r="A1697" s="6" t="s">
        <v>182</v>
      </c>
      <c r="B1697" s="7" t="s">
        <v>4718</v>
      </c>
      <c r="C1697" s="7" t="s">
        <v>4718</v>
      </c>
      <c r="D1697" s="7" t="s">
        <v>4725</v>
      </c>
      <c r="E1697" s="6" t="s">
        <v>4726</v>
      </c>
      <c r="F1697" s="8"/>
      <c r="G1697" s="8"/>
      <c r="H1697" s="8"/>
    </row>
    <row r="1698" spans="1:8">
      <c r="A1698" s="6" t="s">
        <v>182</v>
      </c>
      <c r="B1698" s="7" t="s">
        <v>4727</v>
      </c>
      <c r="C1698" s="7" t="s">
        <v>988</v>
      </c>
      <c r="D1698" s="7" t="s">
        <v>4728</v>
      </c>
      <c r="E1698" s="6" t="s">
        <v>1333</v>
      </c>
      <c r="F1698" s="8" t="s">
        <v>6984</v>
      </c>
      <c r="G1698" s="8" t="s">
        <v>6929</v>
      </c>
      <c r="H1698" s="8" t="s">
        <v>6985</v>
      </c>
    </row>
    <row r="1699" spans="1:8">
      <c r="A1699" s="6" t="s">
        <v>182</v>
      </c>
      <c r="B1699" s="7" t="s">
        <v>988</v>
      </c>
      <c r="C1699" s="7" t="s">
        <v>988</v>
      </c>
      <c r="D1699" s="7" t="s">
        <v>4729</v>
      </c>
      <c r="E1699" s="6" t="s">
        <v>4730</v>
      </c>
      <c r="F1699" s="8"/>
      <c r="G1699" s="8"/>
      <c r="H1699" s="8"/>
    </row>
    <row r="1700" spans="1:8">
      <c r="A1700" s="6" t="s">
        <v>182</v>
      </c>
      <c r="B1700" s="7" t="s">
        <v>988</v>
      </c>
      <c r="C1700" s="7" t="s">
        <v>988</v>
      </c>
      <c r="D1700" s="7" t="s">
        <v>4731</v>
      </c>
      <c r="E1700" s="6" t="s">
        <v>4732</v>
      </c>
      <c r="F1700" s="8" t="s">
        <v>6989</v>
      </c>
      <c r="G1700" s="8" t="s">
        <v>6929</v>
      </c>
      <c r="H1700" s="8" t="s">
        <v>6990</v>
      </c>
    </row>
    <row r="1701" spans="1:8">
      <c r="A1701" s="6" t="s">
        <v>182</v>
      </c>
      <c r="B1701" s="7" t="s">
        <v>4733</v>
      </c>
      <c r="C1701" s="7" t="s">
        <v>4733</v>
      </c>
      <c r="D1701" s="7" t="s">
        <v>4734</v>
      </c>
      <c r="E1701" s="6" t="s">
        <v>4735</v>
      </c>
      <c r="F1701" s="8"/>
      <c r="G1701" s="8"/>
      <c r="H1701" s="8"/>
    </row>
    <row r="1702" spans="1:8">
      <c r="A1702" s="6" t="s">
        <v>182</v>
      </c>
      <c r="B1702" s="7" t="s">
        <v>108</v>
      </c>
      <c r="C1702" s="7" t="s">
        <v>108</v>
      </c>
      <c r="D1702" s="7" t="s">
        <v>4736</v>
      </c>
      <c r="E1702" s="6" t="s">
        <v>4737</v>
      </c>
      <c r="F1702" s="8"/>
      <c r="G1702" s="8"/>
      <c r="H1702" s="8"/>
    </row>
    <row r="1703" spans="1:8">
      <c r="A1703" s="6" t="s">
        <v>182</v>
      </c>
      <c r="B1703" s="7" t="s">
        <v>609</v>
      </c>
      <c r="C1703" s="7" t="s">
        <v>217</v>
      </c>
      <c r="D1703" s="7" t="s">
        <v>4738</v>
      </c>
      <c r="E1703" s="6" t="s">
        <v>4739</v>
      </c>
      <c r="F1703" s="8"/>
      <c r="G1703" s="8"/>
      <c r="H1703" s="8"/>
    </row>
    <row r="1704" spans="1:8">
      <c r="A1704" s="6" t="s">
        <v>182</v>
      </c>
      <c r="B1704" s="7" t="s">
        <v>609</v>
      </c>
      <c r="C1704" s="7" t="s">
        <v>217</v>
      </c>
      <c r="D1704" s="7" t="s">
        <v>4740</v>
      </c>
      <c r="E1704" s="6" t="s">
        <v>4741</v>
      </c>
      <c r="F1704" s="8"/>
      <c r="G1704" s="8"/>
      <c r="H1704" s="8"/>
    </row>
    <row r="1705" spans="1:8">
      <c r="A1705" s="6" t="s">
        <v>182</v>
      </c>
      <c r="B1705" s="7" t="s">
        <v>1131</v>
      </c>
      <c r="C1705" s="7" t="s">
        <v>1131</v>
      </c>
      <c r="D1705" s="7" t="s">
        <v>4742</v>
      </c>
      <c r="E1705" s="6" t="s">
        <v>4743</v>
      </c>
      <c r="F1705" s="8"/>
      <c r="G1705" s="8"/>
      <c r="H1705" s="8"/>
    </row>
    <row r="1706" spans="1:8">
      <c r="A1706" s="6" t="s">
        <v>182</v>
      </c>
      <c r="B1706" s="7" t="s">
        <v>3032</v>
      </c>
      <c r="C1706" s="7" t="s">
        <v>3032</v>
      </c>
      <c r="D1706" s="7" t="s">
        <v>4744</v>
      </c>
      <c r="E1706" s="6" t="s">
        <v>4745</v>
      </c>
      <c r="F1706" s="8"/>
      <c r="G1706" s="8"/>
      <c r="H1706" s="8"/>
    </row>
    <row r="1707" spans="1:8">
      <c r="A1707" s="6" t="s">
        <v>2508</v>
      </c>
      <c r="B1707" s="7" t="s">
        <v>2509</v>
      </c>
      <c r="C1707" s="7" t="s">
        <v>2509</v>
      </c>
      <c r="D1707" s="7" t="s">
        <v>2510</v>
      </c>
      <c r="E1707" s="6" t="s">
        <v>2511</v>
      </c>
      <c r="F1707" s="8"/>
      <c r="G1707" s="8"/>
      <c r="H1707" s="8"/>
    </row>
    <row r="1708" spans="1:8">
      <c r="A1708" s="6" t="s">
        <v>11</v>
      </c>
      <c r="B1708" s="7" t="s">
        <v>9</v>
      </c>
      <c r="C1708" s="7" t="s">
        <v>9</v>
      </c>
      <c r="D1708" s="7" t="s">
        <v>12</v>
      </c>
      <c r="E1708" s="6" t="s">
        <v>13</v>
      </c>
      <c r="F1708" s="8"/>
      <c r="G1708" s="8"/>
      <c r="H1708" s="8"/>
    </row>
    <row r="1709" spans="1:8">
      <c r="A1709" s="6" t="s">
        <v>11</v>
      </c>
      <c r="B1709" s="7" t="s">
        <v>9</v>
      </c>
      <c r="C1709" s="7" t="s">
        <v>9</v>
      </c>
      <c r="D1709" s="7" t="s">
        <v>14</v>
      </c>
      <c r="E1709" s="6" t="s">
        <v>15</v>
      </c>
      <c r="F1709" s="8"/>
      <c r="G1709" s="8"/>
      <c r="H1709" s="8"/>
    </row>
    <row r="1710" spans="1:8">
      <c r="A1710" s="6" t="s">
        <v>11</v>
      </c>
      <c r="B1710" s="7" t="s">
        <v>9</v>
      </c>
      <c r="C1710" s="7" t="s">
        <v>9</v>
      </c>
      <c r="D1710" s="7" t="s">
        <v>16</v>
      </c>
      <c r="E1710" s="6" t="s">
        <v>17</v>
      </c>
      <c r="F1710" s="8"/>
      <c r="G1710" s="8"/>
      <c r="H1710" s="8"/>
    </row>
    <row r="1711" spans="1:8">
      <c r="A1711" s="6" t="s">
        <v>11</v>
      </c>
      <c r="B1711" s="7" t="s">
        <v>9</v>
      </c>
      <c r="C1711" s="7" t="s">
        <v>9</v>
      </c>
      <c r="D1711" s="7" t="s">
        <v>18</v>
      </c>
      <c r="E1711" s="6" t="s">
        <v>19</v>
      </c>
      <c r="F1711" s="8"/>
      <c r="G1711" s="8"/>
      <c r="H1711" s="8"/>
    </row>
    <row r="1712" spans="1:8">
      <c r="A1712" s="6" t="s">
        <v>11</v>
      </c>
      <c r="B1712" s="7" t="s">
        <v>9</v>
      </c>
      <c r="C1712" s="7" t="s">
        <v>9</v>
      </c>
      <c r="D1712" s="7" t="s">
        <v>20</v>
      </c>
      <c r="E1712" s="6" t="s">
        <v>21</v>
      </c>
      <c r="F1712" s="8"/>
      <c r="G1712" s="8"/>
      <c r="H1712" s="8"/>
    </row>
    <row r="1713" spans="1:8">
      <c r="A1713" s="6" t="s">
        <v>334</v>
      </c>
      <c r="B1713" s="7" t="s">
        <v>335</v>
      </c>
      <c r="C1713" s="7" t="s">
        <v>336</v>
      </c>
      <c r="D1713" s="7" t="s">
        <v>337</v>
      </c>
      <c r="E1713" s="6" t="s">
        <v>338</v>
      </c>
      <c r="F1713" s="8"/>
      <c r="G1713" s="8"/>
      <c r="H1713" s="8"/>
    </row>
    <row r="1714" spans="1:8">
      <c r="A1714" s="6" t="s">
        <v>334</v>
      </c>
      <c r="B1714" s="7" t="s">
        <v>9</v>
      </c>
      <c r="C1714" s="7" t="s">
        <v>1026</v>
      </c>
      <c r="D1714" s="7" t="s">
        <v>1027</v>
      </c>
      <c r="E1714" s="6" t="s">
        <v>1028</v>
      </c>
      <c r="F1714" s="8"/>
      <c r="G1714" s="8"/>
      <c r="H1714" s="8"/>
    </row>
    <row r="1715" spans="1:8">
      <c r="A1715" s="6" t="s">
        <v>334</v>
      </c>
      <c r="B1715" s="7" t="s">
        <v>9</v>
      </c>
      <c r="C1715" s="7" t="s">
        <v>429</v>
      </c>
      <c r="D1715" s="7" t="s">
        <v>3258</v>
      </c>
      <c r="E1715" s="6" t="s">
        <v>3259</v>
      </c>
      <c r="F1715" s="8"/>
      <c r="G1715" s="8"/>
      <c r="H1715" s="8"/>
    </row>
    <row r="1716" spans="1:8">
      <c r="A1716" s="6" t="s">
        <v>334</v>
      </c>
      <c r="B1716" s="7" t="s">
        <v>9</v>
      </c>
      <c r="C1716" s="7" t="s">
        <v>3260</v>
      </c>
      <c r="D1716" s="7" t="s">
        <v>3261</v>
      </c>
      <c r="E1716" s="6" t="s">
        <v>3262</v>
      </c>
      <c r="F1716" s="8"/>
      <c r="G1716" s="8"/>
      <c r="H1716" s="8"/>
    </row>
    <row r="1717" spans="1:8">
      <c r="A1717" s="6" t="s">
        <v>334</v>
      </c>
      <c r="B1717" s="7" t="s">
        <v>9</v>
      </c>
      <c r="C1717" s="7" t="s">
        <v>3260</v>
      </c>
      <c r="D1717" s="7" t="s">
        <v>3263</v>
      </c>
      <c r="E1717" s="6" t="s">
        <v>3264</v>
      </c>
      <c r="F1717" s="8"/>
      <c r="G1717" s="8"/>
      <c r="H1717" s="8"/>
    </row>
    <row r="1718" spans="1:8">
      <c r="A1718" s="6" t="s">
        <v>334</v>
      </c>
      <c r="B1718" s="7" t="s">
        <v>3265</v>
      </c>
      <c r="C1718" s="7" t="s">
        <v>1240</v>
      </c>
      <c r="D1718" s="7" t="s">
        <v>3266</v>
      </c>
      <c r="E1718" s="6" t="s">
        <v>3267</v>
      </c>
      <c r="F1718" s="8"/>
      <c r="G1718" s="8"/>
      <c r="H1718" s="8"/>
    </row>
    <row r="1719" spans="1:8">
      <c r="A1719" s="6" t="s">
        <v>334</v>
      </c>
      <c r="B1719" s="7" t="s">
        <v>9</v>
      </c>
      <c r="C1719" s="7" t="s">
        <v>3104</v>
      </c>
      <c r="D1719" s="7" t="s">
        <v>3268</v>
      </c>
      <c r="E1719" s="6" t="s">
        <v>3269</v>
      </c>
      <c r="F1719" s="8"/>
      <c r="G1719" s="8"/>
      <c r="H1719" s="8"/>
    </row>
    <row r="1720" spans="1:8">
      <c r="A1720" s="6" t="s">
        <v>334</v>
      </c>
      <c r="B1720" s="7" t="s">
        <v>9</v>
      </c>
      <c r="C1720" s="7" t="s">
        <v>3104</v>
      </c>
      <c r="D1720" s="7" t="s">
        <v>3270</v>
      </c>
      <c r="E1720" s="6" t="s">
        <v>3271</v>
      </c>
      <c r="F1720" s="8"/>
      <c r="G1720" s="8"/>
      <c r="H1720" s="8"/>
    </row>
    <row r="1721" spans="1:8">
      <c r="A1721" s="6" t="s">
        <v>334</v>
      </c>
      <c r="B1721" s="7" t="s">
        <v>9</v>
      </c>
      <c r="C1721" s="7" t="s">
        <v>1026</v>
      </c>
      <c r="D1721" s="7" t="s">
        <v>3272</v>
      </c>
      <c r="E1721" s="6" t="s">
        <v>3273</v>
      </c>
      <c r="F1721" s="8"/>
      <c r="G1721" s="8"/>
      <c r="H1721" s="8"/>
    </row>
    <row r="1722" spans="1:8">
      <c r="A1722" s="6" t="s">
        <v>334</v>
      </c>
      <c r="B1722" s="7" t="s">
        <v>9</v>
      </c>
      <c r="C1722" s="7" t="s">
        <v>3274</v>
      </c>
      <c r="D1722" s="7" t="s">
        <v>3275</v>
      </c>
      <c r="E1722" s="6" t="s">
        <v>3276</v>
      </c>
      <c r="F1722" s="8"/>
      <c r="G1722" s="8"/>
      <c r="H1722" s="8"/>
    </row>
    <row r="1723" spans="1:8">
      <c r="A1723" s="6" t="s">
        <v>334</v>
      </c>
      <c r="B1723" s="7" t="s">
        <v>9</v>
      </c>
      <c r="C1723" s="7" t="s">
        <v>1026</v>
      </c>
      <c r="D1723" s="7" t="s">
        <v>3277</v>
      </c>
      <c r="E1723" s="6" t="s">
        <v>3278</v>
      </c>
      <c r="F1723" s="8"/>
      <c r="G1723" s="8"/>
      <c r="H1723" s="8"/>
    </row>
    <row r="1724" spans="1:8">
      <c r="A1724" s="6" t="s">
        <v>334</v>
      </c>
      <c r="B1724" s="7" t="s">
        <v>9</v>
      </c>
      <c r="C1724" s="7" t="s">
        <v>1026</v>
      </c>
      <c r="D1724" s="7" t="s">
        <v>3280</v>
      </c>
      <c r="E1724" s="6" t="s">
        <v>2186</v>
      </c>
      <c r="F1724" s="8" t="s">
        <v>6931</v>
      </c>
      <c r="G1724" s="8" t="s">
        <v>6999</v>
      </c>
      <c r="H1724" s="8" t="s">
        <v>6954</v>
      </c>
    </row>
    <row r="1725" spans="1:8">
      <c r="A1725" s="6" t="s">
        <v>334</v>
      </c>
      <c r="B1725" s="7" t="s">
        <v>9</v>
      </c>
      <c r="C1725" s="7" t="s">
        <v>1026</v>
      </c>
      <c r="D1725" s="7" t="s">
        <v>3281</v>
      </c>
      <c r="E1725" s="6" t="s">
        <v>3282</v>
      </c>
      <c r="F1725" s="8"/>
      <c r="G1725" s="8"/>
      <c r="H1725" s="8"/>
    </row>
    <row r="1726" spans="1:8">
      <c r="A1726" s="6" t="s">
        <v>334</v>
      </c>
      <c r="B1726" s="7" t="s">
        <v>9</v>
      </c>
      <c r="C1726" s="7" t="s">
        <v>1026</v>
      </c>
      <c r="D1726" s="7" t="s">
        <v>3283</v>
      </c>
      <c r="E1726" s="6" t="s">
        <v>3284</v>
      </c>
      <c r="F1726" s="8"/>
      <c r="G1726" s="8"/>
      <c r="H1726" s="8"/>
    </row>
    <row r="1727" spans="1:8">
      <c r="A1727" s="6" t="s">
        <v>334</v>
      </c>
      <c r="B1727" s="7" t="s">
        <v>9</v>
      </c>
      <c r="C1727" s="7" t="s">
        <v>1026</v>
      </c>
      <c r="D1727" s="7" t="s">
        <v>3285</v>
      </c>
      <c r="E1727" s="6" t="s">
        <v>2666</v>
      </c>
      <c r="F1727" s="8"/>
      <c r="G1727" s="8"/>
      <c r="H1727" s="8"/>
    </row>
    <row r="1728" spans="1:8">
      <c r="A1728" s="6" t="s">
        <v>334</v>
      </c>
      <c r="B1728" s="7" t="s">
        <v>9</v>
      </c>
      <c r="C1728" s="7" t="s">
        <v>1026</v>
      </c>
      <c r="D1728" s="7" t="s">
        <v>3286</v>
      </c>
      <c r="E1728" s="6" t="s">
        <v>3287</v>
      </c>
      <c r="F1728" s="8"/>
      <c r="G1728" s="8"/>
      <c r="H1728" s="8"/>
    </row>
    <row r="1729" spans="1:9">
      <c r="A1729" s="6" t="s">
        <v>334</v>
      </c>
      <c r="B1729" s="7" t="s">
        <v>9</v>
      </c>
      <c r="C1729" s="7" t="s">
        <v>429</v>
      </c>
      <c r="D1729" s="7" t="s">
        <v>3288</v>
      </c>
      <c r="E1729" s="6" t="s">
        <v>3289</v>
      </c>
      <c r="F1729" s="8" t="s">
        <v>3334</v>
      </c>
      <c r="G1729" s="8" t="s">
        <v>6929</v>
      </c>
      <c r="H1729" s="8" t="s">
        <v>6930</v>
      </c>
    </row>
    <row r="1730" spans="1:9">
      <c r="A1730" s="6" t="s">
        <v>334</v>
      </c>
      <c r="B1730" s="7" t="s">
        <v>9</v>
      </c>
      <c r="C1730" s="7" t="s">
        <v>3274</v>
      </c>
      <c r="D1730" s="7" t="s">
        <v>3290</v>
      </c>
      <c r="E1730" s="6" t="s">
        <v>269</v>
      </c>
      <c r="F1730" s="8"/>
      <c r="G1730" s="8"/>
      <c r="H1730" s="8"/>
    </row>
    <row r="1731" spans="1:9">
      <c r="A1731" s="6" t="s">
        <v>334</v>
      </c>
      <c r="B1731" s="7" t="s">
        <v>9</v>
      </c>
      <c r="C1731" s="7" t="s">
        <v>1695</v>
      </c>
      <c r="D1731" s="7" t="s">
        <v>3291</v>
      </c>
      <c r="E1731" s="6" t="s">
        <v>3292</v>
      </c>
      <c r="F1731" s="8" t="s">
        <v>3334</v>
      </c>
      <c r="G1731" s="8" t="s">
        <v>6926</v>
      </c>
      <c r="H1731" s="8" t="s">
        <v>6927</v>
      </c>
      <c r="I1731" t="s">
        <v>6925</v>
      </c>
    </row>
    <row r="1732" spans="1:9">
      <c r="A1732" s="6" t="s">
        <v>334</v>
      </c>
      <c r="B1732" s="7" t="s">
        <v>9</v>
      </c>
      <c r="C1732" s="7" t="s">
        <v>1695</v>
      </c>
      <c r="D1732" s="7" t="s">
        <v>3293</v>
      </c>
      <c r="E1732" s="6" t="s">
        <v>3294</v>
      </c>
      <c r="F1732" s="8" t="s">
        <v>6931</v>
      </c>
      <c r="G1732" s="8" t="s">
        <v>6926</v>
      </c>
      <c r="H1732" s="8" t="s">
        <v>6932</v>
      </c>
      <c r="I1732" t="s">
        <v>6928</v>
      </c>
    </row>
    <row r="1733" spans="1:9">
      <c r="A1733" s="6" t="s">
        <v>334</v>
      </c>
      <c r="B1733" s="7" t="s">
        <v>9</v>
      </c>
      <c r="C1733" s="7" t="s">
        <v>1695</v>
      </c>
      <c r="D1733" s="7" t="s">
        <v>3295</v>
      </c>
      <c r="E1733" s="6" t="s">
        <v>3296</v>
      </c>
      <c r="F1733" s="8"/>
      <c r="G1733" s="8"/>
      <c r="H1733" s="8"/>
      <c r="I1733" t="s">
        <v>6928</v>
      </c>
    </row>
    <row r="1734" spans="1:9">
      <c r="A1734" s="6" t="s">
        <v>2165</v>
      </c>
      <c r="B1734" s="7" t="s">
        <v>1649</v>
      </c>
      <c r="C1734" s="7" t="s">
        <v>264</v>
      </c>
      <c r="D1734" s="7" t="s">
        <v>2166</v>
      </c>
      <c r="E1734" s="6" t="s">
        <v>2167</v>
      </c>
      <c r="F1734" s="8"/>
      <c r="G1734" s="8"/>
      <c r="H1734" s="8"/>
      <c r="I1734" t="s">
        <v>6933</v>
      </c>
    </row>
    <row r="1735" spans="1:9">
      <c r="A1735" s="6" t="s">
        <v>2165</v>
      </c>
      <c r="B1735" s="7" t="s">
        <v>1649</v>
      </c>
      <c r="C1735" s="7" t="s">
        <v>264</v>
      </c>
      <c r="D1735" s="7" t="s">
        <v>2168</v>
      </c>
      <c r="E1735" s="6" t="s">
        <v>2169</v>
      </c>
      <c r="F1735" s="8"/>
      <c r="G1735" s="8"/>
      <c r="H1735" s="8"/>
    </row>
    <row r="1736" spans="1:9">
      <c r="A1736" s="6" t="s">
        <v>2165</v>
      </c>
      <c r="B1736" s="7" t="s">
        <v>1649</v>
      </c>
      <c r="C1736" s="7" t="s">
        <v>264</v>
      </c>
      <c r="D1736" s="7" t="s">
        <v>2170</v>
      </c>
      <c r="E1736" s="6" t="s">
        <v>2158</v>
      </c>
      <c r="F1736" s="8"/>
      <c r="G1736" s="8"/>
      <c r="H1736" s="8"/>
    </row>
    <row r="1737" spans="1:9">
      <c r="A1737" s="6" t="s">
        <v>2165</v>
      </c>
      <c r="B1737" s="7" t="s">
        <v>1649</v>
      </c>
      <c r="C1737" s="7" t="s">
        <v>264</v>
      </c>
      <c r="D1737" s="7" t="s">
        <v>2171</v>
      </c>
      <c r="E1737" s="6" t="s">
        <v>2172</v>
      </c>
      <c r="F1737" s="8"/>
      <c r="G1737" s="8"/>
      <c r="H1737" s="8"/>
    </row>
    <row r="1738" spans="1:9">
      <c r="A1738" s="6" t="s">
        <v>209</v>
      </c>
      <c r="B1738" s="7" t="s">
        <v>9</v>
      </c>
      <c r="C1738" s="7" t="s">
        <v>9</v>
      </c>
      <c r="D1738" s="7" t="s">
        <v>210</v>
      </c>
      <c r="E1738" s="6" t="s">
        <v>211</v>
      </c>
      <c r="F1738" s="8"/>
      <c r="G1738" s="8"/>
      <c r="H1738" s="8"/>
    </row>
    <row r="1739" spans="1:9">
      <c r="A1739" s="6" t="s">
        <v>209</v>
      </c>
      <c r="B1739" s="7" t="s">
        <v>9</v>
      </c>
      <c r="C1739" s="7" t="s">
        <v>9</v>
      </c>
      <c r="D1739" s="7" t="s">
        <v>1225</v>
      </c>
      <c r="E1739" s="6" t="s">
        <v>211</v>
      </c>
      <c r="F1739" s="8"/>
      <c r="G1739" s="8"/>
      <c r="H1739" s="8"/>
    </row>
    <row r="1740" spans="1:9">
      <c r="A1740" s="6" t="s">
        <v>4690</v>
      </c>
      <c r="B1740" s="7" t="s">
        <v>9</v>
      </c>
      <c r="C1740" s="7" t="s">
        <v>9</v>
      </c>
      <c r="D1740" s="7" t="s">
        <v>4691</v>
      </c>
      <c r="E1740" s="6" t="s">
        <v>4692</v>
      </c>
      <c r="F1740" s="8"/>
      <c r="G1740" s="8"/>
      <c r="H1740" s="8"/>
    </row>
    <row r="1741" spans="1:9">
      <c r="A1741" s="6" t="s">
        <v>2685</v>
      </c>
      <c r="B1741" s="7" t="s">
        <v>2686</v>
      </c>
      <c r="C1741" s="7" t="s">
        <v>2686</v>
      </c>
      <c r="D1741" s="7" t="s">
        <v>2687</v>
      </c>
      <c r="E1741" s="6" t="s">
        <v>2688</v>
      </c>
      <c r="F1741" s="8"/>
      <c r="G1741" s="8"/>
      <c r="H1741" s="8"/>
    </row>
    <row r="1742" spans="1:9">
      <c r="A1742" s="6" t="s">
        <v>2685</v>
      </c>
      <c r="B1742" s="7" t="s">
        <v>2689</v>
      </c>
      <c r="C1742" s="7" t="s">
        <v>2689</v>
      </c>
      <c r="D1742" s="7" t="s">
        <v>2690</v>
      </c>
      <c r="E1742" s="6" t="s">
        <v>2691</v>
      </c>
      <c r="F1742" s="8"/>
      <c r="G1742" s="8"/>
      <c r="H1742" s="8"/>
    </row>
    <row r="1743" spans="1:9">
      <c r="A1743" s="6" t="s">
        <v>2685</v>
      </c>
      <c r="B1743" s="7" t="s">
        <v>2692</v>
      </c>
      <c r="C1743" s="7" t="s">
        <v>2692</v>
      </c>
      <c r="D1743" s="7" t="s">
        <v>2693</v>
      </c>
      <c r="E1743" s="6" t="s">
        <v>2694</v>
      </c>
      <c r="F1743" s="8" t="s">
        <v>6934</v>
      </c>
      <c r="G1743" s="8" t="s">
        <v>6929</v>
      </c>
      <c r="H1743" s="8" t="s">
        <v>6935</v>
      </c>
    </row>
    <row r="1744" spans="1:9">
      <c r="A1744" s="6" t="s">
        <v>2685</v>
      </c>
      <c r="B1744" s="7" t="s">
        <v>2692</v>
      </c>
      <c r="C1744" s="7" t="s">
        <v>2692</v>
      </c>
      <c r="D1744" s="7" t="s">
        <v>2695</v>
      </c>
      <c r="E1744" s="6" t="s">
        <v>2696</v>
      </c>
      <c r="F1744" s="8" t="s">
        <v>6934</v>
      </c>
      <c r="G1744" s="8" t="s">
        <v>6929</v>
      </c>
      <c r="H1744" s="8" t="s">
        <v>6935</v>
      </c>
    </row>
    <row r="1745" spans="1:8">
      <c r="A1745" s="6" t="s">
        <v>1977</v>
      </c>
      <c r="B1745" s="7" t="s">
        <v>9</v>
      </c>
      <c r="C1745" s="7" t="s">
        <v>9</v>
      </c>
      <c r="D1745" s="7" t="s">
        <v>1978</v>
      </c>
      <c r="E1745" s="6" t="s">
        <v>1979</v>
      </c>
      <c r="F1745" s="8"/>
      <c r="G1745" s="8"/>
      <c r="H1745" s="8"/>
    </row>
    <row r="1746" spans="1:8">
      <c r="A1746" s="6" t="s">
        <v>2294</v>
      </c>
      <c r="B1746" s="7" t="s">
        <v>9</v>
      </c>
      <c r="C1746" s="7" t="s">
        <v>1512</v>
      </c>
      <c r="D1746" s="7" t="s">
        <v>2295</v>
      </c>
      <c r="E1746" s="6" t="s">
        <v>2296</v>
      </c>
      <c r="F1746" s="8"/>
      <c r="G1746" s="8"/>
      <c r="H1746" s="8"/>
    </row>
    <row r="1747" spans="1:8">
      <c r="A1747" s="6" t="s">
        <v>2294</v>
      </c>
      <c r="B1747" s="7" t="s">
        <v>9</v>
      </c>
      <c r="C1747" s="7" t="s">
        <v>1512</v>
      </c>
      <c r="D1747" s="7" t="s">
        <v>2297</v>
      </c>
      <c r="E1747" s="6" t="s">
        <v>2298</v>
      </c>
      <c r="F1747" s="8"/>
      <c r="G1747" s="8"/>
      <c r="H1747" s="8"/>
    </row>
    <row r="1748" spans="1:8">
      <c r="A1748" s="6" t="s">
        <v>2294</v>
      </c>
      <c r="B1748" s="7" t="s">
        <v>9</v>
      </c>
      <c r="C1748" s="7" t="s">
        <v>1512</v>
      </c>
      <c r="D1748" s="7" t="s">
        <v>2299</v>
      </c>
      <c r="E1748" s="6" t="s">
        <v>2300</v>
      </c>
      <c r="F1748" s="8"/>
      <c r="G1748" s="8"/>
      <c r="H1748" s="8"/>
    </row>
    <row r="1749" spans="1:8">
      <c r="A1749" s="6" t="s">
        <v>4397</v>
      </c>
      <c r="B1749" s="7" t="s">
        <v>4398</v>
      </c>
      <c r="C1749" s="7" t="s">
        <v>4398</v>
      </c>
      <c r="D1749" s="7" t="s">
        <v>4399</v>
      </c>
      <c r="E1749" s="6" t="s">
        <v>62</v>
      </c>
      <c r="F1749" s="8"/>
      <c r="G1749" s="8"/>
      <c r="H1749" s="8"/>
    </row>
    <row r="1750" spans="1:8">
      <c r="A1750" s="6" t="s">
        <v>451</v>
      </c>
      <c r="B1750" s="7" t="s">
        <v>452</v>
      </c>
      <c r="C1750" s="7" t="s">
        <v>452</v>
      </c>
      <c r="D1750" s="7" t="s">
        <v>453</v>
      </c>
      <c r="E1750" s="6" t="s">
        <v>454</v>
      </c>
      <c r="F1750" s="8"/>
      <c r="G1750" s="8"/>
      <c r="H1750" s="8"/>
    </row>
    <row r="1751" spans="1:8">
      <c r="A1751" s="6" t="s">
        <v>451</v>
      </c>
      <c r="B1751" s="7" t="s">
        <v>802</v>
      </c>
      <c r="C1751" s="7" t="s">
        <v>802</v>
      </c>
      <c r="D1751" s="7" t="s">
        <v>803</v>
      </c>
      <c r="E1751" s="6" t="s">
        <v>804</v>
      </c>
      <c r="F1751" s="8"/>
      <c r="G1751" s="8"/>
      <c r="H1751" s="8"/>
    </row>
    <row r="1752" spans="1:8">
      <c r="A1752" s="6" t="s">
        <v>451</v>
      </c>
      <c r="B1752" s="7" t="s">
        <v>1152</v>
      </c>
      <c r="C1752" s="7" t="s">
        <v>1152</v>
      </c>
      <c r="D1752" s="7" t="s">
        <v>1153</v>
      </c>
      <c r="E1752" s="6" t="s">
        <v>1154</v>
      </c>
      <c r="F1752" s="8" t="s">
        <v>6931</v>
      </c>
      <c r="G1752" s="8" t="s">
        <v>6929</v>
      </c>
      <c r="H1752" s="8" t="s">
        <v>7169</v>
      </c>
    </row>
    <row r="1753" spans="1:8">
      <c r="A1753" s="6" t="s">
        <v>451</v>
      </c>
      <c r="B1753" s="7" t="s">
        <v>452</v>
      </c>
      <c r="C1753" s="7" t="s">
        <v>452</v>
      </c>
      <c r="D1753" s="7" t="s">
        <v>1193</v>
      </c>
      <c r="E1753" s="6" t="s">
        <v>1194</v>
      </c>
      <c r="F1753" s="8"/>
      <c r="G1753" s="8"/>
      <c r="H1753" s="8"/>
    </row>
    <row r="1754" spans="1:8">
      <c r="A1754" s="6" t="s">
        <v>451</v>
      </c>
      <c r="B1754" s="7" t="s">
        <v>188</v>
      </c>
      <c r="C1754" s="7" t="s">
        <v>149</v>
      </c>
      <c r="D1754" s="7" t="s">
        <v>1290</v>
      </c>
      <c r="E1754" s="6" t="s">
        <v>1291</v>
      </c>
      <c r="F1754" s="8" t="s">
        <v>6939</v>
      </c>
      <c r="G1754" s="8" t="s">
        <v>6929</v>
      </c>
      <c r="H1754" s="8" t="s">
        <v>6927</v>
      </c>
    </row>
    <row r="1755" spans="1:8">
      <c r="A1755" s="6" t="s">
        <v>451</v>
      </c>
      <c r="B1755" s="7" t="s">
        <v>452</v>
      </c>
      <c r="C1755" s="7" t="s">
        <v>452</v>
      </c>
      <c r="D1755" s="7" t="s">
        <v>1536</v>
      </c>
      <c r="E1755" s="6" t="s">
        <v>517</v>
      </c>
      <c r="F1755" s="8"/>
      <c r="G1755" s="8"/>
      <c r="H1755" s="8"/>
    </row>
    <row r="1756" spans="1:8">
      <c r="A1756" s="6" t="s">
        <v>451</v>
      </c>
      <c r="B1756" s="7" t="s">
        <v>264</v>
      </c>
      <c r="C1756" s="7" t="s">
        <v>264</v>
      </c>
      <c r="D1756" s="7" t="s">
        <v>1761</v>
      </c>
      <c r="E1756" s="6" t="s">
        <v>1762</v>
      </c>
      <c r="F1756" s="8" t="s">
        <v>5162</v>
      </c>
      <c r="G1756" s="8" t="s">
        <v>6929</v>
      </c>
      <c r="H1756" s="8" t="s">
        <v>6932</v>
      </c>
    </row>
    <row r="1757" spans="1:8">
      <c r="A1757" s="6" t="s">
        <v>451</v>
      </c>
      <c r="B1757" s="7" t="s">
        <v>5952</v>
      </c>
      <c r="C1757" s="7" t="s">
        <v>5952</v>
      </c>
      <c r="D1757" s="7" t="s">
        <v>5953</v>
      </c>
      <c r="E1757" s="6" t="s">
        <v>1088</v>
      </c>
      <c r="F1757" s="8"/>
      <c r="G1757" s="8"/>
      <c r="H1757" s="8"/>
    </row>
    <row r="1758" spans="1:8">
      <c r="A1758" s="6" t="s">
        <v>451</v>
      </c>
      <c r="B1758" s="7" t="s">
        <v>5954</v>
      </c>
      <c r="C1758" s="7" t="s">
        <v>5955</v>
      </c>
      <c r="D1758" s="7" t="s">
        <v>5956</v>
      </c>
      <c r="E1758" s="6" t="s">
        <v>5957</v>
      </c>
      <c r="F1758" s="8"/>
      <c r="G1758" s="8"/>
      <c r="H1758" s="8"/>
    </row>
    <row r="1759" spans="1:8">
      <c r="A1759" s="6" t="s">
        <v>451</v>
      </c>
      <c r="B1759" s="7" t="s">
        <v>3780</v>
      </c>
      <c r="C1759" s="7" t="s">
        <v>3780</v>
      </c>
      <c r="D1759" s="7" t="s">
        <v>5958</v>
      </c>
      <c r="E1759" s="6" t="s">
        <v>2328</v>
      </c>
      <c r="F1759" s="8"/>
      <c r="G1759" s="8"/>
      <c r="H1759" s="8"/>
    </row>
    <row r="1760" spans="1:8">
      <c r="A1760" s="6" t="s">
        <v>451</v>
      </c>
      <c r="B1760" s="7" t="s">
        <v>74</v>
      </c>
      <c r="C1760" s="7" t="s">
        <v>74</v>
      </c>
      <c r="D1760" s="7" t="s">
        <v>5959</v>
      </c>
      <c r="E1760" s="6" t="s">
        <v>5960</v>
      </c>
      <c r="F1760" s="8"/>
      <c r="G1760" s="8"/>
      <c r="H1760" s="8"/>
    </row>
    <row r="1761" spans="1:8">
      <c r="A1761" s="6" t="s">
        <v>451</v>
      </c>
      <c r="B1761" s="7" t="s">
        <v>4716</v>
      </c>
      <c r="C1761" s="7" t="s">
        <v>4716</v>
      </c>
      <c r="D1761" s="7" t="s">
        <v>5961</v>
      </c>
      <c r="E1761" s="6" t="s">
        <v>5962</v>
      </c>
      <c r="F1761" s="8" t="s">
        <v>6943</v>
      </c>
      <c r="G1761" s="8" t="s">
        <v>6929</v>
      </c>
      <c r="H1761" s="8" t="s">
        <v>7279</v>
      </c>
    </row>
    <row r="1762" spans="1:8">
      <c r="A1762" s="6" t="s">
        <v>451</v>
      </c>
      <c r="B1762" s="7" t="s">
        <v>5963</v>
      </c>
      <c r="C1762" s="7" t="s">
        <v>5963</v>
      </c>
      <c r="D1762" s="7" t="s">
        <v>5964</v>
      </c>
      <c r="E1762" s="6" t="s">
        <v>5965</v>
      </c>
      <c r="F1762" s="8" t="s">
        <v>6957</v>
      </c>
      <c r="G1762" s="8" t="s">
        <v>6929</v>
      </c>
      <c r="H1762" s="8" t="s">
        <v>6951</v>
      </c>
    </row>
    <row r="1763" spans="1:8">
      <c r="A1763" s="6" t="s">
        <v>451</v>
      </c>
      <c r="B1763" s="7" t="s">
        <v>5966</v>
      </c>
      <c r="C1763" s="7" t="s">
        <v>757</v>
      </c>
      <c r="D1763" s="7" t="s">
        <v>5967</v>
      </c>
      <c r="E1763" s="6" t="s">
        <v>5968</v>
      </c>
      <c r="F1763" s="8" t="s">
        <v>6957</v>
      </c>
      <c r="G1763" s="8" t="s">
        <v>6929</v>
      </c>
      <c r="H1763" s="8" t="s">
        <v>7283</v>
      </c>
    </row>
    <row r="1764" spans="1:8">
      <c r="A1764" s="6" t="s">
        <v>451</v>
      </c>
      <c r="B1764" s="7" t="s">
        <v>5969</v>
      </c>
      <c r="C1764" s="7" t="s">
        <v>96</v>
      </c>
      <c r="D1764" s="7" t="s">
        <v>5970</v>
      </c>
      <c r="E1764" s="6" t="s">
        <v>5971</v>
      </c>
      <c r="F1764" s="8"/>
      <c r="G1764" s="8"/>
      <c r="H1764" s="8"/>
    </row>
    <row r="1765" spans="1:8">
      <c r="A1765" s="6" t="s">
        <v>451</v>
      </c>
      <c r="B1765" s="7" t="s">
        <v>5969</v>
      </c>
      <c r="C1765" s="7" t="s">
        <v>96</v>
      </c>
      <c r="D1765" s="7" t="s">
        <v>5972</v>
      </c>
      <c r="E1765" s="6" t="s">
        <v>5973</v>
      </c>
      <c r="F1765" s="8" t="s">
        <v>6955</v>
      </c>
      <c r="G1765" s="8" t="s">
        <v>7001</v>
      </c>
      <c r="H1765" s="8" t="s">
        <v>7193</v>
      </c>
    </row>
    <row r="1766" spans="1:8">
      <c r="A1766" s="6" t="s">
        <v>451</v>
      </c>
      <c r="B1766" s="7" t="s">
        <v>452</v>
      </c>
      <c r="C1766" s="7" t="s">
        <v>452</v>
      </c>
      <c r="D1766" s="7" t="s">
        <v>5974</v>
      </c>
      <c r="E1766" s="6" t="s">
        <v>5975</v>
      </c>
      <c r="F1766" s="8"/>
      <c r="G1766" s="8"/>
      <c r="H1766" s="8"/>
    </row>
    <row r="1767" spans="1:8">
      <c r="A1767" s="6" t="s">
        <v>451</v>
      </c>
      <c r="B1767" s="7" t="s">
        <v>452</v>
      </c>
      <c r="C1767" s="7" t="s">
        <v>452</v>
      </c>
      <c r="D1767" s="7" t="s">
        <v>5976</v>
      </c>
      <c r="E1767" s="6" t="s">
        <v>2875</v>
      </c>
      <c r="F1767" s="8"/>
      <c r="G1767" s="8"/>
      <c r="H1767" s="8"/>
    </row>
    <row r="1768" spans="1:8">
      <c r="A1768" s="6" t="s">
        <v>451</v>
      </c>
      <c r="B1768" s="7" t="s">
        <v>452</v>
      </c>
      <c r="C1768" s="7" t="s">
        <v>452</v>
      </c>
      <c r="D1768" s="7" t="s">
        <v>5977</v>
      </c>
      <c r="E1768" s="6" t="s">
        <v>5978</v>
      </c>
      <c r="F1768" s="8"/>
      <c r="G1768" s="8"/>
      <c r="H1768" s="8"/>
    </row>
    <row r="1769" spans="1:8">
      <c r="A1769" s="6" t="s">
        <v>451</v>
      </c>
      <c r="B1769" s="7" t="s">
        <v>452</v>
      </c>
      <c r="C1769" s="7" t="s">
        <v>452</v>
      </c>
      <c r="D1769" s="7" t="s">
        <v>5979</v>
      </c>
      <c r="E1769" s="6" t="s">
        <v>5980</v>
      </c>
      <c r="F1769" s="8" t="s">
        <v>6939</v>
      </c>
      <c r="G1769" s="8" t="s">
        <v>6929</v>
      </c>
      <c r="H1769" s="8" t="s">
        <v>7193</v>
      </c>
    </row>
    <row r="1770" spans="1:8">
      <c r="A1770" s="6" t="s">
        <v>451</v>
      </c>
      <c r="B1770" s="7" t="s">
        <v>452</v>
      </c>
      <c r="C1770" s="7" t="s">
        <v>452</v>
      </c>
      <c r="D1770" s="7" t="s">
        <v>5981</v>
      </c>
      <c r="E1770" s="6" t="s">
        <v>5982</v>
      </c>
      <c r="F1770" s="8"/>
      <c r="G1770" s="8"/>
      <c r="H1770" s="8"/>
    </row>
    <row r="1771" spans="1:8">
      <c r="A1771" s="6" t="s">
        <v>451</v>
      </c>
      <c r="B1771" s="7" t="s">
        <v>452</v>
      </c>
      <c r="C1771" s="7" t="s">
        <v>452</v>
      </c>
      <c r="D1771" s="7" t="s">
        <v>5983</v>
      </c>
      <c r="E1771" s="6" t="s">
        <v>5984</v>
      </c>
      <c r="F1771" s="8"/>
      <c r="G1771" s="8"/>
      <c r="H1771" s="8"/>
    </row>
    <row r="1772" spans="1:8">
      <c r="A1772" s="6" t="s">
        <v>451</v>
      </c>
      <c r="B1772" s="7" t="s">
        <v>452</v>
      </c>
      <c r="C1772" s="7" t="s">
        <v>452</v>
      </c>
      <c r="D1772" s="7" t="s">
        <v>5985</v>
      </c>
      <c r="E1772" s="6" t="s">
        <v>5986</v>
      </c>
      <c r="F1772" s="8"/>
      <c r="G1772" s="8"/>
      <c r="H1772" s="8"/>
    </row>
    <row r="1773" spans="1:8">
      <c r="A1773" s="6" t="s">
        <v>451</v>
      </c>
      <c r="B1773" s="7" t="s">
        <v>452</v>
      </c>
      <c r="C1773" s="7" t="s">
        <v>452</v>
      </c>
      <c r="D1773" s="7" t="s">
        <v>5987</v>
      </c>
      <c r="E1773" s="6" t="s">
        <v>5988</v>
      </c>
      <c r="F1773" s="8"/>
      <c r="G1773" s="8"/>
      <c r="H1773" s="8"/>
    </row>
    <row r="1774" spans="1:8">
      <c r="A1774" s="6" t="s">
        <v>451</v>
      </c>
      <c r="B1774" s="7" t="s">
        <v>452</v>
      </c>
      <c r="C1774" s="7" t="s">
        <v>452</v>
      </c>
      <c r="D1774" s="7" t="s">
        <v>5989</v>
      </c>
      <c r="E1774" s="6" t="s">
        <v>3809</v>
      </c>
      <c r="F1774" s="8"/>
      <c r="G1774" s="8"/>
      <c r="H1774" s="8"/>
    </row>
    <row r="1775" spans="1:8">
      <c r="A1775" s="6" t="s">
        <v>451</v>
      </c>
      <c r="B1775" s="7" t="s">
        <v>1152</v>
      </c>
      <c r="C1775" s="7" t="s">
        <v>1152</v>
      </c>
      <c r="D1775" s="7" t="s">
        <v>5990</v>
      </c>
      <c r="E1775" s="6" t="s">
        <v>5991</v>
      </c>
      <c r="F1775" s="8"/>
      <c r="G1775" s="8"/>
      <c r="H1775" s="8"/>
    </row>
    <row r="1776" spans="1:8">
      <c r="A1776" s="6" t="s">
        <v>451</v>
      </c>
      <c r="B1776" s="7" t="s">
        <v>264</v>
      </c>
      <c r="C1776" s="7" t="s">
        <v>264</v>
      </c>
      <c r="D1776" s="7" t="s">
        <v>5992</v>
      </c>
      <c r="E1776" s="6" t="s">
        <v>5993</v>
      </c>
      <c r="F1776" s="8" t="s">
        <v>7030</v>
      </c>
      <c r="G1776" s="8" t="s">
        <v>6953</v>
      </c>
      <c r="H1776" s="8" t="s">
        <v>7281</v>
      </c>
    </row>
    <row r="1777" spans="1:8">
      <c r="A1777" s="6" t="s">
        <v>451</v>
      </c>
      <c r="B1777" s="7" t="s">
        <v>264</v>
      </c>
      <c r="C1777" s="7" t="s">
        <v>264</v>
      </c>
      <c r="D1777" s="7" t="s">
        <v>5994</v>
      </c>
      <c r="E1777" s="6" t="s">
        <v>5995</v>
      </c>
      <c r="F1777" s="8"/>
      <c r="G1777" s="8"/>
      <c r="H1777" s="8"/>
    </row>
    <row r="1778" spans="1:8">
      <c r="A1778" s="6" t="s">
        <v>451</v>
      </c>
      <c r="B1778" s="7" t="s">
        <v>264</v>
      </c>
      <c r="C1778" s="7" t="s">
        <v>264</v>
      </c>
      <c r="D1778" s="7" t="s">
        <v>5996</v>
      </c>
      <c r="E1778" s="6" t="s">
        <v>5997</v>
      </c>
      <c r="F1778" s="8" t="s">
        <v>6943</v>
      </c>
      <c r="G1778" s="8" t="s">
        <v>6929</v>
      </c>
      <c r="H1778" s="8" t="s">
        <v>7282</v>
      </c>
    </row>
    <row r="1779" spans="1:8">
      <c r="A1779" s="6" t="s">
        <v>451</v>
      </c>
      <c r="B1779" s="7" t="s">
        <v>264</v>
      </c>
      <c r="C1779" s="7" t="s">
        <v>264</v>
      </c>
      <c r="D1779" s="7" t="s">
        <v>5998</v>
      </c>
      <c r="E1779" s="6" t="s">
        <v>5999</v>
      </c>
      <c r="F1779" s="8"/>
      <c r="G1779" s="8"/>
      <c r="H1779" s="8"/>
    </row>
    <row r="1780" spans="1:8">
      <c r="A1780" s="6" t="s">
        <v>451</v>
      </c>
      <c r="B1780" s="7" t="s">
        <v>264</v>
      </c>
      <c r="C1780" s="7" t="s">
        <v>264</v>
      </c>
      <c r="D1780" s="7" t="s">
        <v>6000</v>
      </c>
      <c r="E1780" s="6" t="s">
        <v>6001</v>
      </c>
      <c r="F1780" s="8" t="s">
        <v>3334</v>
      </c>
      <c r="G1780" s="8" t="s">
        <v>6929</v>
      </c>
      <c r="H1780" s="8" t="s">
        <v>7280</v>
      </c>
    </row>
    <row r="1781" spans="1:8">
      <c r="A1781" s="6" t="s">
        <v>451</v>
      </c>
      <c r="B1781" s="7" t="s">
        <v>898</v>
      </c>
      <c r="C1781" s="7" t="s">
        <v>898</v>
      </c>
      <c r="D1781" s="7" t="s">
        <v>6002</v>
      </c>
      <c r="E1781" s="6" t="s">
        <v>6003</v>
      </c>
      <c r="F1781" s="8" t="s">
        <v>6943</v>
      </c>
      <c r="G1781" s="8" t="s">
        <v>6929</v>
      </c>
      <c r="H1781" s="8" t="s">
        <v>6967</v>
      </c>
    </row>
    <row r="1782" spans="1:8">
      <c r="A1782" s="6" t="s">
        <v>451</v>
      </c>
      <c r="B1782" s="7" t="s">
        <v>898</v>
      </c>
      <c r="C1782" s="7" t="s">
        <v>898</v>
      </c>
      <c r="D1782" s="7" t="s">
        <v>6004</v>
      </c>
      <c r="E1782" s="6" t="s">
        <v>3955</v>
      </c>
      <c r="F1782" s="8"/>
      <c r="G1782" s="8"/>
      <c r="H1782" s="8"/>
    </row>
    <row r="1783" spans="1:8">
      <c r="A1783" s="6" t="s">
        <v>451</v>
      </c>
      <c r="B1783" s="7" t="s">
        <v>898</v>
      </c>
      <c r="C1783" s="7" t="s">
        <v>898</v>
      </c>
      <c r="D1783" s="7" t="s">
        <v>6005</v>
      </c>
      <c r="E1783" s="6" t="s">
        <v>6006</v>
      </c>
      <c r="F1783" s="8"/>
      <c r="G1783" s="8"/>
      <c r="H1783" s="8"/>
    </row>
    <row r="1784" spans="1:8">
      <c r="A1784" s="6" t="s">
        <v>451</v>
      </c>
      <c r="B1784" s="7" t="s">
        <v>898</v>
      </c>
      <c r="C1784" s="7" t="s">
        <v>898</v>
      </c>
      <c r="D1784" s="7" t="s">
        <v>6007</v>
      </c>
      <c r="E1784" s="6" t="s">
        <v>6008</v>
      </c>
      <c r="F1784" s="8"/>
      <c r="G1784" s="8"/>
      <c r="H1784" s="8"/>
    </row>
    <row r="1785" spans="1:8">
      <c r="A1785" s="6" t="s">
        <v>451</v>
      </c>
      <c r="B1785" s="7" t="s">
        <v>188</v>
      </c>
      <c r="C1785" s="7" t="s">
        <v>149</v>
      </c>
      <c r="D1785" s="7" t="s">
        <v>6009</v>
      </c>
      <c r="E1785" s="6" t="s">
        <v>5213</v>
      </c>
      <c r="F1785" s="8"/>
      <c r="G1785" s="8"/>
      <c r="H1785" s="8"/>
    </row>
    <row r="1786" spans="1:8">
      <c r="A1786" s="6" t="s">
        <v>451</v>
      </c>
      <c r="B1786" s="7" t="s">
        <v>188</v>
      </c>
      <c r="C1786" s="7" t="s">
        <v>149</v>
      </c>
      <c r="D1786" s="7" t="s">
        <v>6010</v>
      </c>
      <c r="E1786" s="6" t="s">
        <v>6011</v>
      </c>
      <c r="F1786" s="8"/>
      <c r="G1786" s="8"/>
      <c r="H1786" s="8"/>
    </row>
    <row r="1787" spans="1:8">
      <c r="A1787" s="6" t="s">
        <v>451</v>
      </c>
      <c r="B1787" s="7" t="s">
        <v>188</v>
      </c>
      <c r="C1787" s="7" t="s">
        <v>149</v>
      </c>
      <c r="D1787" s="7" t="s">
        <v>6012</v>
      </c>
      <c r="E1787" s="6" t="s">
        <v>6013</v>
      </c>
      <c r="F1787" s="8"/>
      <c r="G1787" s="8"/>
      <c r="H1787" s="8"/>
    </row>
    <row r="1788" spans="1:8">
      <c r="A1788" s="6" t="s">
        <v>451</v>
      </c>
      <c r="B1788" s="7" t="s">
        <v>188</v>
      </c>
      <c r="C1788" s="7" t="s">
        <v>149</v>
      </c>
      <c r="D1788" s="7" t="s">
        <v>6014</v>
      </c>
      <c r="E1788" s="6" t="s">
        <v>6015</v>
      </c>
      <c r="F1788" s="8"/>
      <c r="G1788" s="8"/>
      <c r="H1788" s="8"/>
    </row>
    <row r="1789" spans="1:8">
      <c r="A1789" s="6" t="s">
        <v>2333</v>
      </c>
      <c r="B1789" s="7" t="s">
        <v>9</v>
      </c>
      <c r="C1789" s="7" t="s">
        <v>9</v>
      </c>
      <c r="D1789" s="7" t="s">
        <v>2334</v>
      </c>
      <c r="E1789" s="6" t="s">
        <v>2335</v>
      </c>
      <c r="F1789" s="8"/>
      <c r="G1789" s="8"/>
      <c r="H1789" s="8"/>
    </row>
    <row r="1790" spans="1:8">
      <c r="A1790" s="6" t="s">
        <v>457</v>
      </c>
      <c r="B1790" s="7" t="s">
        <v>458</v>
      </c>
      <c r="C1790" s="7" t="s">
        <v>458</v>
      </c>
      <c r="D1790" s="7" t="s">
        <v>459</v>
      </c>
      <c r="E1790" s="6" t="s">
        <v>460</v>
      </c>
      <c r="F1790" s="8"/>
      <c r="G1790" s="8"/>
      <c r="H1790" s="8"/>
    </row>
    <row r="1791" spans="1:8">
      <c r="A1791" s="6" t="s">
        <v>457</v>
      </c>
      <c r="B1791" s="7" t="s">
        <v>1340</v>
      </c>
      <c r="C1791" s="7" t="s">
        <v>1340</v>
      </c>
      <c r="D1791" s="7" t="s">
        <v>1341</v>
      </c>
      <c r="E1791" s="6" t="s">
        <v>1342</v>
      </c>
      <c r="F1791" s="8"/>
      <c r="G1791" s="8"/>
      <c r="H1791" s="8"/>
    </row>
    <row r="1792" spans="1:8">
      <c r="A1792" s="6" t="s">
        <v>457</v>
      </c>
      <c r="B1792" s="7" t="s">
        <v>2330</v>
      </c>
      <c r="C1792" s="7" t="s">
        <v>2330</v>
      </c>
      <c r="D1792" s="7" t="s">
        <v>3035</v>
      </c>
      <c r="E1792" s="6" t="s">
        <v>3036</v>
      </c>
      <c r="F1792" s="8"/>
      <c r="G1792" s="8"/>
      <c r="H1792" s="8"/>
    </row>
    <row r="1793" spans="1:8">
      <c r="A1793" s="6" t="s">
        <v>457</v>
      </c>
      <c r="B1793" s="7" t="s">
        <v>3037</v>
      </c>
      <c r="C1793" s="7" t="s">
        <v>3037</v>
      </c>
      <c r="D1793" s="7" t="s">
        <v>3038</v>
      </c>
      <c r="E1793" s="6" t="s">
        <v>3039</v>
      </c>
      <c r="F1793" s="8"/>
      <c r="G1793" s="8"/>
      <c r="H1793" s="8"/>
    </row>
    <row r="1794" spans="1:8">
      <c r="A1794" s="6" t="s">
        <v>212</v>
      </c>
      <c r="B1794" s="7" t="s">
        <v>213</v>
      </c>
      <c r="C1794" s="7" t="s">
        <v>9</v>
      </c>
      <c r="D1794" s="7" t="s">
        <v>214</v>
      </c>
      <c r="E1794" s="6" t="s">
        <v>215</v>
      </c>
      <c r="F1794" s="8"/>
      <c r="G1794" s="8"/>
      <c r="H1794" s="8"/>
    </row>
    <row r="1795" spans="1:8">
      <c r="A1795" s="6" t="s">
        <v>212</v>
      </c>
      <c r="B1795" s="7" t="s">
        <v>346</v>
      </c>
      <c r="C1795" s="7" t="s">
        <v>347</v>
      </c>
      <c r="D1795" s="7" t="s">
        <v>348</v>
      </c>
      <c r="E1795" s="6" t="s">
        <v>349</v>
      </c>
      <c r="F1795" s="8"/>
      <c r="G1795" s="8"/>
      <c r="H1795" s="8"/>
    </row>
    <row r="1796" spans="1:8">
      <c r="A1796" s="6" t="s">
        <v>212</v>
      </c>
      <c r="B1796" s="7" t="s">
        <v>1695</v>
      </c>
      <c r="C1796" s="7" t="s">
        <v>1696</v>
      </c>
      <c r="D1796" s="7" t="s">
        <v>1697</v>
      </c>
      <c r="E1796" s="6" t="s">
        <v>84</v>
      </c>
      <c r="F1796" s="8"/>
      <c r="G1796" s="8"/>
      <c r="H1796" s="8"/>
    </row>
    <row r="1797" spans="1:8">
      <c r="A1797" s="6" t="s">
        <v>212</v>
      </c>
      <c r="B1797" s="7" t="s">
        <v>1716</v>
      </c>
      <c r="C1797" s="7" t="s">
        <v>1717</v>
      </c>
      <c r="D1797" s="7" t="s">
        <v>1718</v>
      </c>
      <c r="E1797" s="6" t="s">
        <v>1719</v>
      </c>
      <c r="F1797" s="8" t="s">
        <v>6957</v>
      </c>
      <c r="G1797" s="8" t="s">
        <v>6929</v>
      </c>
      <c r="H1797" s="8" t="s">
        <v>7007</v>
      </c>
    </row>
    <row r="1798" spans="1:8">
      <c r="A1798" s="6" t="s">
        <v>212</v>
      </c>
      <c r="B1798" s="7" t="s">
        <v>3074</v>
      </c>
      <c r="C1798" s="7" t="s">
        <v>3075</v>
      </c>
      <c r="D1798" s="7" t="s">
        <v>3076</v>
      </c>
      <c r="E1798" s="6" t="s">
        <v>3077</v>
      </c>
      <c r="F1798" s="8"/>
      <c r="G1798" s="8"/>
      <c r="H1798" s="8"/>
    </row>
    <row r="1799" spans="1:8">
      <c r="A1799" s="6" t="s">
        <v>212</v>
      </c>
      <c r="B1799" s="7" t="s">
        <v>2783</v>
      </c>
      <c r="C1799" s="7" t="s">
        <v>69</v>
      </c>
      <c r="D1799" s="7" t="s">
        <v>3078</v>
      </c>
      <c r="E1799" s="6" t="s">
        <v>3079</v>
      </c>
      <c r="F1799" s="8"/>
      <c r="G1799" s="8"/>
      <c r="H1799" s="8"/>
    </row>
    <row r="1800" spans="1:8">
      <c r="A1800" s="6" t="s">
        <v>212</v>
      </c>
      <c r="B1800" s="7" t="s">
        <v>2783</v>
      </c>
      <c r="C1800" s="7" t="s">
        <v>3080</v>
      </c>
      <c r="D1800" s="7" t="s">
        <v>3081</v>
      </c>
      <c r="E1800" s="6" t="s">
        <v>2442</v>
      </c>
      <c r="F1800" s="8"/>
      <c r="G1800" s="8"/>
      <c r="H1800" s="8"/>
    </row>
    <row r="1801" spans="1:8">
      <c r="A1801" s="6" t="s">
        <v>212</v>
      </c>
      <c r="B1801" s="7" t="s">
        <v>2783</v>
      </c>
      <c r="C1801" s="7" t="s">
        <v>69</v>
      </c>
      <c r="D1801" s="7" t="s">
        <v>3082</v>
      </c>
      <c r="E1801" s="6" t="s">
        <v>3083</v>
      </c>
      <c r="F1801" s="8"/>
      <c r="G1801" s="8"/>
      <c r="H1801" s="8"/>
    </row>
    <row r="1802" spans="1:8">
      <c r="A1802" s="6" t="s">
        <v>212</v>
      </c>
      <c r="B1802" s="7" t="s">
        <v>1695</v>
      </c>
      <c r="C1802" s="7" t="s">
        <v>3084</v>
      </c>
      <c r="D1802" s="7" t="s">
        <v>3085</v>
      </c>
      <c r="E1802" s="6" t="s">
        <v>3086</v>
      </c>
      <c r="F1802" s="8" t="s">
        <v>6931</v>
      </c>
      <c r="G1802" s="8" t="s">
        <v>6929</v>
      </c>
      <c r="H1802" s="8" t="s">
        <v>6927</v>
      </c>
    </row>
    <row r="1803" spans="1:8">
      <c r="A1803" s="6" t="s">
        <v>212</v>
      </c>
      <c r="B1803" s="7" t="s">
        <v>1695</v>
      </c>
      <c r="C1803" s="7" t="s">
        <v>1717</v>
      </c>
      <c r="D1803" s="7" t="s">
        <v>3087</v>
      </c>
      <c r="E1803" s="6" t="s">
        <v>1112</v>
      </c>
      <c r="F1803" s="8"/>
      <c r="G1803" s="8"/>
      <c r="H1803" s="8"/>
    </row>
    <row r="1804" spans="1:8">
      <c r="A1804" s="6" t="s">
        <v>212</v>
      </c>
      <c r="B1804" s="7" t="s">
        <v>1695</v>
      </c>
      <c r="C1804" s="7" t="s">
        <v>1696</v>
      </c>
      <c r="D1804" s="7" t="s">
        <v>3088</v>
      </c>
      <c r="E1804" s="6" t="s">
        <v>3089</v>
      </c>
      <c r="F1804" s="8"/>
      <c r="G1804" s="8"/>
      <c r="H1804" s="8"/>
    </row>
    <row r="1805" spans="1:8">
      <c r="A1805" s="6" t="s">
        <v>212</v>
      </c>
      <c r="B1805" s="7" t="s">
        <v>1695</v>
      </c>
      <c r="C1805" s="7" t="s">
        <v>1696</v>
      </c>
      <c r="D1805" s="7" t="s">
        <v>3090</v>
      </c>
      <c r="E1805" s="6" t="s">
        <v>3091</v>
      </c>
      <c r="F1805" s="8"/>
      <c r="G1805" s="8"/>
      <c r="H1805" s="8"/>
    </row>
    <row r="1806" spans="1:8">
      <c r="A1806" s="6" t="s">
        <v>212</v>
      </c>
      <c r="B1806" s="7" t="s">
        <v>1695</v>
      </c>
      <c r="C1806" s="7" t="s">
        <v>3092</v>
      </c>
      <c r="D1806" s="7" t="s">
        <v>3093</v>
      </c>
      <c r="E1806" s="6" t="s">
        <v>2754</v>
      </c>
      <c r="F1806" s="8"/>
      <c r="G1806" s="8"/>
      <c r="H1806" s="8"/>
    </row>
    <row r="1807" spans="1:8">
      <c r="A1807" s="6" t="s">
        <v>212</v>
      </c>
      <c r="B1807" s="7" t="s">
        <v>1695</v>
      </c>
      <c r="C1807" s="7" t="s">
        <v>3080</v>
      </c>
      <c r="D1807" s="7" t="s">
        <v>3094</v>
      </c>
      <c r="E1807" s="6" t="s">
        <v>3095</v>
      </c>
      <c r="F1807" s="8"/>
      <c r="G1807" s="8"/>
      <c r="H1807" s="8"/>
    </row>
    <row r="1808" spans="1:8">
      <c r="A1808" s="6" t="s">
        <v>212</v>
      </c>
      <c r="B1808" s="7" t="s">
        <v>1695</v>
      </c>
      <c r="C1808" s="7" t="s">
        <v>3096</v>
      </c>
      <c r="D1808" s="7" t="s">
        <v>3097</v>
      </c>
      <c r="E1808" s="6" t="s">
        <v>3098</v>
      </c>
      <c r="F1808" s="8"/>
      <c r="G1808" s="8"/>
      <c r="H1808" s="8"/>
    </row>
    <row r="1809" spans="1:8">
      <c r="A1809" s="6" t="s">
        <v>212</v>
      </c>
      <c r="B1809" s="7" t="s">
        <v>3099</v>
      </c>
      <c r="C1809" s="7" t="s">
        <v>347</v>
      </c>
      <c r="D1809" s="7" t="s">
        <v>3100</v>
      </c>
      <c r="E1809" s="6" t="s">
        <v>1526</v>
      </c>
      <c r="F1809" s="8"/>
      <c r="G1809" s="8"/>
      <c r="H1809" s="8"/>
    </row>
    <row r="1810" spans="1:8">
      <c r="A1810" s="6" t="s">
        <v>212</v>
      </c>
      <c r="B1810" s="7" t="s">
        <v>3099</v>
      </c>
      <c r="C1810" s="7" t="s">
        <v>3080</v>
      </c>
      <c r="D1810" s="7" t="s">
        <v>3101</v>
      </c>
      <c r="E1810" s="6" t="s">
        <v>2072</v>
      </c>
      <c r="F1810" s="8"/>
      <c r="G1810" s="8"/>
      <c r="H1810" s="8"/>
    </row>
    <row r="1811" spans="1:8">
      <c r="A1811" s="6" t="s">
        <v>212</v>
      </c>
      <c r="B1811" s="7" t="s">
        <v>3099</v>
      </c>
      <c r="C1811" s="7" t="s">
        <v>347</v>
      </c>
      <c r="D1811" s="7" t="s">
        <v>3102</v>
      </c>
      <c r="E1811" s="6" t="s">
        <v>3103</v>
      </c>
      <c r="F1811" s="8"/>
      <c r="G1811" s="8"/>
      <c r="H1811" s="8"/>
    </row>
    <row r="1812" spans="1:8">
      <c r="A1812" s="6" t="s">
        <v>212</v>
      </c>
      <c r="B1812" s="7" t="s">
        <v>3104</v>
      </c>
      <c r="C1812" s="7" t="s">
        <v>3105</v>
      </c>
      <c r="D1812" s="7" t="s">
        <v>3106</v>
      </c>
      <c r="E1812" s="6" t="s">
        <v>3107</v>
      </c>
      <c r="F1812" s="8"/>
      <c r="G1812" s="8"/>
      <c r="H1812" s="8"/>
    </row>
    <row r="1813" spans="1:8">
      <c r="A1813" s="6" t="s">
        <v>212</v>
      </c>
      <c r="B1813" s="7" t="s">
        <v>3104</v>
      </c>
      <c r="C1813" s="7" t="s">
        <v>496</v>
      </c>
      <c r="D1813" s="7" t="s">
        <v>3108</v>
      </c>
      <c r="E1813" s="6" t="s">
        <v>3109</v>
      </c>
      <c r="F1813" s="8" t="s">
        <v>6931</v>
      </c>
      <c r="G1813" s="8" t="s">
        <v>6929</v>
      </c>
      <c r="H1813" s="8" t="s">
        <v>6951</v>
      </c>
    </row>
    <row r="1814" spans="1:8">
      <c r="A1814" s="6" t="s">
        <v>212</v>
      </c>
      <c r="B1814" s="7" t="s">
        <v>3110</v>
      </c>
      <c r="C1814" s="7" t="s">
        <v>3111</v>
      </c>
      <c r="D1814" s="7" t="s">
        <v>3112</v>
      </c>
      <c r="E1814" s="6" t="s">
        <v>3113</v>
      </c>
      <c r="F1814" s="8"/>
      <c r="G1814" s="8"/>
      <c r="H1814" s="8"/>
    </row>
    <row r="1815" spans="1:8">
      <c r="A1815" s="6" t="s">
        <v>212</v>
      </c>
      <c r="B1815" s="7" t="s">
        <v>3110</v>
      </c>
      <c r="C1815" s="7" t="s">
        <v>69</v>
      </c>
      <c r="D1815" s="7" t="s">
        <v>3114</v>
      </c>
      <c r="E1815" s="6" t="s">
        <v>3115</v>
      </c>
      <c r="F1815" s="8" t="s">
        <v>6931</v>
      </c>
      <c r="G1815" s="8" t="s">
        <v>6929</v>
      </c>
      <c r="H1815" s="8" t="s">
        <v>6951</v>
      </c>
    </row>
    <row r="1816" spans="1:8">
      <c r="A1816" s="6" t="s">
        <v>212</v>
      </c>
      <c r="B1816" s="7" t="s">
        <v>3116</v>
      </c>
      <c r="C1816" s="7" t="s">
        <v>3117</v>
      </c>
      <c r="D1816" s="7" t="s">
        <v>3118</v>
      </c>
      <c r="E1816" s="6" t="s">
        <v>2737</v>
      </c>
      <c r="F1816" s="8"/>
      <c r="G1816" s="8"/>
      <c r="H1816" s="8"/>
    </row>
    <row r="1817" spans="1:8">
      <c r="A1817" s="6" t="s">
        <v>212</v>
      </c>
      <c r="B1817" s="7" t="s">
        <v>3110</v>
      </c>
      <c r="C1817" s="7" t="s">
        <v>1873</v>
      </c>
      <c r="D1817" s="7" t="s">
        <v>3119</v>
      </c>
      <c r="E1817" s="6" t="s">
        <v>3120</v>
      </c>
      <c r="F1817" s="8" t="s">
        <v>6931</v>
      </c>
      <c r="G1817" s="8" t="s">
        <v>6929</v>
      </c>
      <c r="H1817" s="8" t="s">
        <v>6951</v>
      </c>
    </row>
    <row r="1818" spans="1:8">
      <c r="A1818" s="6" t="s">
        <v>212</v>
      </c>
      <c r="B1818" s="7" t="s">
        <v>3110</v>
      </c>
      <c r="C1818" s="7" t="s">
        <v>3080</v>
      </c>
      <c r="D1818" s="7" t="s">
        <v>3121</v>
      </c>
      <c r="E1818" s="6" t="s">
        <v>3122</v>
      </c>
      <c r="F1818" s="8"/>
      <c r="G1818" s="8"/>
      <c r="H1818" s="8"/>
    </row>
    <row r="1819" spans="1:8">
      <c r="A1819" s="6" t="s">
        <v>212</v>
      </c>
      <c r="B1819" s="7" t="s">
        <v>3110</v>
      </c>
      <c r="C1819" s="7" t="s">
        <v>69</v>
      </c>
      <c r="D1819" s="7" t="s">
        <v>3123</v>
      </c>
      <c r="E1819" s="6" t="s">
        <v>3124</v>
      </c>
      <c r="F1819" s="8"/>
      <c r="G1819" s="8"/>
      <c r="H1819" s="8"/>
    </row>
    <row r="1820" spans="1:8">
      <c r="A1820" s="6" t="s">
        <v>212</v>
      </c>
      <c r="B1820" s="7" t="s">
        <v>3110</v>
      </c>
      <c r="C1820" s="7" t="s">
        <v>3111</v>
      </c>
      <c r="D1820" s="7" t="s">
        <v>3125</v>
      </c>
      <c r="E1820" s="6" t="s">
        <v>3126</v>
      </c>
      <c r="F1820" s="8" t="s">
        <v>5162</v>
      </c>
      <c r="G1820" s="8" t="s">
        <v>6929</v>
      </c>
      <c r="H1820" s="8" t="s">
        <v>7049</v>
      </c>
    </row>
    <row r="1821" spans="1:8">
      <c r="A1821" s="6" t="s">
        <v>212</v>
      </c>
      <c r="B1821" s="7" t="s">
        <v>3110</v>
      </c>
      <c r="C1821" s="7" t="s">
        <v>69</v>
      </c>
      <c r="D1821" s="7" t="s">
        <v>3127</v>
      </c>
      <c r="E1821" s="6" t="s">
        <v>273</v>
      </c>
      <c r="F1821" s="8" t="s">
        <v>6931</v>
      </c>
      <c r="G1821" s="8" t="s">
        <v>6929</v>
      </c>
      <c r="H1821" s="8" t="s">
        <v>6951</v>
      </c>
    </row>
    <row r="1822" spans="1:8">
      <c r="A1822" s="6" t="s">
        <v>612</v>
      </c>
      <c r="B1822" s="7" t="s">
        <v>613</v>
      </c>
      <c r="C1822" s="7" t="s">
        <v>9</v>
      </c>
      <c r="D1822" s="7" t="s">
        <v>614</v>
      </c>
      <c r="E1822" s="6" t="s">
        <v>615</v>
      </c>
      <c r="F1822" s="8"/>
      <c r="G1822" s="8"/>
      <c r="H1822" s="8"/>
    </row>
    <row r="1823" spans="1:8">
      <c r="A1823" s="6" t="s">
        <v>612</v>
      </c>
      <c r="B1823" s="7" t="s">
        <v>650</v>
      </c>
      <c r="C1823" s="7" t="s">
        <v>650</v>
      </c>
      <c r="D1823" s="7" t="s">
        <v>651</v>
      </c>
      <c r="E1823" s="6" t="s">
        <v>652</v>
      </c>
      <c r="F1823" s="8"/>
      <c r="G1823" s="8"/>
      <c r="H1823" s="8"/>
    </row>
    <row r="1824" spans="1:8">
      <c r="A1824" s="6" t="s">
        <v>612</v>
      </c>
      <c r="B1824" s="7" t="s">
        <v>783</v>
      </c>
      <c r="C1824" s="7" t="s">
        <v>783</v>
      </c>
      <c r="D1824" s="7" t="s">
        <v>784</v>
      </c>
      <c r="E1824" s="6" t="s">
        <v>785</v>
      </c>
      <c r="F1824" s="8"/>
      <c r="G1824" s="8"/>
      <c r="H1824" s="8"/>
    </row>
    <row r="1825" spans="1:8">
      <c r="A1825" s="6" t="s">
        <v>612</v>
      </c>
      <c r="B1825" s="7" t="s">
        <v>9</v>
      </c>
      <c r="C1825" s="7" t="s">
        <v>1235</v>
      </c>
      <c r="D1825" s="7" t="s">
        <v>1236</v>
      </c>
      <c r="E1825" s="6" t="s">
        <v>1237</v>
      </c>
      <c r="F1825" s="8"/>
      <c r="G1825" s="8"/>
      <c r="H1825" s="8"/>
    </row>
    <row r="1826" spans="1:8">
      <c r="A1826" s="6" t="s">
        <v>612</v>
      </c>
      <c r="B1826" s="7" t="s">
        <v>1235</v>
      </c>
      <c r="C1826" s="7" t="s">
        <v>1235</v>
      </c>
      <c r="D1826" s="7" t="s">
        <v>1407</v>
      </c>
      <c r="E1826" s="6" t="s">
        <v>1408</v>
      </c>
      <c r="F1826" s="8"/>
      <c r="G1826" s="8"/>
      <c r="H1826" s="8"/>
    </row>
    <row r="1827" spans="1:8">
      <c r="A1827" s="6" t="s">
        <v>612</v>
      </c>
      <c r="B1827" s="7" t="s">
        <v>1671</v>
      </c>
      <c r="C1827" s="7" t="s">
        <v>1671</v>
      </c>
      <c r="D1827" s="7" t="s">
        <v>1672</v>
      </c>
      <c r="E1827" s="6" t="s">
        <v>1673</v>
      </c>
      <c r="F1827" s="8"/>
      <c r="G1827" s="8"/>
      <c r="H1827" s="8"/>
    </row>
    <row r="1828" spans="1:8">
      <c r="A1828" s="6" t="s">
        <v>612</v>
      </c>
      <c r="B1828" s="7" t="s">
        <v>6336</v>
      </c>
      <c r="C1828" s="7" t="s">
        <v>6337</v>
      </c>
      <c r="D1828" s="7" t="s">
        <v>6338</v>
      </c>
      <c r="E1828" s="6" t="s">
        <v>6339</v>
      </c>
      <c r="F1828" s="8"/>
      <c r="G1828" s="8"/>
      <c r="H1828" s="8"/>
    </row>
    <row r="1829" spans="1:8">
      <c r="A1829" s="6" t="s">
        <v>612</v>
      </c>
      <c r="B1829" s="7" t="s">
        <v>6340</v>
      </c>
      <c r="C1829" s="7" t="s">
        <v>6340</v>
      </c>
      <c r="D1829" s="7" t="s">
        <v>6341</v>
      </c>
      <c r="E1829" s="6" t="s">
        <v>6342</v>
      </c>
      <c r="F1829" s="8"/>
      <c r="G1829" s="8"/>
      <c r="H1829" s="8"/>
    </row>
    <row r="1830" spans="1:8">
      <c r="A1830" s="6" t="s">
        <v>612</v>
      </c>
      <c r="B1830" s="7" t="s">
        <v>6343</v>
      </c>
      <c r="C1830" s="7" t="s">
        <v>6343</v>
      </c>
      <c r="D1830" s="7" t="s">
        <v>6344</v>
      </c>
      <c r="E1830" s="6" t="s">
        <v>5376</v>
      </c>
      <c r="F1830" s="8"/>
      <c r="G1830" s="8"/>
      <c r="H1830" s="8"/>
    </row>
    <row r="1831" spans="1:8">
      <c r="A1831" s="6" t="s">
        <v>612</v>
      </c>
      <c r="B1831" s="7" t="s">
        <v>6345</v>
      </c>
      <c r="C1831" s="7" t="s">
        <v>6345</v>
      </c>
      <c r="D1831" s="7" t="s">
        <v>6346</v>
      </c>
      <c r="E1831" s="6" t="s">
        <v>6347</v>
      </c>
      <c r="F1831" s="8"/>
      <c r="G1831" s="8"/>
      <c r="H1831" s="8"/>
    </row>
    <row r="1832" spans="1:8">
      <c r="A1832" s="6" t="s">
        <v>612</v>
      </c>
      <c r="B1832" s="7" t="s">
        <v>1235</v>
      </c>
      <c r="C1832" s="7" t="s">
        <v>1235</v>
      </c>
      <c r="D1832" s="7" t="s">
        <v>6348</v>
      </c>
      <c r="E1832" s="6" t="s">
        <v>6349</v>
      </c>
      <c r="F1832" s="8"/>
      <c r="G1832" s="8"/>
      <c r="H1832" s="8"/>
    </row>
    <row r="1833" spans="1:8">
      <c r="A1833" s="6" t="s">
        <v>612</v>
      </c>
      <c r="B1833" s="7" t="s">
        <v>6350</v>
      </c>
      <c r="C1833" s="7" t="s">
        <v>6350</v>
      </c>
      <c r="D1833" s="7" t="s">
        <v>6351</v>
      </c>
      <c r="E1833" s="6" t="s">
        <v>2073</v>
      </c>
      <c r="F1833" s="8"/>
      <c r="G1833" s="8"/>
      <c r="H1833" s="8"/>
    </row>
    <row r="1834" spans="1:8">
      <c r="A1834" s="6" t="s">
        <v>612</v>
      </c>
      <c r="B1834" s="7" t="s">
        <v>6352</v>
      </c>
      <c r="C1834" s="7" t="s">
        <v>6352</v>
      </c>
      <c r="D1834" s="7" t="s">
        <v>6353</v>
      </c>
      <c r="E1834" s="6" t="s">
        <v>6354</v>
      </c>
      <c r="F1834" s="8"/>
      <c r="G1834" s="8"/>
      <c r="H1834" s="8"/>
    </row>
    <row r="1835" spans="1:8">
      <c r="A1835" s="6" t="s">
        <v>612</v>
      </c>
      <c r="B1835" s="7" t="s">
        <v>112</v>
      </c>
      <c r="C1835" s="7" t="s">
        <v>112</v>
      </c>
      <c r="D1835" s="7" t="s">
        <v>6355</v>
      </c>
      <c r="E1835" s="6" t="s">
        <v>6356</v>
      </c>
      <c r="F1835" s="8" t="s">
        <v>6939</v>
      </c>
      <c r="G1835" s="8" t="s">
        <v>6929</v>
      </c>
      <c r="H1835" s="8" t="s">
        <v>7060</v>
      </c>
    </row>
    <row r="1836" spans="1:8">
      <c r="A1836" s="6" t="s">
        <v>612</v>
      </c>
      <c r="B1836" s="7" t="s">
        <v>112</v>
      </c>
      <c r="C1836" s="7" t="s">
        <v>112</v>
      </c>
      <c r="D1836" s="7" t="s">
        <v>6357</v>
      </c>
      <c r="E1836" s="6" t="s">
        <v>6358</v>
      </c>
      <c r="F1836" s="8" t="s">
        <v>6939</v>
      </c>
      <c r="G1836" s="8" t="s">
        <v>6929</v>
      </c>
      <c r="H1836" s="8" t="s">
        <v>7060</v>
      </c>
    </row>
    <row r="1837" spans="1:8">
      <c r="A1837" s="6" t="s">
        <v>612</v>
      </c>
      <c r="B1837" s="7" t="s">
        <v>112</v>
      </c>
      <c r="C1837" s="7" t="s">
        <v>112</v>
      </c>
      <c r="D1837" s="7" t="s">
        <v>6359</v>
      </c>
      <c r="E1837" s="6" t="s">
        <v>6360</v>
      </c>
      <c r="F1837" s="8" t="s">
        <v>6939</v>
      </c>
      <c r="G1837" s="8" t="s">
        <v>6929</v>
      </c>
      <c r="H1837" s="8" t="s">
        <v>7060</v>
      </c>
    </row>
    <row r="1838" spans="1:8">
      <c r="A1838" s="6" t="s">
        <v>612</v>
      </c>
      <c r="B1838" s="7" t="s">
        <v>650</v>
      </c>
      <c r="C1838" s="7" t="s">
        <v>650</v>
      </c>
      <c r="D1838" s="7" t="s">
        <v>6361</v>
      </c>
      <c r="E1838" s="6" t="s">
        <v>1626</v>
      </c>
      <c r="F1838" s="8" t="s">
        <v>6939</v>
      </c>
      <c r="G1838" s="8" t="s">
        <v>6929</v>
      </c>
      <c r="H1838" s="8" t="s">
        <v>7060</v>
      </c>
    </row>
    <row r="1839" spans="1:8">
      <c r="A1839" s="6" t="s">
        <v>612</v>
      </c>
      <c r="B1839" s="7" t="s">
        <v>635</v>
      </c>
      <c r="C1839" s="7" t="s">
        <v>635</v>
      </c>
      <c r="D1839" s="7" t="s">
        <v>6362</v>
      </c>
      <c r="E1839" s="6" t="s">
        <v>6363</v>
      </c>
      <c r="F1839" s="8"/>
      <c r="G1839" s="8"/>
      <c r="H1839" s="8"/>
    </row>
    <row r="1840" spans="1:8">
      <c r="A1840" s="6" t="s">
        <v>612</v>
      </c>
      <c r="B1840" s="7" t="s">
        <v>635</v>
      </c>
      <c r="C1840" s="7" t="s">
        <v>2397</v>
      </c>
      <c r="D1840" s="7" t="s">
        <v>6364</v>
      </c>
      <c r="E1840" s="6" t="s">
        <v>6365</v>
      </c>
      <c r="F1840" s="8"/>
      <c r="G1840" s="8"/>
      <c r="H1840" s="8"/>
    </row>
    <row r="1841" spans="1:8">
      <c r="A1841" s="6" t="s">
        <v>612</v>
      </c>
      <c r="B1841" s="7" t="s">
        <v>635</v>
      </c>
      <c r="C1841" s="7" t="s">
        <v>635</v>
      </c>
      <c r="D1841" s="7" t="s">
        <v>6366</v>
      </c>
      <c r="E1841" s="6" t="s">
        <v>6367</v>
      </c>
      <c r="F1841" s="8" t="s">
        <v>7053</v>
      </c>
      <c r="G1841" s="8" t="s">
        <v>7054</v>
      </c>
      <c r="H1841" s="8" t="s">
        <v>7055</v>
      </c>
    </row>
    <row r="1842" spans="1:8">
      <c r="A1842" s="6" t="s">
        <v>612</v>
      </c>
      <c r="B1842" s="7" t="s">
        <v>635</v>
      </c>
      <c r="C1842" s="7" t="s">
        <v>635</v>
      </c>
      <c r="D1842" s="7" t="s">
        <v>6368</v>
      </c>
      <c r="E1842" s="6" t="s">
        <v>6369</v>
      </c>
      <c r="F1842" s="8"/>
      <c r="G1842" s="8"/>
      <c r="H1842" s="8"/>
    </row>
    <row r="1843" spans="1:8">
      <c r="A1843" s="6" t="s">
        <v>612</v>
      </c>
      <c r="B1843" s="7" t="s">
        <v>635</v>
      </c>
      <c r="C1843" s="7" t="s">
        <v>635</v>
      </c>
      <c r="D1843" s="7" t="s">
        <v>6370</v>
      </c>
      <c r="E1843" s="6" t="s">
        <v>6339</v>
      </c>
      <c r="F1843" s="8"/>
      <c r="G1843" s="8"/>
      <c r="H1843" s="8"/>
    </row>
    <row r="1844" spans="1:8">
      <c r="A1844" s="6" t="s">
        <v>612</v>
      </c>
      <c r="B1844" s="7" t="s">
        <v>635</v>
      </c>
      <c r="C1844" s="7" t="s">
        <v>635</v>
      </c>
      <c r="D1844" s="7" t="s">
        <v>6371</v>
      </c>
      <c r="E1844" s="6" t="s">
        <v>6372</v>
      </c>
      <c r="F1844" s="8" t="s">
        <v>6939</v>
      </c>
      <c r="G1844" s="8" t="s">
        <v>7018</v>
      </c>
      <c r="H1844" s="8" t="s">
        <v>7057</v>
      </c>
    </row>
    <row r="1845" spans="1:8">
      <c r="A1845" s="6" t="s">
        <v>612</v>
      </c>
      <c r="B1845" s="7" t="s">
        <v>635</v>
      </c>
      <c r="C1845" s="7" t="s">
        <v>635</v>
      </c>
      <c r="D1845" s="7" t="s">
        <v>6373</v>
      </c>
      <c r="E1845" s="6" t="s">
        <v>5583</v>
      </c>
      <c r="F1845" s="8"/>
      <c r="G1845" s="8"/>
      <c r="H1845" s="8"/>
    </row>
    <row r="1846" spans="1:8">
      <c r="A1846" s="6" t="s">
        <v>612</v>
      </c>
      <c r="B1846" s="7" t="s">
        <v>6374</v>
      </c>
      <c r="C1846" s="7" t="s">
        <v>6374</v>
      </c>
      <c r="D1846" s="7" t="s">
        <v>6375</v>
      </c>
      <c r="E1846" s="6" t="s">
        <v>6376</v>
      </c>
      <c r="F1846" s="8"/>
      <c r="G1846" s="8"/>
      <c r="H1846" s="8"/>
    </row>
    <row r="1847" spans="1:8">
      <c r="A1847" s="6" t="s">
        <v>612</v>
      </c>
      <c r="B1847" s="7" t="s">
        <v>6374</v>
      </c>
      <c r="C1847" s="7" t="s">
        <v>6374</v>
      </c>
      <c r="D1847" s="7" t="s">
        <v>6377</v>
      </c>
      <c r="E1847" s="6" t="s">
        <v>6378</v>
      </c>
      <c r="F1847" s="8"/>
      <c r="G1847" s="8"/>
      <c r="H1847" s="8"/>
    </row>
    <row r="1848" spans="1:8">
      <c r="A1848" s="6" t="s">
        <v>612</v>
      </c>
      <c r="B1848" s="7" t="s">
        <v>6374</v>
      </c>
      <c r="C1848" s="7" t="s">
        <v>6374</v>
      </c>
      <c r="D1848" s="7" t="s">
        <v>6379</v>
      </c>
      <c r="E1848" s="6" t="s">
        <v>6380</v>
      </c>
      <c r="F1848" s="8"/>
      <c r="G1848" s="8"/>
      <c r="H1848" s="8"/>
    </row>
    <row r="1849" spans="1:8">
      <c r="A1849" s="6" t="s">
        <v>612</v>
      </c>
      <c r="B1849" s="7" t="s">
        <v>6374</v>
      </c>
      <c r="C1849" s="7" t="s">
        <v>6374</v>
      </c>
      <c r="D1849" s="7" t="s">
        <v>6381</v>
      </c>
      <c r="E1849" s="6" t="s">
        <v>6382</v>
      </c>
      <c r="F1849" s="8"/>
      <c r="G1849" s="8"/>
      <c r="H1849" s="8"/>
    </row>
    <row r="1850" spans="1:8">
      <c r="A1850" s="6" t="s">
        <v>612</v>
      </c>
      <c r="B1850" s="7" t="s">
        <v>6374</v>
      </c>
      <c r="C1850" s="7" t="s">
        <v>6374</v>
      </c>
      <c r="D1850" s="7" t="s">
        <v>6383</v>
      </c>
      <c r="E1850" s="6" t="s">
        <v>6384</v>
      </c>
      <c r="F1850" s="8"/>
      <c r="G1850" s="8"/>
      <c r="H1850" s="8"/>
    </row>
    <row r="1851" spans="1:8">
      <c r="A1851" s="6" t="s">
        <v>612</v>
      </c>
      <c r="B1851" s="7" t="s">
        <v>6374</v>
      </c>
      <c r="C1851" s="7" t="s">
        <v>6374</v>
      </c>
      <c r="D1851" s="7" t="s">
        <v>6385</v>
      </c>
      <c r="E1851" s="6" t="s">
        <v>338</v>
      </c>
      <c r="F1851" s="8"/>
      <c r="G1851" s="8"/>
      <c r="H1851" s="8"/>
    </row>
    <row r="1852" spans="1:8">
      <c r="A1852" s="6" t="s">
        <v>612</v>
      </c>
      <c r="B1852" s="7" t="s">
        <v>6374</v>
      </c>
      <c r="C1852" s="7" t="s">
        <v>6374</v>
      </c>
      <c r="D1852" s="7" t="s">
        <v>6386</v>
      </c>
      <c r="E1852" s="6" t="s">
        <v>6387</v>
      </c>
      <c r="F1852" s="8"/>
      <c r="G1852" s="8"/>
      <c r="H1852" s="8"/>
    </row>
    <row r="1853" spans="1:8">
      <c r="A1853" s="6" t="s">
        <v>612</v>
      </c>
      <c r="B1853" s="7" t="s">
        <v>606</v>
      </c>
      <c r="C1853" s="7" t="s">
        <v>606</v>
      </c>
      <c r="D1853" s="7" t="s">
        <v>6388</v>
      </c>
      <c r="E1853" s="6" t="s">
        <v>2328</v>
      </c>
      <c r="F1853" s="8"/>
      <c r="G1853" s="8"/>
      <c r="H1853" s="8"/>
    </row>
    <row r="1854" spans="1:8">
      <c r="A1854" s="6" t="s">
        <v>612</v>
      </c>
      <c r="B1854" s="7" t="s">
        <v>6389</v>
      </c>
      <c r="C1854" s="7" t="s">
        <v>628</v>
      </c>
      <c r="D1854" s="7" t="s">
        <v>6390</v>
      </c>
      <c r="E1854" s="6" t="s">
        <v>6391</v>
      </c>
      <c r="F1854" s="8" t="s">
        <v>6939</v>
      </c>
      <c r="G1854" s="8" t="s">
        <v>6929</v>
      </c>
      <c r="H1854" s="8" t="s">
        <v>7061</v>
      </c>
    </row>
    <row r="1855" spans="1:8">
      <c r="A1855" s="6" t="s">
        <v>612</v>
      </c>
      <c r="B1855" s="7" t="s">
        <v>6389</v>
      </c>
      <c r="C1855" s="7" t="s">
        <v>6392</v>
      </c>
      <c r="D1855" s="7" t="s">
        <v>6393</v>
      </c>
      <c r="E1855" s="6" t="s">
        <v>6394</v>
      </c>
      <c r="F1855" s="8"/>
      <c r="G1855" s="8"/>
      <c r="H1855" s="8"/>
    </row>
    <row r="1856" spans="1:8">
      <c r="A1856" s="6" t="s">
        <v>612</v>
      </c>
      <c r="B1856" s="7" t="s">
        <v>1671</v>
      </c>
      <c r="C1856" s="7" t="s">
        <v>1671</v>
      </c>
      <c r="D1856" s="7" t="s">
        <v>6395</v>
      </c>
      <c r="E1856" s="6" t="s">
        <v>6396</v>
      </c>
      <c r="F1856" s="8"/>
      <c r="G1856" s="8"/>
      <c r="H1856" s="8"/>
    </row>
    <row r="1857" spans="1:8">
      <c r="A1857" s="6" t="s">
        <v>612</v>
      </c>
      <c r="B1857" s="7" t="s">
        <v>613</v>
      </c>
      <c r="C1857" s="7" t="s">
        <v>613</v>
      </c>
      <c r="D1857" s="7" t="s">
        <v>6397</v>
      </c>
      <c r="E1857" s="6" t="s">
        <v>6398</v>
      </c>
      <c r="F1857" s="8"/>
      <c r="G1857" s="8"/>
      <c r="H1857" s="8"/>
    </row>
    <row r="1858" spans="1:8">
      <c r="A1858" s="6" t="s">
        <v>612</v>
      </c>
      <c r="B1858" s="7" t="s">
        <v>6399</v>
      </c>
      <c r="C1858" s="7" t="s">
        <v>6400</v>
      </c>
      <c r="D1858" s="7" t="s">
        <v>6401</v>
      </c>
      <c r="E1858" s="6" t="s">
        <v>6402</v>
      </c>
      <c r="F1858" s="8"/>
      <c r="G1858" s="8"/>
      <c r="H1858" s="8"/>
    </row>
    <row r="1859" spans="1:8">
      <c r="A1859" s="6" t="s">
        <v>612</v>
      </c>
      <c r="B1859" s="7" t="s">
        <v>6399</v>
      </c>
      <c r="C1859" s="7" t="s">
        <v>6400</v>
      </c>
      <c r="D1859" s="7" t="s">
        <v>6403</v>
      </c>
      <c r="E1859" s="6" t="s">
        <v>6404</v>
      </c>
      <c r="F1859" s="8"/>
      <c r="G1859" s="8"/>
      <c r="H1859" s="8"/>
    </row>
    <row r="1860" spans="1:8">
      <c r="A1860" s="6" t="s">
        <v>612</v>
      </c>
      <c r="B1860" s="7" t="s">
        <v>6399</v>
      </c>
      <c r="C1860" s="7" t="s">
        <v>6400</v>
      </c>
      <c r="D1860" s="7" t="s">
        <v>6405</v>
      </c>
      <c r="E1860" s="6" t="s">
        <v>6406</v>
      </c>
      <c r="F1860" s="8"/>
      <c r="G1860" s="8"/>
      <c r="H1860" s="8"/>
    </row>
    <row r="1861" spans="1:8">
      <c r="A1861" s="6" t="s">
        <v>612</v>
      </c>
      <c r="B1861" s="7" t="s">
        <v>1671</v>
      </c>
      <c r="C1861" s="7" t="s">
        <v>1671</v>
      </c>
      <c r="D1861" s="7" t="s">
        <v>6407</v>
      </c>
      <c r="E1861" s="6" t="s">
        <v>3153</v>
      </c>
      <c r="F1861" s="8" t="s">
        <v>5162</v>
      </c>
      <c r="G1861" s="8" t="s">
        <v>6929</v>
      </c>
      <c r="H1861" s="8" t="s">
        <v>7049</v>
      </c>
    </row>
    <row r="1862" spans="1:8">
      <c r="A1862" s="6" t="s">
        <v>612</v>
      </c>
      <c r="B1862" s="7" t="s">
        <v>1671</v>
      </c>
      <c r="C1862" s="7" t="s">
        <v>1671</v>
      </c>
      <c r="D1862" s="7" t="s">
        <v>6408</v>
      </c>
      <c r="E1862" s="6" t="s">
        <v>6409</v>
      </c>
      <c r="F1862" s="8" t="s">
        <v>5162</v>
      </c>
      <c r="G1862" s="8" t="s">
        <v>6929</v>
      </c>
      <c r="H1862" s="8" t="s">
        <v>7049</v>
      </c>
    </row>
    <row r="1863" spans="1:8">
      <c r="A1863" s="6" t="s">
        <v>612</v>
      </c>
      <c r="B1863" s="7" t="s">
        <v>6410</v>
      </c>
      <c r="C1863" s="7" t="s">
        <v>935</v>
      </c>
      <c r="D1863" s="7" t="s">
        <v>6411</v>
      </c>
      <c r="E1863" s="6" t="s">
        <v>6412</v>
      </c>
      <c r="F1863" s="8" t="s">
        <v>6982</v>
      </c>
      <c r="G1863" s="8" t="s">
        <v>6929</v>
      </c>
      <c r="H1863" s="8" t="s">
        <v>7058</v>
      </c>
    </row>
    <row r="1864" spans="1:8">
      <c r="A1864" s="6" t="s">
        <v>612</v>
      </c>
      <c r="B1864" s="7" t="s">
        <v>5252</v>
      </c>
      <c r="C1864" s="7" t="s">
        <v>5252</v>
      </c>
      <c r="D1864" s="7" t="s">
        <v>6413</v>
      </c>
      <c r="E1864" s="6" t="s">
        <v>5457</v>
      </c>
      <c r="F1864" s="8" t="s">
        <v>6943</v>
      </c>
      <c r="G1864" s="8" t="s">
        <v>7056</v>
      </c>
      <c r="H1864" s="8" t="s">
        <v>6927</v>
      </c>
    </row>
    <row r="1865" spans="1:8">
      <c r="A1865" s="6" t="s">
        <v>612</v>
      </c>
      <c r="B1865" s="7" t="s">
        <v>5252</v>
      </c>
      <c r="C1865" s="7" t="s">
        <v>5252</v>
      </c>
      <c r="D1865" s="7" t="s">
        <v>6414</v>
      </c>
      <c r="E1865" s="6" t="s">
        <v>6415</v>
      </c>
      <c r="F1865" s="8" t="s">
        <v>6943</v>
      </c>
      <c r="G1865" s="8" t="s">
        <v>7056</v>
      </c>
      <c r="H1865" s="8" t="s">
        <v>6927</v>
      </c>
    </row>
    <row r="1866" spans="1:8">
      <c r="A1866" s="6" t="s">
        <v>612</v>
      </c>
      <c r="B1866" s="7" t="s">
        <v>5252</v>
      </c>
      <c r="C1866" s="7" t="s">
        <v>5252</v>
      </c>
      <c r="D1866" s="7" t="s">
        <v>6416</v>
      </c>
      <c r="E1866" s="6" t="s">
        <v>6417</v>
      </c>
      <c r="F1866" s="8" t="s">
        <v>6943</v>
      </c>
      <c r="G1866" s="8" t="s">
        <v>7056</v>
      </c>
      <c r="H1866" s="8" t="s">
        <v>6927</v>
      </c>
    </row>
    <row r="1867" spans="1:8">
      <c r="A1867" s="6" t="s">
        <v>612</v>
      </c>
      <c r="B1867" s="7" t="s">
        <v>5252</v>
      </c>
      <c r="C1867" s="7" t="s">
        <v>5252</v>
      </c>
      <c r="D1867" s="7" t="s">
        <v>6418</v>
      </c>
      <c r="E1867" s="6" t="s">
        <v>6419</v>
      </c>
      <c r="F1867" s="8" t="s">
        <v>6943</v>
      </c>
      <c r="G1867" s="8" t="s">
        <v>7056</v>
      </c>
      <c r="H1867" s="8" t="s">
        <v>6927</v>
      </c>
    </row>
    <row r="1868" spans="1:8">
      <c r="A1868" s="6" t="s">
        <v>612</v>
      </c>
      <c r="B1868" s="7" t="s">
        <v>5634</v>
      </c>
      <c r="C1868" s="7" t="s">
        <v>116</v>
      </c>
      <c r="D1868" s="7" t="s">
        <v>6420</v>
      </c>
      <c r="E1868" s="6" t="s">
        <v>6421</v>
      </c>
      <c r="F1868" s="8" t="s">
        <v>6934</v>
      </c>
      <c r="G1868" s="8" t="s">
        <v>6929</v>
      </c>
      <c r="H1868" s="8" t="s">
        <v>6954</v>
      </c>
    </row>
    <row r="1869" spans="1:8">
      <c r="A1869" s="6" t="s">
        <v>612</v>
      </c>
      <c r="B1869" s="7" t="s">
        <v>635</v>
      </c>
      <c r="C1869" s="7" t="s">
        <v>2397</v>
      </c>
      <c r="D1869" s="7" t="s">
        <v>6422</v>
      </c>
      <c r="E1869" s="6" t="s">
        <v>6423</v>
      </c>
      <c r="F1869" s="8"/>
      <c r="G1869" s="8"/>
      <c r="H1869" s="8"/>
    </row>
    <row r="1870" spans="1:8">
      <c r="A1870" s="6" t="s">
        <v>612</v>
      </c>
      <c r="B1870" s="7" t="s">
        <v>635</v>
      </c>
      <c r="C1870" s="7" t="s">
        <v>635</v>
      </c>
      <c r="D1870" s="7" t="s">
        <v>6424</v>
      </c>
      <c r="E1870" s="6" t="s">
        <v>6425</v>
      </c>
      <c r="F1870" s="8"/>
      <c r="G1870" s="8"/>
      <c r="H1870" s="8"/>
    </row>
    <row r="1871" spans="1:8">
      <c r="A1871" s="6" t="s">
        <v>612</v>
      </c>
      <c r="B1871" s="7" t="s">
        <v>635</v>
      </c>
      <c r="C1871" s="7" t="s">
        <v>635</v>
      </c>
      <c r="D1871" s="7" t="s">
        <v>6426</v>
      </c>
      <c r="E1871" s="6" t="s">
        <v>6427</v>
      </c>
      <c r="F1871" s="8"/>
      <c r="G1871" s="8"/>
      <c r="H1871" s="8"/>
    </row>
    <row r="1872" spans="1:8">
      <c r="A1872" s="6" t="s">
        <v>612</v>
      </c>
      <c r="B1872" s="7" t="s">
        <v>635</v>
      </c>
      <c r="C1872" s="7" t="s">
        <v>635</v>
      </c>
      <c r="D1872" s="7" t="s">
        <v>6428</v>
      </c>
      <c r="E1872" s="6" t="s">
        <v>6429</v>
      </c>
      <c r="F1872" s="8"/>
      <c r="G1872" s="8"/>
      <c r="H1872" s="8"/>
    </row>
    <row r="1873" spans="1:8">
      <c r="A1873" s="6" t="s">
        <v>612</v>
      </c>
      <c r="B1873" s="7" t="s">
        <v>112</v>
      </c>
      <c r="C1873" s="7" t="s">
        <v>112</v>
      </c>
      <c r="D1873" s="7" t="s">
        <v>6430</v>
      </c>
      <c r="E1873" s="6" t="s">
        <v>6431</v>
      </c>
      <c r="F1873" s="8"/>
      <c r="G1873" s="8"/>
      <c r="H1873" s="8"/>
    </row>
    <row r="1874" spans="1:8">
      <c r="A1874" s="6" t="s">
        <v>612</v>
      </c>
      <c r="B1874" s="7" t="s">
        <v>112</v>
      </c>
      <c r="C1874" s="7" t="s">
        <v>112</v>
      </c>
      <c r="D1874" s="7" t="s">
        <v>6432</v>
      </c>
      <c r="E1874" s="6" t="s">
        <v>6433</v>
      </c>
      <c r="F1874" s="8"/>
      <c r="G1874" s="8"/>
      <c r="H1874" s="8"/>
    </row>
    <row r="1875" spans="1:8">
      <c r="A1875" s="6" t="s">
        <v>612</v>
      </c>
      <c r="B1875" s="7" t="s">
        <v>1671</v>
      </c>
      <c r="C1875" s="7" t="s">
        <v>1671</v>
      </c>
      <c r="D1875" s="7" t="s">
        <v>6434</v>
      </c>
      <c r="E1875" s="6" t="s">
        <v>6435</v>
      </c>
      <c r="F1875" s="8"/>
      <c r="G1875" s="8"/>
      <c r="H1875" s="8"/>
    </row>
    <row r="1876" spans="1:8">
      <c r="A1876" s="6" t="s">
        <v>612</v>
      </c>
      <c r="B1876" s="7" t="s">
        <v>6436</v>
      </c>
      <c r="C1876" s="7" t="s">
        <v>108</v>
      </c>
      <c r="D1876" s="7" t="s">
        <v>6437</v>
      </c>
      <c r="E1876" s="6" t="s">
        <v>6438</v>
      </c>
      <c r="F1876" s="8"/>
      <c r="G1876" s="8"/>
      <c r="H1876" s="8"/>
    </row>
    <row r="1877" spans="1:8">
      <c r="A1877" s="6" t="s">
        <v>1723</v>
      </c>
      <c r="B1877" s="7" t="s">
        <v>9</v>
      </c>
      <c r="C1877" s="7" t="s">
        <v>9</v>
      </c>
      <c r="D1877" s="7" t="s">
        <v>1724</v>
      </c>
      <c r="E1877" s="6" t="s">
        <v>1725</v>
      </c>
      <c r="F1877" s="8" t="s">
        <v>7046</v>
      </c>
      <c r="G1877" s="8" t="s">
        <v>6987</v>
      </c>
      <c r="H1877" s="8" t="s">
        <v>7047</v>
      </c>
    </row>
    <row r="1878" spans="1:8">
      <c r="A1878" s="6" t="s">
        <v>1723</v>
      </c>
      <c r="B1878" s="7" t="s">
        <v>9</v>
      </c>
      <c r="C1878" s="7" t="s">
        <v>9</v>
      </c>
      <c r="D1878" s="7" t="s">
        <v>1967</v>
      </c>
      <c r="E1878" s="6" t="s">
        <v>1968</v>
      </c>
      <c r="F1878" s="8"/>
      <c r="G1878" s="8"/>
      <c r="H1878" s="8"/>
    </row>
    <row r="1879" spans="1:8">
      <c r="A1879" s="6" t="s">
        <v>2386</v>
      </c>
      <c r="B1879" s="7" t="s">
        <v>1512</v>
      </c>
      <c r="C1879" s="7" t="s">
        <v>1411</v>
      </c>
      <c r="D1879" s="7" t="s">
        <v>2387</v>
      </c>
      <c r="E1879" s="6" t="s">
        <v>2388</v>
      </c>
      <c r="F1879" s="8" t="s">
        <v>6931</v>
      </c>
      <c r="G1879" s="8" t="s">
        <v>6929</v>
      </c>
      <c r="H1879" s="8" t="s">
        <v>7199</v>
      </c>
    </row>
    <row r="1880" spans="1:8">
      <c r="A1880" s="6" t="s">
        <v>2386</v>
      </c>
      <c r="B1880" s="7" t="s">
        <v>1512</v>
      </c>
      <c r="C1880" s="7" t="s">
        <v>1411</v>
      </c>
      <c r="D1880" s="7" t="s">
        <v>2389</v>
      </c>
      <c r="E1880" s="6" t="s">
        <v>2390</v>
      </c>
      <c r="F1880" s="8" t="s">
        <v>6931</v>
      </c>
      <c r="G1880" s="8" t="s">
        <v>6929</v>
      </c>
      <c r="H1880" s="8" t="s">
        <v>7199</v>
      </c>
    </row>
    <row r="1881" spans="1:8">
      <c r="A1881" s="6" t="s">
        <v>1346</v>
      </c>
      <c r="B1881" s="7" t="s">
        <v>1347</v>
      </c>
      <c r="C1881" s="7" t="s">
        <v>1347</v>
      </c>
      <c r="D1881" s="7" t="s">
        <v>1348</v>
      </c>
      <c r="E1881" s="6" t="s">
        <v>1349</v>
      </c>
      <c r="F1881" s="8"/>
      <c r="G1881" s="8"/>
      <c r="H1881" s="8"/>
    </row>
    <row r="1882" spans="1:8">
      <c r="A1882" s="6" t="s">
        <v>1346</v>
      </c>
      <c r="B1882" s="7" t="s">
        <v>9</v>
      </c>
      <c r="C1882" s="7" t="s">
        <v>1383</v>
      </c>
      <c r="D1882" s="7" t="s">
        <v>1384</v>
      </c>
      <c r="E1882" s="6" t="s">
        <v>1385</v>
      </c>
      <c r="F1882" s="8" t="s">
        <v>3334</v>
      </c>
      <c r="G1882" s="8" t="s">
        <v>6953</v>
      </c>
      <c r="H1882" s="8" t="s">
        <v>7201</v>
      </c>
    </row>
    <row r="1883" spans="1:8">
      <c r="A1883" s="6" t="s">
        <v>1346</v>
      </c>
      <c r="B1883" s="7" t="s">
        <v>1246</v>
      </c>
      <c r="C1883" s="7" t="s">
        <v>4209</v>
      </c>
      <c r="D1883" s="7" t="s">
        <v>4210</v>
      </c>
      <c r="E1883" s="6" t="s">
        <v>4211</v>
      </c>
      <c r="F1883" s="8"/>
      <c r="G1883" s="8"/>
      <c r="H1883" s="8"/>
    </row>
    <row r="1884" spans="1:8">
      <c r="A1884" s="6" t="s">
        <v>1346</v>
      </c>
      <c r="B1884" s="7" t="s">
        <v>1275</v>
      </c>
      <c r="C1884" s="7" t="s">
        <v>4212</v>
      </c>
      <c r="D1884" s="7" t="s">
        <v>4213</v>
      </c>
      <c r="E1884" s="6" t="s">
        <v>4214</v>
      </c>
      <c r="F1884" s="8" t="s">
        <v>5162</v>
      </c>
      <c r="G1884" s="8" t="s">
        <v>6929</v>
      </c>
      <c r="H1884" s="8" t="s">
        <v>6967</v>
      </c>
    </row>
    <row r="1885" spans="1:8">
      <c r="A1885" s="6" t="s">
        <v>1346</v>
      </c>
      <c r="B1885" s="7" t="s">
        <v>4215</v>
      </c>
      <c r="C1885" s="7" t="s">
        <v>4216</v>
      </c>
      <c r="D1885" s="7" t="s">
        <v>4217</v>
      </c>
      <c r="E1885" s="6" t="s">
        <v>4218</v>
      </c>
      <c r="F1885" s="8"/>
      <c r="G1885" s="8"/>
      <c r="H1885" s="8"/>
    </row>
    <row r="1886" spans="1:8">
      <c r="A1886" s="6" t="s">
        <v>1346</v>
      </c>
      <c r="B1886" s="7" t="s">
        <v>4215</v>
      </c>
      <c r="C1886" s="7" t="s">
        <v>4215</v>
      </c>
      <c r="D1886" s="7" t="s">
        <v>4219</v>
      </c>
      <c r="E1886" s="6" t="s">
        <v>4220</v>
      </c>
      <c r="F1886" s="8" t="s">
        <v>3334</v>
      </c>
      <c r="G1886" s="8" t="s">
        <v>7018</v>
      </c>
      <c r="H1886" s="8" t="s">
        <v>7200</v>
      </c>
    </row>
    <row r="1887" spans="1:8">
      <c r="A1887" s="6" t="s">
        <v>1346</v>
      </c>
      <c r="B1887" s="7" t="s">
        <v>4221</v>
      </c>
      <c r="C1887" s="7" t="s">
        <v>4221</v>
      </c>
      <c r="D1887" s="7" t="s">
        <v>4222</v>
      </c>
      <c r="E1887" s="6" t="s">
        <v>4223</v>
      </c>
      <c r="F1887" s="8"/>
      <c r="G1887" s="8"/>
      <c r="H1887" s="8"/>
    </row>
    <row r="1888" spans="1:8">
      <c r="A1888" s="6" t="s">
        <v>1346</v>
      </c>
      <c r="B1888" s="7" t="s">
        <v>4221</v>
      </c>
      <c r="C1888" s="7" t="s">
        <v>4221</v>
      </c>
      <c r="D1888" s="7" t="s">
        <v>4224</v>
      </c>
      <c r="E1888" s="6" t="s">
        <v>4225</v>
      </c>
      <c r="F1888" s="8"/>
      <c r="G1888" s="8"/>
      <c r="H1888" s="8"/>
    </row>
    <row r="1889" spans="1:8">
      <c r="A1889" s="6" t="s">
        <v>1346</v>
      </c>
      <c r="B1889" s="7" t="s">
        <v>4221</v>
      </c>
      <c r="C1889" s="7" t="s">
        <v>4221</v>
      </c>
      <c r="D1889" s="7" t="s">
        <v>4226</v>
      </c>
      <c r="E1889" s="6" t="s">
        <v>1777</v>
      </c>
      <c r="F1889" s="8"/>
      <c r="G1889" s="8"/>
      <c r="H1889" s="8"/>
    </row>
    <row r="1890" spans="1:8">
      <c r="A1890" s="6" t="s">
        <v>1346</v>
      </c>
      <c r="B1890" s="7" t="s">
        <v>1347</v>
      </c>
      <c r="C1890" s="7" t="s">
        <v>4227</v>
      </c>
      <c r="D1890" s="7" t="s">
        <v>4228</v>
      </c>
      <c r="E1890" s="6" t="s">
        <v>4229</v>
      </c>
      <c r="F1890" s="8"/>
      <c r="G1890" s="8"/>
      <c r="H1890" s="8"/>
    </row>
    <row r="1891" spans="1:8">
      <c r="A1891" s="6" t="s">
        <v>1346</v>
      </c>
      <c r="B1891" s="7" t="s">
        <v>1347</v>
      </c>
      <c r="C1891" s="7" t="s">
        <v>4230</v>
      </c>
      <c r="D1891" s="7" t="s">
        <v>4231</v>
      </c>
      <c r="E1891" s="6" t="s">
        <v>4232</v>
      </c>
      <c r="F1891" s="8"/>
      <c r="G1891" s="8"/>
      <c r="H1891" s="8"/>
    </row>
    <row r="1892" spans="1:8">
      <c r="A1892" s="6" t="s">
        <v>1346</v>
      </c>
      <c r="B1892" s="7" t="s">
        <v>1347</v>
      </c>
      <c r="C1892" s="7" t="s">
        <v>606</v>
      </c>
      <c r="D1892" s="7" t="s">
        <v>4233</v>
      </c>
      <c r="E1892" s="6" t="s">
        <v>4234</v>
      </c>
      <c r="F1892" s="8"/>
      <c r="G1892" s="8"/>
      <c r="H1892" s="8"/>
    </row>
    <row r="1893" spans="1:8">
      <c r="A1893" s="6" t="s">
        <v>1346</v>
      </c>
      <c r="B1893" s="7" t="s">
        <v>1347</v>
      </c>
      <c r="C1893" s="7" t="s">
        <v>606</v>
      </c>
      <c r="D1893" s="7" t="s">
        <v>4235</v>
      </c>
      <c r="E1893" s="6" t="s">
        <v>4236</v>
      </c>
      <c r="F1893" s="8"/>
      <c r="G1893" s="8"/>
      <c r="H1893" s="8"/>
    </row>
    <row r="1894" spans="1:8">
      <c r="A1894" s="6" t="s">
        <v>1346</v>
      </c>
      <c r="B1894" s="7" t="s">
        <v>2225</v>
      </c>
      <c r="C1894" s="7" t="s">
        <v>4237</v>
      </c>
      <c r="D1894" s="7" t="s">
        <v>4238</v>
      </c>
      <c r="E1894" s="6" t="s">
        <v>4239</v>
      </c>
      <c r="F1894" s="8"/>
      <c r="G1894" s="8"/>
      <c r="H1894" s="8"/>
    </row>
    <row r="1895" spans="1:8">
      <c r="A1895" s="6" t="s">
        <v>231</v>
      </c>
      <c r="B1895" s="7" t="s">
        <v>232</v>
      </c>
      <c r="C1895" s="7" t="s">
        <v>232</v>
      </c>
      <c r="D1895" s="7" t="s">
        <v>233</v>
      </c>
      <c r="E1895" s="6" t="s">
        <v>234</v>
      </c>
      <c r="F1895" s="8"/>
      <c r="G1895" s="8"/>
      <c r="H1895" s="8"/>
    </row>
    <row r="1896" spans="1:8">
      <c r="A1896" s="6" t="s">
        <v>231</v>
      </c>
      <c r="B1896" s="7" t="s">
        <v>232</v>
      </c>
      <c r="C1896" s="7" t="s">
        <v>814</v>
      </c>
      <c r="D1896" s="7" t="s">
        <v>815</v>
      </c>
      <c r="E1896" s="6" t="s">
        <v>816</v>
      </c>
      <c r="F1896" s="8"/>
      <c r="G1896" s="8"/>
      <c r="H1896" s="8"/>
    </row>
    <row r="1897" spans="1:8">
      <c r="A1897" s="6" t="s">
        <v>231</v>
      </c>
      <c r="B1897" s="7" t="s">
        <v>1473</v>
      </c>
      <c r="C1897" s="7" t="s">
        <v>1473</v>
      </c>
      <c r="D1897" s="7" t="s">
        <v>1474</v>
      </c>
      <c r="E1897" s="6" t="s">
        <v>273</v>
      </c>
      <c r="F1897" s="8"/>
      <c r="G1897" s="8"/>
      <c r="H1897" s="8"/>
    </row>
    <row r="1898" spans="1:8">
      <c r="A1898" s="6" t="s">
        <v>231</v>
      </c>
      <c r="B1898" s="7" t="s">
        <v>1473</v>
      </c>
      <c r="C1898" s="7" t="s">
        <v>1473</v>
      </c>
      <c r="D1898" s="7" t="s">
        <v>1475</v>
      </c>
      <c r="E1898" s="6" t="s">
        <v>1476</v>
      </c>
      <c r="F1898" s="8"/>
      <c r="G1898" s="8"/>
      <c r="H1898" s="8"/>
    </row>
    <row r="1899" spans="1:8">
      <c r="A1899" s="6" t="s">
        <v>231</v>
      </c>
      <c r="B1899" s="7" t="s">
        <v>232</v>
      </c>
      <c r="C1899" s="7" t="s">
        <v>232</v>
      </c>
      <c r="D1899" s="7" t="s">
        <v>1994</v>
      </c>
      <c r="E1899" s="6" t="s">
        <v>1995</v>
      </c>
      <c r="F1899" s="8"/>
      <c r="G1899" s="8"/>
      <c r="H1899" s="8"/>
    </row>
    <row r="1900" spans="1:8">
      <c r="A1900" s="6" t="s">
        <v>231</v>
      </c>
      <c r="B1900" s="7" t="s">
        <v>232</v>
      </c>
      <c r="C1900" s="7" t="s">
        <v>1996</v>
      </c>
      <c r="D1900" s="7" t="s">
        <v>1997</v>
      </c>
      <c r="E1900" s="6" t="s">
        <v>1998</v>
      </c>
      <c r="F1900" s="8"/>
      <c r="G1900" s="8"/>
      <c r="H1900" s="8"/>
    </row>
    <row r="1901" spans="1:8">
      <c r="A1901" s="6" t="s">
        <v>231</v>
      </c>
      <c r="B1901" s="7" t="s">
        <v>232</v>
      </c>
      <c r="C1901" s="7" t="s">
        <v>1996</v>
      </c>
      <c r="D1901" s="7" t="s">
        <v>2000</v>
      </c>
      <c r="E1901" s="6" t="s">
        <v>2001</v>
      </c>
      <c r="F1901" s="8"/>
      <c r="G1901" s="8"/>
      <c r="H1901" s="8"/>
    </row>
    <row r="1902" spans="1:8">
      <c r="A1902" s="6" t="s">
        <v>231</v>
      </c>
      <c r="B1902" s="7" t="s">
        <v>232</v>
      </c>
      <c r="C1902" s="7" t="s">
        <v>232</v>
      </c>
      <c r="D1902" s="7" t="s">
        <v>2002</v>
      </c>
      <c r="E1902" s="6" t="s">
        <v>911</v>
      </c>
      <c r="F1902" s="8"/>
      <c r="G1902" s="8"/>
      <c r="H1902" s="8"/>
    </row>
    <row r="1903" spans="1:8">
      <c r="A1903" s="6" t="s">
        <v>231</v>
      </c>
      <c r="B1903" s="7" t="s">
        <v>232</v>
      </c>
      <c r="C1903" s="7" t="s">
        <v>232</v>
      </c>
      <c r="D1903" s="7" t="s">
        <v>2003</v>
      </c>
      <c r="E1903" s="6" t="s">
        <v>2004</v>
      </c>
      <c r="F1903" s="8"/>
      <c r="G1903" s="8"/>
      <c r="H1903" s="8"/>
    </row>
    <row r="1904" spans="1:8">
      <c r="A1904" s="6" t="s">
        <v>231</v>
      </c>
      <c r="B1904" s="7" t="s">
        <v>232</v>
      </c>
      <c r="C1904" s="7" t="s">
        <v>2005</v>
      </c>
      <c r="D1904" s="7" t="s">
        <v>2006</v>
      </c>
      <c r="E1904" s="6" t="s">
        <v>1999</v>
      </c>
      <c r="F1904" s="8" t="s">
        <v>6934</v>
      </c>
      <c r="G1904" s="8" t="s">
        <v>6926</v>
      </c>
      <c r="H1904" s="8" t="s">
        <v>7205</v>
      </c>
    </row>
    <row r="1905" spans="1:8">
      <c r="A1905" s="6" t="s">
        <v>231</v>
      </c>
      <c r="B1905" s="7" t="s">
        <v>232</v>
      </c>
      <c r="C1905" s="7" t="s">
        <v>2005</v>
      </c>
      <c r="D1905" s="7" t="s">
        <v>2007</v>
      </c>
      <c r="E1905" s="6" t="s">
        <v>2008</v>
      </c>
      <c r="F1905" s="8" t="s">
        <v>6934</v>
      </c>
      <c r="G1905" s="8" t="s">
        <v>6926</v>
      </c>
      <c r="H1905" s="8" t="s">
        <v>7205</v>
      </c>
    </row>
    <row r="1906" spans="1:8">
      <c r="A1906" s="6" t="s">
        <v>231</v>
      </c>
      <c r="B1906" s="7" t="s">
        <v>232</v>
      </c>
      <c r="C1906" s="7" t="s">
        <v>2005</v>
      </c>
      <c r="D1906" s="7" t="s">
        <v>2009</v>
      </c>
      <c r="E1906" s="6" t="s">
        <v>2010</v>
      </c>
      <c r="F1906" s="8" t="s">
        <v>6934</v>
      </c>
      <c r="G1906" s="8" t="s">
        <v>6926</v>
      </c>
      <c r="H1906" s="8" t="s">
        <v>7205</v>
      </c>
    </row>
    <row r="1907" spans="1:8">
      <c r="A1907" s="6" t="s">
        <v>231</v>
      </c>
      <c r="B1907" s="7" t="s">
        <v>232</v>
      </c>
      <c r="C1907" s="7" t="s">
        <v>1996</v>
      </c>
      <c r="D1907" s="7" t="s">
        <v>2011</v>
      </c>
      <c r="E1907" s="6" t="s">
        <v>1999</v>
      </c>
      <c r="F1907" s="8"/>
      <c r="G1907" s="8"/>
      <c r="H1907" s="8"/>
    </row>
    <row r="1908" spans="1:8">
      <c r="A1908" s="6" t="s">
        <v>231</v>
      </c>
      <c r="B1908" s="7" t="s">
        <v>232</v>
      </c>
      <c r="C1908" s="7" t="s">
        <v>1996</v>
      </c>
      <c r="D1908" s="7" t="s">
        <v>2012</v>
      </c>
      <c r="E1908" s="6" t="s">
        <v>2013</v>
      </c>
      <c r="F1908" s="8"/>
      <c r="G1908" s="8"/>
      <c r="H1908" s="8"/>
    </row>
    <row r="1909" spans="1:8">
      <c r="A1909" s="6" t="s">
        <v>231</v>
      </c>
      <c r="B1909" s="7" t="s">
        <v>232</v>
      </c>
      <c r="C1909" s="7" t="s">
        <v>1996</v>
      </c>
      <c r="D1909" s="7" t="s">
        <v>2014</v>
      </c>
      <c r="E1909" s="6" t="s">
        <v>2015</v>
      </c>
      <c r="F1909" s="8"/>
      <c r="G1909" s="8"/>
      <c r="H1909" s="8"/>
    </row>
    <row r="1910" spans="1:8">
      <c r="A1910" s="6" t="s">
        <v>231</v>
      </c>
      <c r="B1910" s="7" t="s">
        <v>232</v>
      </c>
      <c r="C1910" s="7" t="s">
        <v>814</v>
      </c>
      <c r="D1910" s="7" t="s">
        <v>2016</v>
      </c>
      <c r="E1910" s="6" t="s">
        <v>2017</v>
      </c>
      <c r="F1910" s="8"/>
      <c r="G1910" s="8"/>
      <c r="H1910" s="8"/>
    </row>
    <row r="1911" spans="1:8">
      <c r="A1911" s="6" t="s">
        <v>231</v>
      </c>
      <c r="B1911" s="7" t="s">
        <v>232</v>
      </c>
      <c r="C1911" s="7" t="s">
        <v>2018</v>
      </c>
      <c r="D1911" s="7" t="s">
        <v>2019</v>
      </c>
      <c r="E1911" s="6" t="s">
        <v>2020</v>
      </c>
      <c r="F1911" s="8"/>
      <c r="G1911" s="8"/>
      <c r="H1911" s="8"/>
    </row>
    <row r="1912" spans="1:8">
      <c r="A1912" s="6" t="s">
        <v>231</v>
      </c>
      <c r="B1912" s="7" t="s">
        <v>232</v>
      </c>
      <c r="C1912" s="7" t="s">
        <v>2018</v>
      </c>
      <c r="D1912" s="7" t="s">
        <v>2021</v>
      </c>
      <c r="E1912" s="6" t="s">
        <v>2022</v>
      </c>
      <c r="F1912" s="8" t="s">
        <v>7041</v>
      </c>
      <c r="G1912" s="8" t="s">
        <v>6929</v>
      </c>
      <c r="H1912" s="8" t="s">
        <v>7202</v>
      </c>
    </row>
    <row r="1913" spans="1:8">
      <c r="A1913" s="6" t="s">
        <v>231</v>
      </c>
      <c r="B1913" s="7" t="s">
        <v>232</v>
      </c>
      <c r="C1913" s="7" t="s">
        <v>2018</v>
      </c>
      <c r="D1913" s="7" t="s">
        <v>2023</v>
      </c>
      <c r="E1913" s="6" t="s">
        <v>2024</v>
      </c>
      <c r="F1913" s="8"/>
      <c r="G1913" s="8"/>
      <c r="H1913" s="8"/>
    </row>
    <row r="1914" spans="1:8">
      <c r="A1914" s="6" t="s">
        <v>231</v>
      </c>
      <c r="B1914" s="7" t="s">
        <v>232</v>
      </c>
      <c r="C1914" s="7" t="s">
        <v>2018</v>
      </c>
      <c r="D1914" s="7" t="s">
        <v>2025</v>
      </c>
      <c r="E1914" s="6" t="s">
        <v>404</v>
      </c>
      <c r="F1914" s="8"/>
      <c r="G1914" s="8"/>
      <c r="H1914" s="8"/>
    </row>
    <row r="1915" spans="1:8">
      <c r="A1915" s="6" t="s">
        <v>231</v>
      </c>
      <c r="B1915" s="7" t="s">
        <v>232</v>
      </c>
      <c r="C1915" s="7" t="s">
        <v>1996</v>
      </c>
      <c r="D1915" s="7" t="s">
        <v>2026</v>
      </c>
      <c r="E1915" s="6" t="s">
        <v>2027</v>
      </c>
      <c r="F1915" s="8" t="s">
        <v>7027</v>
      </c>
      <c r="G1915" s="8" t="s">
        <v>6929</v>
      </c>
      <c r="H1915" s="8" t="s">
        <v>7204</v>
      </c>
    </row>
    <row r="1916" spans="1:8">
      <c r="A1916" s="6" t="s">
        <v>231</v>
      </c>
      <c r="B1916" s="7" t="s">
        <v>232</v>
      </c>
      <c r="C1916" s="7" t="s">
        <v>2018</v>
      </c>
      <c r="D1916" s="7" t="s">
        <v>2028</v>
      </c>
      <c r="E1916" s="6" t="s">
        <v>2029</v>
      </c>
      <c r="F1916" s="8"/>
      <c r="G1916" s="8"/>
      <c r="H1916" s="8"/>
    </row>
    <row r="1917" spans="1:8">
      <c r="A1917" s="6" t="s">
        <v>231</v>
      </c>
      <c r="B1917" s="7" t="s">
        <v>232</v>
      </c>
      <c r="C1917" s="7" t="s">
        <v>2018</v>
      </c>
      <c r="D1917" s="7" t="s">
        <v>2030</v>
      </c>
      <c r="E1917" s="6" t="s">
        <v>2031</v>
      </c>
      <c r="F1917" s="8"/>
      <c r="G1917" s="8"/>
      <c r="H1917" s="8"/>
    </row>
    <row r="1918" spans="1:8">
      <c r="A1918" s="6" t="s">
        <v>231</v>
      </c>
      <c r="B1918" s="7" t="s">
        <v>232</v>
      </c>
      <c r="C1918" s="7" t="s">
        <v>2018</v>
      </c>
      <c r="D1918" s="7" t="s">
        <v>2032</v>
      </c>
      <c r="E1918" s="6" t="s">
        <v>2033</v>
      </c>
      <c r="F1918" s="8"/>
      <c r="G1918" s="8"/>
      <c r="H1918" s="8"/>
    </row>
    <row r="1919" spans="1:8">
      <c r="A1919" s="6" t="s">
        <v>231</v>
      </c>
      <c r="B1919" s="7" t="s">
        <v>232</v>
      </c>
      <c r="C1919" s="7" t="s">
        <v>2018</v>
      </c>
      <c r="D1919" s="7" t="s">
        <v>2034</v>
      </c>
      <c r="E1919" s="6" t="s">
        <v>2035</v>
      </c>
      <c r="F1919" s="8"/>
      <c r="G1919" s="8"/>
      <c r="H1919" s="8"/>
    </row>
    <row r="1920" spans="1:8">
      <c r="A1920" s="6" t="s">
        <v>231</v>
      </c>
      <c r="B1920" s="7" t="s">
        <v>232</v>
      </c>
      <c r="C1920" s="7" t="s">
        <v>2018</v>
      </c>
      <c r="D1920" s="7" t="s">
        <v>2036</v>
      </c>
      <c r="E1920" s="6" t="s">
        <v>2020</v>
      </c>
      <c r="F1920" s="8"/>
      <c r="G1920" s="8"/>
      <c r="H1920" s="8"/>
    </row>
    <row r="1921" spans="1:8">
      <c r="A1921" s="6" t="s">
        <v>231</v>
      </c>
      <c r="B1921" s="7" t="s">
        <v>232</v>
      </c>
      <c r="C1921" s="7" t="s">
        <v>2018</v>
      </c>
      <c r="D1921" s="7" t="s">
        <v>2037</v>
      </c>
      <c r="E1921" s="6" t="s">
        <v>2038</v>
      </c>
      <c r="F1921" s="8"/>
      <c r="G1921" s="8"/>
      <c r="H1921" s="8"/>
    </row>
    <row r="1922" spans="1:8">
      <c r="A1922" s="6" t="s">
        <v>231</v>
      </c>
      <c r="B1922" s="7" t="s">
        <v>232</v>
      </c>
      <c r="C1922" s="7" t="s">
        <v>2005</v>
      </c>
      <c r="D1922" s="7" t="s">
        <v>2039</v>
      </c>
      <c r="E1922" s="6" t="s">
        <v>2040</v>
      </c>
      <c r="F1922" s="8"/>
      <c r="G1922" s="8"/>
      <c r="H1922" s="8"/>
    </row>
    <row r="1923" spans="1:8">
      <c r="A1923" s="6" t="s">
        <v>231</v>
      </c>
      <c r="B1923" s="7" t="s">
        <v>232</v>
      </c>
      <c r="C1923" s="7" t="s">
        <v>1996</v>
      </c>
      <c r="D1923" s="7" t="s">
        <v>2041</v>
      </c>
      <c r="E1923" s="6" t="s">
        <v>2042</v>
      </c>
      <c r="F1923" s="8"/>
      <c r="G1923" s="8"/>
      <c r="H1923" s="8"/>
    </row>
    <row r="1924" spans="1:8">
      <c r="A1924" s="6" t="s">
        <v>231</v>
      </c>
      <c r="B1924" s="7" t="s">
        <v>232</v>
      </c>
      <c r="C1924" s="7" t="s">
        <v>814</v>
      </c>
      <c r="D1924" s="7" t="s">
        <v>2043</v>
      </c>
      <c r="E1924" s="6" t="s">
        <v>2044</v>
      </c>
      <c r="F1924" s="8"/>
      <c r="G1924" s="8"/>
      <c r="H1924" s="8"/>
    </row>
    <row r="1925" spans="1:8">
      <c r="A1925" s="6" t="s">
        <v>231</v>
      </c>
      <c r="B1925" s="7" t="s">
        <v>232</v>
      </c>
      <c r="C1925" s="7" t="s">
        <v>814</v>
      </c>
      <c r="D1925" s="7" t="s">
        <v>2045</v>
      </c>
      <c r="E1925" s="6" t="s">
        <v>2046</v>
      </c>
      <c r="F1925" s="8"/>
      <c r="G1925" s="8"/>
      <c r="H1925" s="8"/>
    </row>
    <row r="1926" spans="1:8">
      <c r="A1926" s="6" t="s">
        <v>231</v>
      </c>
      <c r="B1926" s="7" t="s">
        <v>232</v>
      </c>
      <c r="C1926" s="7" t="s">
        <v>2005</v>
      </c>
      <c r="D1926" s="7" t="s">
        <v>2047</v>
      </c>
      <c r="E1926" s="6" t="s">
        <v>2048</v>
      </c>
      <c r="F1926" s="8"/>
      <c r="G1926" s="8"/>
      <c r="H1926" s="8"/>
    </row>
    <row r="1927" spans="1:8">
      <c r="A1927" s="6" t="s">
        <v>231</v>
      </c>
      <c r="B1927" s="7" t="s">
        <v>1473</v>
      </c>
      <c r="C1927" s="7" t="s">
        <v>1473</v>
      </c>
      <c r="D1927" s="7" t="s">
        <v>2049</v>
      </c>
      <c r="E1927" s="6" t="s">
        <v>2050</v>
      </c>
      <c r="F1927" s="8" t="s">
        <v>6944</v>
      </c>
      <c r="G1927" s="8" t="s">
        <v>6929</v>
      </c>
      <c r="H1927" s="8" t="s">
        <v>7203</v>
      </c>
    </row>
    <row r="1928" spans="1:8">
      <c r="A1928" s="6" t="s">
        <v>231</v>
      </c>
      <c r="B1928" s="7" t="s">
        <v>2051</v>
      </c>
      <c r="C1928" s="7" t="s">
        <v>2052</v>
      </c>
      <c r="D1928" s="7" t="s">
        <v>2053</v>
      </c>
      <c r="E1928" s="6" t="s">
        <v>2054</v>
      </c>
      <c r="F1928" s="8"/>
      <c r="G1928" s="8"/>
      <c r="H1928" s="8"/>
    </row>
    <row r="1929" spans="1:8">
      <c r="A1929" s="6" t="s">
        <v>231</v>
      </c>
      <c r="B1929" s="7" t="s">
        <v>232</v>
      </c>
      <c r="C1929" s="7" t="s">
        <v>2055</v>
      </c>
      <c r="D1929" s="7" t="s">
        <v>2056</v>
      </c>
      <c r="E1929" s="6" t="s">
        <v>2057</v>
      </c>
      <c r="F1929" s="8"/>
      <c r="G1929" s="8"/>
      <c r="H1929" s="8"/>
    </row>
    <row r="1930" spans="1:8">
      <c r="A1930" s="6" t="s">
        <v>231</v>
      </c>
      <c r="B1930" s="7" t="s">
        <v>232</v>
      </c>
      <c r="C1930" s="7" t="s">
        <v>2058</v>
      </c>
      <c r="D1930" s="7" t="s">
        <v>2059</v>
      </c>
      <c r="E1930" s="6" t="s">
        <v>2060</v>
      </c>
      <c r="F1930" s="8"/>
      <c r="G1930" s="8"/>
      <c r="H1930" s="8"/>
    </row>
    <row r="1931" spans="1:8">
      <c r="A1931" s="6" t="s">
        <v>231</v>
      </c>
      <c r="B1931" s="7" t="s">
        <v>232</v>
      </c>
      <c r="C1931" s="7" t="s">
        <v>2061</v>
      </c>
      <c r="D1931" s="7" t="s">
        <v>2062</v>
      </c>
      <c r="E1931" s="6" t="s">
        <v>2063</v>
      </c>
      <c r="F1931" s="8"/>
      <c r="G1931" s="8"/>
      <c r="H1931" s="8"/>
    </row>
    <row r="1932" spans="1:8">
      <c r="A1932" s="6" t="s">
        <v>901</v>
      </c>
      <c r="B1932" s="7" t="s">
        <v>9</v>
      </c>
      <c r="C1932" s="7" t="s">
        <v>9</v>
      </c>
      <c r="D1932" s="7" t="s">
        <v>902</v>
      </c>
      <c r="E1932" s="6" t="s">
        <v>903</v>
      </c>
      <c r="F1932" s="8"/>
      <c r="G1932" s="8"/>
      <c r="H1932" s="8"/>
    </row>
    <row r="1933" spans="1:8">
      <c r="A1933" s="6" t="s">
        <v>22</v>
      </c>
      <c r="B1933" s="7" t="s">
        <v>9</v>
      </c>
      <c r="C1933" s="7" t="s">
        <v>9</v>
      </c>
      <c r="D1933" s="7" t="s">
        <v>23</v>
      </c>
      <c r="E1933" s="6" t="s">
        <v>24</v>
      </c>
      <c r="F1933" s="8"/>
      <c r="G1933" s="8"/>
      <c r="H1933" s="8"/>
    </row>
    <row r="1934" spans="1:8">
      <c r="A1934" s="6" t="s">
        <v>22</v>
      </c>
      <c r="B1934" s="7" t="s">
        <v>9</v>
      </c>
      <c r="C1934" s="7" t="s">
        <v>9</v>
      </c>
      <c r="D1934" s="7" t="s">
        <v>25</v>
      </c>
      <c r="E1934" s="6" t="s">
        <v>26</v>
      </c>
      <c r="F1934" s="8"/>
      <c r="G1934" s="8"/>
      <c r="H1934" s="8"/>
    </row>
    <row r="1935" spans="1:8">
      <c r="A1935" s="6" t="s">
        <v>22</v>
      </c>
      <c r="B1935" s="7" t="s">
        <v>9</v>
      </c>
      <c r="C1935" s="7" t="s">
        <v>9</v>
      </c>
      <c r="D1935" s="7" t="s">
        <v>27</v>
      </c>
      <c r="E1935" s="6" t="s">
        <v>28</v>
      </c>
      <c r="F1935" s="8"/>
      <c r="G1935" s="8"/>
      <c r="H1935" s="8"/>
    </row>
    <row r="1936" spans="1:8">
      <c r="A1936" s="6" t="s">
        <v>68</v>
      </c>
      <c r="B1936" s="7" t="s">
        <v>69</v>
      </c>
      <c r="C1936" s="7" t="s">
        <v>70</v>
      </c>
      <c r="D1936" s="7" t="s">
        <v>71</v>
      </c>
      <c r="E1936" s="6" t="s">
        <v>72</v>
      </c>
      <c r="F1936" s="8"/>
      <c r="G1936" s="8"/>
      <c r="H1936" s="8"/>
    </row>
    <row r="1937" spans="1:8">
      <c r="A1937" s="6" t="s">
        <v>68</v>
      </c>
      <c r="B1937" s="7" t="s">
        <v>589</v>
      </c>
      <c r="C1937" s="7" t="s">
        <v>589</v>
      </c>
      <c r="D1937" s="7" t="s">
        <v>590</v>
      </c>
      <c r="E1937" s="6" t="s">
        <v>591</v>
      </c>
      <c r="F1937" s="8"/>
      <c r="G1937" s="8"/>
      <c r="H1937" s="8"/>
    </row>
    <row r="1938" spans="1:8">
      <c r="A1938" s="6" t="s">
        <v>68</v>
      </c>
      <c r="B1938" s="7" t="s">
        <v>589</v>
      </c>
      <c r="C1938" s="7" t="s">
        <v>589</v>
      </c>
      <c r="D1938" s="7" t="s">
        <v>592</v>
      </c>
      <c r="E1938" s="6" t="s">
        <v>593</v>
      </c>
      <c r="F1938" s="8"/>
      <c r="G1938" s="8"/>
      <c r="H1938" s="8"/>
    </row>
    <row r="1939" spans="1:8">
      <c r="A1939" s="6" t="s">
        <v>68</v>
      </c>
      <c r="B1939" s="7" t="s">
        <v>2249</v>
      </c>
      <c r="C1939" s="7" t="s">
        <v>2249</v>
      </c>
      <c r="D1939" s="7" t="s">
        <v>2250</v>
      </c>
      <c r="E1939" s="6" t="s">
        <v>2251</v>
      </c>
      <c r="F1939" s="8"/>
      <c r="G1939" s="8"/>
      <c r="H1939" s="8"/>
    </row>
    <row r="1940" spans="1:8">
      <c r="A1940" s="6" t="s">
        <v>68</v>
      </c>
      <c r="B1940" s="7" t="s">
        <v>2249</v>
      </c>
      <c r="C1940" s="7" t="s">
        <v>2249</v>
      </c>
      <c r="D1940" s="7" t="s">
        <v>2252</v>
      </c>
      <c r="E1940" s="6" t="s">
        <v>2253</v>
      </c>
      <c r="F1940" s="8"/>
      <c r="G1940" s="8"/>
      <c r="H1940" s="8"/>
    </row>
    <row r="1941" spans="1:8">
      <c r="A1941" s="6" t="s">
        <v>68</v>
      </c>
      <c r="B1941" s="7" t="s">
        <v>2249</v>
      </c>
      <c r="C1941" s="7" t="s">
        <v>2249</v>
      </c>
      <c r="D1941" s="7" t="s">
        <v>2254</v>
      </c>
      <c r="E1941" s="6" t="s">
        <v>2255</v>
      </c>
      <c r="F1941" s="8"/>
      <c r="G1941" s="8"/>
      <c r="H1941" s="8"/>
    </row>
    <row r="1942" spans="1:8">
      <c r="A1942" s="6" t="s">
        <v>68</v>
      </c>
      <c r="B1942" s="7" t="s">
        <v>134</v>
      </c>
      <c r="C1942" s="7" t="s">
        <v>134</v>
      </c>
      <c r="D1942" s="7" t="s">
        <v>2256</v>
      </c>
      <c r="E1942" s="6" t="s">
        <v>2257</v>
      </c>
      <c r="F1942" s="8" t="s">
        <v>6931</v>
      </c>
      <c r="G1942" s="8" t="s">
        <v>6929</v>
      </c>
      <c r="H1942" s="8" t="s">
        <v>7206</v>
      </c>
    </row>
    <row r="1943" spans="1:8">
      <c r="A1943" s="6" t="s">
        <v>68</v>
      </c>
      <c r="B1943" s="7" t="s">
        <v>134</v>
      </c>
      <c r="C1943" s="7" t="s">
        <v>134</v>
      </c>
      <c r="D1943" s="7" t="s">
        <v>2258</v>
      </c>
      <c r="E1943" s="6" t="s">
        <v>777</v>
      </c>
      <c r="F1943" s="8" t="s">
        <v>6931</v>
      </c>
      <c r="G1943" s="8" t="s">
        <v>6929</v>
      </c>
      <c r="H1943" s="8" t="s">
        <v>7206</v>
      </c>
    </row>
    <row r="1944" spans="1:8">
      <c r="A1944" s="6" t="s">
        <v>4965</v>
      </c>
      <c r="B1944" s="7" t="s">
        <v>4966</v>
      </c>
      <c r="C1944" s="7" t="s">
        <v>9</v>
      </c>
      <c r="D1944" s="7" t="s">
        <v>4967</v>
      </c>
      <c r="E1944" s="6" t="s">
        <v>4968</v>
      </c>
      <c r="F1944" s="8"/>
      <c r="G1944" s="8"/>
      <c r="H1944" s="8"/>
    </row>
    <row r="1945" spans="1:8">
      <c r="A1945" s="6" t="s">
        <v>4965</v>
      </c>
      <c r="B1945" s="7" t="s">
        <v>4966</v>
      </c>
      <c r="C1945" s="7" t="s">
        <v>9</v>
      </c>
      <c r="D1945" s="7" t="s">
        <v>4969</v>
      </c>
      <c r="E1945" s="6" t="s">
        <v>4968</v>
      </c>
      <c r="F1945" s="8"/>
      <c r="G1945" s="8"/>
      <c r="H1945" s="8"/>
    </row>
    <row r="1946" spans="1:8">
      <c r="A1946" s="6" t="s">
        <v>4965</v>
      </c>
      <c r="B1946" s="7" t="s">
        <v>4970</v>
      </c>
      <c r="C1946" s="7" t="s">
        <v>202</v>
      </c>
      <c r="D1946" s="7" t="s">
        <v>4971</v>
      </c>
      <c r="E1946" s="6" t="s">
        <v>186</v>
      </c>
      <c r="F1946" s="8"/>
      <c r="G1946" s="8"/>
      <c r="H1946" s="8"/>
    </row>
    <row r="1947" spans="1:8">
      <c r="A1947" s="6" t="s">
        <v>4965</v>
      </c>
      <c r="B1947" s="7" t="s">
        <v>4972</v>
      </c>
      <c r="C1947" s="7" t="s">
        <v>202</v>
      </c>
      <c r="D1947" s="7" t="s">
        <v>4973</v>
      </c>
      <c r="E1947" s="6" t="s">
        <v>4974</v>
      </c>
      <c r="F1947" s="8"/>
      <c r="G1947" s="8"/>
      <c r="H1947" s="8"/>
    </row>
    <row r="1948" spans="1:8">
      <c r="A1948" s="6" t="s">
        <v>4965</v>
      </c>
      <c r="B1948" s="7" t="s">
        <v>4975</v>
      </c>
      <c r="C1948" s="7" t="s">
        <v>4818</v>
      </c>
      <c r="D1948" s="7" t="s">
        <v>4976</v>
      </c>
      <c r="E1948" s="6" t="s">
        <v>2331</v>
      </c>
      <c r="F1948" s="8"/>
      <c r="G1948" s="8"/>
      <c r="H1948" s="8"/>
    </row>
    <row r="1949" spans="1:8">
      <c r="A1949" s="6" t="s">
        <v>4965</v>
      </c>
      <c r="B1949" s="7" t="s">
        <v>4972</v>
      </c>
      <c r="C1949" s="7" t="s">
        <v>202</v>
      </c>
      <c r="D1949" s="7" t="s">
        <v>4977</v>
      </c>
      <c r="E1949" s="6" t="s">
        <v>4978</v>
      </c>
      <c r="F1949" s="8"/>
      <c r="G1949" s="8"/>
      <c r="H1949" s="8"/>
    </row>
    <row r="1950" spans="1:8">
      <c r="A1950" s="6" t="s">
        <v>4965</v>
      </c>
      <c r="B1950" s="7" t="s">
        <v>4972</v>
      </c>
      <c r="C1950" s="7" t="s">
        <v>202</v>
      </c>
      <c r="D1950" s="7" t="s">
        <v>4979</v>
      </c>
      <c r="E1950" s="6" t="s">
        <v>4980</v>
      </c>
      <c r="F1950" s="8"/>
      <c r="G1950" s="8"/>
      <c r="H1950" s="8"/>
    </row>
    <row r="1951" spans="1:8">
      <c r="A1951" s="6" t="s">
        <v>4965</v>
      </c>
      <c r="B1951" s="7" t="s">
        <v>4809</v>
      </c>
      <c r="C1951" s="7" t="s">
        <v>0</v>
      </c>
      <c r="D1951" s="7" t="s">
        <v>4981</v>
      </c>
      <c r="E1951" s="6" t="s">
        <v>2331</v>
      </c>
      <c r="F1951" s="8"/>
      <c r="G1951" s="8"/>
      <c r="H1951" s="8"/>
    </row>
    <row r="1952" spans="1:8">
      <c r="A1952" s="6" t="s">
        <v>4965</v>
      </c>
      <c r="B1952" s="7" t="s">
        <v>4982</v>
      </c>
      <c r="C1952" s="7" t="s">
        <v>202</v>
      </c>
      <c r="D1952" s="7" t="s">
        <v>4983</v>
      </c>
      <c r="E1952" s="6" t="s">
        <v>4984</v>
      </c>
      <c r="F1952" s="8"/>
      <c r="G1952" s="8"/>
      <c r="H1952" s="8"/>
    </row>
    <row r="1953" spans="1:8">
      <c r="A1953" s="6" t="s">
        <v>4965</v>
      </c>
      <c r="B1953" s="7" t="s">
        <v>4985</v>
      </c>
      <c r="C1953" s="7" t="s">
        <v>202</v>
      </c>
      <c r="D1953" s="7" t="s">
        <v>4986</v>
      </c>
      <c r="E1953" s="6" t="s">
        <v>4987</v>
      </c>
      <c r="F1953" s="8"/>
      <c r="G1953" s="8"/>
      <c r="H1953" s="8"/>
    </row>
    <row r="1954" spans="1:8">
      <c r="A1954" s="6" t="s">
        <v>4965</v>
      </c>
      <c r="B1954" s="7" t="s">
        <v>4988</v>
      </c>
      <c r="C1954" s="7" t="s">
        <v>202</v>
      </c>
      <c r="D1954" s="7" t="s">
        <v>4989</v>
      </c>
      <c r="E1954" s="6" t="s">
        <v>1843</v>
      </c>
      <c r="F1954" s="8"/>
      <c r="G1954" s="8"/>
      <c r="H1954" s="8"/>
    </row>
    <row r="1955" spans="1:8">
      <c r="A1955" s="6" t="s">
        <v>4965</v>
      </c>
      <c r="B1955" s="7" t="s">
        <v>4988</v>
      </c>
      <c r="C1955" s="7" t="s">
        <v>202</v>
      </c>
      <c r="D1955" s="7" t="s">
        <v>4990</v>
      </c>
      <c r="E1955" s="6" t="s">
        <v>4991</v>
      </c>
      <c r="F1955" s="8"/>
      <c r="G1955" s="8"/>
      <c r="H1955" s="8"/>
    </row>
    <row r="1956" spans="1:8">
      <c r="A1956" s="6" t="s">
        <v>4965</v>
      </c>
      <c r="B1956" s="7" t="s">
        <v>4970</v>
      </c>
      <c r="C1956" s="7" t="s">
        <v>202</v>
      </c>
      <c r="D1956" s="7" t="s">
        <v>4992</v>
      </c>
      <c r="E1956" s="6" t="s">
        <v>4993</v>
      </c>
      <c r="F1956" s="8"/>
      <c r="G1956" s="8"/>
      <c r="H1956" s="8"/>
    </row>
    <row r="1957" spans="1:8">
      <c r="A1957" s="6" t="s">
        <v>674</v>
      </c>
      <c r="B1957" s="7" t="s">
        <v>675</v>
      </c>
      <c r="C1957" s="7" t="s">
        <v>676</v>
      </c>
      <c r="D1957" s="7" t="s">
        <v>677</v>
      </c>
      <c r="E1957" s="6" t="s">
        <v>678</v>
      </c>
      <c r="F1957" s="8"/>
      <c r="G1957" s="8"/>
      <c r="H1957" s="8"/>
    </row>
    <row r="1958" spans="1:8">
      <c r="A1958" s="6" t="s">
        <v>674</v>
      </c>
      <c r="B1958" s="7" t="s">
        <v>374</v>
      </c>
      <c r="C1958" s="7" t="s">
        <v>374</v>
      </c>
      <c r="D1958" s="7" t="s">
        <v>767</v>
      </c>
      <c r="E1958" s="6" t="s">
        <v>768</v>
      </c>
      <c r="F1958" s="8"/>
      <c r="G1958" s="8"/>
      <c r="H1958" s="8"/>
    </row>
    <row r="1959" spans="1:8">
      <c r="A1959" s="6" t="s">
        <v>674</v>
      </c>
      <c r="B1959" s="7" t="s">
        <v>374</v>
      </c>
      <c r="C1959" s="7" t="s">
        <v>374</v>
      </c>
      <c r="D1959" s="7" t="s">
        <v>769</v>
      </c>
      <c r="E1959" s="6" t="s">
        <v>770</v>
      </c>
      <c r="F1959" s="8"/>
      <c r="G1959" s="8"/>
      <c r="H1959" s="8"/>
    </row>
    <row r="1960" spans="1:8">
      <c r="A1960" s="6" t="s">
        <v>674</v>
      </c>
      <c r="B1960" s="7" t="s">
        <v>834</v>
      </c>
      <c r="C1960" s="7" t="s">
        <v>834</v>
      </c>
      <c r="D1960" s="7" t="s">
        <v>835</v>
      </c>
      <c r="E1960" s="6" t="s">
        <v>836</v>
      </c>
      <c r="F1960" s="8" t="s">
        <v>3334</v>
      </c>
      <c r="G1960" s="8" t="s">
        <v>6944</v>
      </c>
      <c r="H1960" s="8" t="s">
        <v>7211</v>
      </c>
    </row>
    <row r="1961" spans="1:8">
      <c r="A1961" s="6" t="s">
        <v>674</v>
      </c>
      <c r="B1961" s="7" t="s">
        <v>847</v>
      </c>
      <c r="C1961" s="7" t="s">
        <v>847</v>
      </c>
      <c r="D1961" s="7" t="s">
        <v>848</v>
      </c>
      <c r="E1961" s="6" t="s">
        <v>849</v>
      </c>
      <c r="F1961" s="8"/>
      <c r="G1961" s="8"/>
      <c r="H1961" s="8"/>
    </row>
    <row r="1962" spans="1:8">
      <c r="A1962" s="6" t="s">
        <v>674</v>
      </c>
      <c r="B1962" s="7" t="s">
        <v>1155</v>
      </c>
      <c r="C1962" s="7" t="s">
        <v>1155</v>
      </c>
      <c r="D1962" s="7" t="s">
        <v>1156</v>
      </c>
      <c r="E1962" s="6" t="s">
        <v>1157</v>
      </c>
      <c r="F1962" s="8"/>
      <c r="G1962" s="8"/>
      <c r="H1962" s="8"/>
    </row>
    <row r="1963" spans="1:8">
      <c r="A1963" s="6" t="s">
        <v>674</v>
      </c>
      <c r="B1963" s="7" t="s">
        <v>1155</v>
      </c>
      <c r="C1963" s="7" t="s">
        <v>1155</v>
      </c>
      <c r="D1963" s="7" t="s">
        <v>1158</v>
      </c>
      <c r="E1963" s="6" t="s">
        <v>1159</v>
      </c>
      <c r="F1963" s="8"/>
      <c r="G1963" s="8"/>
      <c r="H1963" s="8"/>
    </row>
    <row r="1964" spans="1:8">
      <c r="A1964" s="6" t="s">
        <v>674</v>
      </c>
      <c r="B1964" s="7" t="s">
        <v>675</v>
      </c>
      <c r="C1964" s="7" t="s">
        <v>675</v>
      </c>
      <c r="D1964" s="7" t="s">
        <v>1400</v>
      </c>
      <c r="E1964" s="6" t="s">
        <v>1401</v>
      </c>
      <c r="F1964" s="8"/>
      <c r="G1964" s="8"/>
      <c r="H1964" s="8"/>
    </row>
    <row r="1965" spans="1:8">
      <c r="A1965" s="6" t="s">
        <v>674</v>
      </c>
      <c r="B1965" s="7" t="s">
        <v>1462</v>
      </c>
      <c r="C1965" s="7" t="s">
        <v>1462</v>
      </c>
      <c r="D1965" s="7" t="s">
        <v>1463</v>
      </c>
      <c r="E1965" s="6" t="s">
        <v>1464</v>
      </c>
      <c r="F1965" s="8" t="s">
        <v>3334</v>
      </c>
      <c r="G1965" s="8" t="s">
        <v>6944</v>
      </c>
      <c r="H1965" s="8" t="s">
        <v>7211</v>
      </c>
    </row>
    <row r="1966" spans="1:8">
      <c r="A1966" s="6" t="s">
        <v>674</v>
      </c>
      <c r="B1966" s="7" t="s">
        <v>1579</v>
      </c>
      <c r="C1966" s="7" t="s">
        <v>1579</v>
      </c>
      <c r="D1966" s="7" t="s">
        <v>1580</v>
      </c>
      <c r="E1966" s="6" t="s">
        <v>1581</v>
      </c>
      <c r="F1966" s="8"/>
      <c r="G1966" s="8"/>
      <c r="H1966" s="8"/>
    </row>
    <row r="1967" spans="1:8">
      <c r="A1967" s="6" t="s">
        <v>674</v>
      </c>
      <c r="B1967" s="7" t="s">
        <v>1589</v>
      </c>
      <c r="C1967" s="7" t="s">
        <v>1589</v>
      </c>
      <c r="D1967" s="7" t="s">
        <v>1590</v>
      </c>
      <c r="E1967" s="6" t="s">
        <v>1591</v>
      </c>
      <c r="F1967" s="8" t="s">
        <v>6992</v>
      </c>
      <c r="G1967" s="8" t="s">
        <v>6929</v>
      </c>
      <c r="H1967" s="8" t="s">
        <v>7049</v>
      </c>
    </row>
    <row r="1968" spans="1:8">
      <c r="A1968" s="6" t="s">
        <v>674</v>
      </c>
      <c r="B1968" s="7" t="s">
        <v>374</v>
      </c>
      <c r="C1968" s="7" t="s">
        <v>374</v>
      </c>
      <c r="D1968" s="7" t="s">
        <v>1592</v>
      </c>
      <c r="E1968" s="6" t="s">
        <v>1088</v>
      </c>
      <c r="F1968" s="8"/>
      <c r="G1968" s="8"/>
      <c r="H1968" s="8"/>
    </row>
    <row r="1969" spans="1:8">
      <c r="A1969" s="6" t="s">
        <v>674</v>
      </c>
      <c r="B1969" s="7" t="s">
        <v>1866</v>
      </c>
      <c r="C1969" s="7" t="s">
        <v>1866</v>
      </c>
      <c r="D1969" s="7" t="s">
        <v>1867</v>
      </c>
      <c r="E1969" s="6" t="s">
        <v>1868</v>
      </c>
      <c r="F1969" s="8"/>
      <c r="G1969" s="8"/>
      <c r="H1969" s="8"/>
    </row>
    <row r="1970" spans="1:8">
      <c r="A1970" s="6" t="s">
        <v>674</v>
      </c>
      <c r="B1970" s="7" t="s">
        <v>1155</v>
      </c>
      <c r="C1970" s="7" t="s">
        <v>1155</v>
      </c>
      <c r="D1970" s="7" t="s">
        <v>1919</v>
      </c>
      <c r="E1970" s="6" t="s">
        <v>1920</v>
      </c>
      <c r="F1970" s="8"/>
      <c r="G1970" s="8"/>
      <c r="H1970" s="8"/>
    </row>
    <row r="1971" spans="1:8">
      <c r="A1971" s="6" t="s">
        <v>674</v>
      </c>
      <c r="B1971" s="7" t="s">
        <v>675</v>
      </c>
      <c r="C1971" s="7" t="s">
        <v>675</v>
      </c>
      <c r="D1971" s="7" t="s">
        <v>1942</v>
      </c>
      <c r="E1971" s="6" t="s">
        <v>1943</v>
      </c>
      <c r="F1971" s="8"/>
      <c r="G1971" s="8"/>
      <c r="H1971" s="8"/>
    </row>
    <row r="1972" spans="1:8">
      <c r="A1972" s="6" t="s">
        <v>674</v>
      </c>
      <c r="B1972" s="7" t="s">
        <v>5874</v>
      </c>
      <c r="C1972" s="7" t="s">
        <v>5874</v>
      </c>
      <c r="D1972" s="7" t="s">
        <v>5875</v>
      </c>
      <c r="E1972" s="6" t="s">
        <v>5876</v>
      </c>
      <c r="F1972" s="8"/>
      <c r="G1972" s="8"/>
      <c r="H1972" s="8"/>
    </row>
    <row r="1973" spans="1:8">
      <c r="A1973" s="6" t="s">
        <v>674</v>
      </c>
      <c r="B1973" s="7" t="s">
        <v>5877</v>
      </c>
      <c r="C1973" s="7" t="s">
        <v>5877</v>
      </c>
      <c r="D1973" s="7" t="s">
        <v>5878</v>
      </c>
      <c r="E1973" s="6" t="s">
        <v>5879</v>
      </c>
      <c r="F1973" s="8"/>
      <c r="G1973" s="8"/>
      <c r="H1973" s="8"/>
    </row>
    <row r="1974" spans="1:8">
      <c r="A1974" s="6" t="s">
        <v>674</v>
      </c>
      <c r="B1974" s="7" t="s">
        <v>5877</v>
      </c>
      <c r="C1974" s="7" t="s">
        <v>5877</v>
      </c>
      <c r="D1974" s="7" t="s">
        <v>5880</v>
      </c>
      <c r="E1974" s="6" t="s">
        <v>5881</v>
      </c>
      <c r="F1974" s="8"/>
      <c r="G1974" s="8"/>
      <c r="H1974" s="8"/>
    </row>
    <row r="1975" spans="1:8">
      <c r="A1975" s="6" t="s">
        <v>674</v>
      </c>
      <c r="B1975" s="7" t="s">
        <v>5877</v>
      </c>
      <c r="C1975" s="7" t="s">
        <v>5877</v>
      </c>
      <c r="D1975" s="7" t="s">
        <v>5882</v>
      </c>
      <c r="E1975" s="6" t="s">
        <v>5883</v>
      </c>
      <c r="F1975" s="8"/>
      <c r="G1975" s="8"/>
      <c r="H1975" s="8"/>
    </row>
    <row r="1976" spans="1:8">
      <c r="A1976" s="6" t="s">
        <v>674</v>
      </c>
      <c r="B1976" s="7" t="s">
        <v>5884</v>
      </c>
      <c r="C1976" s="7" t="s">
        <v>311</v>
      </c>
      <c r="D1976" s="7" t="s">
        <v>5885</v>
      </c>
      <c r="E1976" s="6" t="s">
        <v>5886</v>
      </c>
      <c r="F1976" s="8"/>
      <c r="G1976" s="8"/>
      <c r="H1976" s="8"/>
    </row>
    <row r="1977" spans="1:8">
      <c r="A1977" s="6" t="s">
        <v>674</v>
      </c>
      <c r="B1977" s="7" t="s">
        <v>5884</v>
      </c>
      <c r="C1977" s="7" t="s">
        <v>5887</v>
      </c>
      <c r="D1977" s="7" t="s">
        <v>5888</v>
      </c>
      <c r="E1977" s="6" t="s">
        <v>5886</v>
      </c>
      <c r="F1977" s="8"/>
      <c r="G1977" s="8"/>
      <c r="H1977" s="8"/>
    </row>
    <row r="1978" spans="1:8">
      <c r="A1978" s="6" t="s">
        <v>674</v>
      </c>
      <c r="B1978" s="7" t="s">
        <v>4392</v>
      </c>
      <c r="C1978" s="7" t="s">
        <v>9</v>
      </c>
      <c r="D1978" s="7" t="s">
        <v>5889</v>
      </c>
      <c r="E1978" s="6" t="s">
        <v>5292</v>
      </c>
      <c r="F1978" s="8"/>
      <c r="G1978" s="8"/>
      <c r="H1978" s="8"/>
    </row>
    <row r="1979" spans="1:8">
      <c r="A1979" s="6" t="s">
        <v>674</v>
      </c>
      <c r="B1979" s="7" t="s">
        <v>5890</v>
      </c>
      <c r="C1979" s="7" t="s">
        <v>5891</v>
      </c>
      <c r="D1979" s="7" t="s">
        <v>5892</v>
      </c>
      <c r="E1979" s="6" t="s">
        <v>5893</v>
      </c>
      <c r="F1979" s="8"/>
      <c r="G1979" s="8"/>
      <c r="H1979" s="8"/>
    </row>
    <row r="1980" spans="1:8">
      <c r="A1980" s="6" t="s">
        <v>674</v>
      </c>
      <c r="B1980" s="7" t="s">
        <v>5894</v>
      </c>
      <c r="C1980" s="7" t="s">
        <v>5894</v>
      </c>
      <c r="D1980" s="7" t="s">
        <v>5895</v>
      </c>
      <c r="E1980" s="6" t="s">
        <v>5896</v>
      </c>
      <c r="F1980" s="8"/>
      <c r="G1980" s="8"/>
      <c r="H1980" s="8"/>
    </row>
    <row r="1981" spans="1:8">
      <c r="A1981" s="6" t="s">
        <v>674</v>
      </c>
      <c r="B1981" s="7" t="s">
        <v>116</v>
      </c>
      <c r="C1981" s="7" t="s">
        <v>116</v>
      </c>
      <c r="D1981" s="7" t="s">
        <v>5897</v>
      </c>
      <c r="E1981" s="6" t="s">
        <v>5898</v>
      </c>
      <c r="F1981" s="8"/>
      <c r="G1981" s="8"/>
      <c r="H1981" s="8"/>
    </row>
    <row r="1982" spans="1:8">
      <c r="A1982" s="6" t="s">
        <v>674</v>
      </c>
      <c r="B1982" s="7" t="s">
        <v>365</v>
      </c>
      <c r="C1982" s="7" t="s">
        <v>365</v>
      </c>
      <c r="D1982" s="7" t="s">
        <v>5899</v>
      </c>
      <c r="E1982" s="6" t="s">
        <v>5900</v>
      </c>
      <c r="F1982" s="8"/>
      <c r="G1982" s="8"/>
      <c r="H1982" s="8"/>
    </row>
    <row r="1983" spans="1:8">
      <c r="A1983" s="6" t="s">
        <v>674</v>
      </c>
      <c r="B1983" s="7" t="s">
        <v>1155</v>
      </c>
      <c r="C1983" s="7" t="s">
        <v>1155</v>
      </c>
      <c r="D1983" s="7" t="s">
        <v>5901</v>
      </c>
      <c r="E1983" s="6" t="s">
        <v>5902</v>
      </c>
      <c r="F1983" s="8" t="s">
        <v>6931</v>
      </c>
      <c r="G1983" s="8" t="s">
        <v>6929</v>
      </c>
      <c r="H1983" s="8" t="s">
        <v>7210</v>
      </c>
    </row>
    <row r="1984" spans="1:8">
      <c r="A1984" s="6" t="s">
        <v>674</v>
      </c>
      <c r="B1984" s="7" t="s">
        <v>1155</v>
      </c>
      <c r="C1984" s="7" t="s">
        <v>1155</v>
      </c>
      <c r="D1984" s="7" t="s">
        <v>5903</v>
      </c>
      <c r="E1984" s="6" t="s">
        <v>866</v>
      </c>
      <c r="F1984" s="8" t="s">
        <v>6931</v>
      </c>
      <c r="G1984" s="8" t="s">
        <v>6929</v>
      </c>
      <c r="H1984" s="8" t="s">
        <v>7210</v>
      </c>
    </row>
    <row r="1985" spans="1:8">
      <c r="A1985" s="6" t="s">
        <v>674</v>
      </c>
      <c r="B1985" s="7" t="s">
        <v>1155</v>
      </c>
      <c r="C1985" s="7" t="s">
        <v>1155</v>
      </c>
      <c r="D1985" s="7" t="s">
        <v>5904</v>
      </c>
      <c r="E1985" s="6" t="s">
        <v>3165</v>
      </c>
      <c r="F1985" s="8" t="s">
        <v>6931</v>
      </c>
      <c r="G1985" s="8" t="s">
        <v>6929</v>
      </c>
      <c r="H1985" s="8" t="s">
        <v>7210</v>
      </c>
    </row>
    <row r="1986" spans="1:8">
      <c r="A1986" s="6" t="s">
        <v>674</v>
      </c>
      <c r="B1986" s="7" t="s">
        <v>1155</v>
      </c>
      <c r="C1986" s="7" t="s">
        <v>1155</v>
      </c>
      <c r="D1986" s="7" t="s">
        <v>5905</v>
      </c>
      <c r="E1986" s="6" t="s">
        <v>5906</v>
      </c>
      <c r="F1986" s="8" t="s">
        <v>6931</v>
      </c>
      <c r="G1986" s="8" t="s">
        <v>6929</v>
      </c>
      <c r="H1986" s="8" t="s">
        <v>7210</v>
      </c>
    </row>
    <row r="1987" spans="1:8">
      <c r="A1987" s="6" t="s">
        <v>674</v>
      </c>
      <c r="B1987" s="7" t="s">
        <v>1155</v>
      </c>
      <c r="C1987" s="7" t="s">
        <v>1155</v>
      </c>
      <c r="D1987" s="7" t="s">
        <v>5907</v>
      </c>
      <c r="E1987" s="6" t="s">
        <v>5908</v>
      </c>
      <c r="F1987" s="8" t="s">
        <v>6931</v>
      </c>
      <c r="G1987" s="8" t="s">
        <v>6929</v>
      </c>
      <c r="H1987" s="8" t="s">
        <v>7210</v>
      </c>
    </row>
    <row r="1988" spans="1:8">
      <c r="A1988" s="6" t="s">
        <v>674</v>
      </c>
      <c r="B1988" s="7" t="s">
        <v>1155</v>
      </c>
      <c r="C1988" s="7" t="s">
        <v>1155</v>
      </c>
      <c r="D1988" s="7" t="s">
        <v>5909</v>
      </c>
      <c r="E1988" s="6" t="s">
        <v>5910</v>
      </c>
      <c r="F1988" s="8" t="s">
        <v>6931</v>
      </c>
      <c r="G1988" s="8" t="s">
        <v>6929</v>
      </c>
      <c r="H1988" s="8" t="s">
        <v>7210</v>
      </c>
    </row>
    <row r="1989" spans="1:8">
      <c r="A1989" s="6" t="s">
        <v>674</v>
      </c>
      <c r="B1989" s="7" t="s">
        <v>1579</v>
      </c>
      <c r="C1989" s="7" t="s">
        <v>1579</v>
      </c>
      <c r="D1989" s="7" t="s">
        <v>5911</v>
      </c>
      <c r="E1989" s="6" t="s">
        <v>5912</v>
      </c>
      <c r="F1989" s="8" t="s">
        <v>7041</v>
      </c>
      <c r="G1989" s="8" t="s">
        <v>6953</v>
      </c>
      <c r="H1989" s="8" t="s">
        <v>7211</v>
      </c>
    </row>
    <row r="1990" spans="1:8">
      <c r="A1990" s="6" t="s">
        <v>674</v>
      </c>
      <c r="B1990" s="7" t="s">
        <v>1579</v>
      </c>
      <c r="C1990" s="7" t="s">
        <v>1579</v>
      </c>
      <c r="D1990" s="7" t="s">
        <v>5913</v>
      </c>
      <c r="E1990" s="6" t="s">
        <v>813</v>
      </c>
      <c r="F1990" s="8" t="s">
        <v>7041</v>
      </c>
      <c r="G1990" s="8" t="s">
        <v>6953</v>
      </c>
      <c r="H1990" s="8" t="s">
        <v>7211</v>
      </c>
    </row>
    <row r="1991" spans="1:8">
      <c r="A1991" s="6" t="s">
        <v>674</v>
      </c>
      <c r="B1991" s="7" t="s">
        <v>1579</v>
      </c>
      <c r="C1991" s="7" t="s">
        <v>1579</v>
      </c>
      <c r="D1991" s="7" t="s">
        <v>5914</v>
      </c>
      <c r="E1991" s="6" t="s">
        <v>5915</v>
      </c>
      <c r="F1991" s="8" t="s">
        <v>7041</v>
      </c>
      <c r="G1991" s="8" t="s">
        <v>6953</v>
      </c>
      <c r="H1991" s="8" t="s">
        <v>7211</v>
      </c>
    </row>
    <row r="1992" spans="1:8">
      <c r="A1992" s="6" t="s">
        <v>674</v>
      </c>
      <c r="B1992" s="7" t="s">
        <v>1462</v>
      </c>
      <c r="C1992" s="7" t="s">
        <v>1462</v>
      </c>
      <c r="D1992" s="7" t="s">
        <v>5916</v>
      </c>
      <c r="E1992" s="6" t="s">
        <v>5917</v>
      </c>
      <c r="F1992" s="8"/>
      <c r="G1992" s="8"/>
      <c r="H1992" s="8"/>
    </row>
    <row r="1993" spans="1:8">
      <c r="A1993" s="6" t="s">
        <v>674</v>
      </c>
      <c r="B1993" s="7" t="s">
        <v>1462</v>
      </c>
      <c r="C1993" s="7" t="s">
        <v>1462</v>
      </c>
      <c r="D1993" s="7" t="s">
        <v>5918</v>
      </c>
      <c r="E1993" s="6" t="s">
        <v>5919</v>
      </c>
      <c r="F1993" s="8"/>
      <c r="G1993" s="8"/>
      <c r="H1993" s="8"/>
    </row>
    <row r="1994" spans="1:8">
      <c r="A1994" s="6" t="s">
        <v>674</v>
      </c>
      <c r="B1994" s="7" t="s">
        <v>1462</v>
      </c>
      <c r="C1994" s="7" t="s">
        <v>1462</v>
      </c>
      <c r="D1994" s="7" t="s">
        <v>5920</v>
      </c>
      <c r="E1994" s="6" t="s">
        <v>5921</v>
      </c>
      <c r="F1994" s="8"/>
      <c r="G1994" s="8"/>
      <c r="H1994" s="8"/>
    </row>
    <row r="1995" spans="1:8">
      <c r="A1995" s="6" t="s">
        <v>674</v>
      </c>
      <c r="B1995" s="7" t="s">
        <v>5922</v>
      </c>
      <c r="C1995" s="7" t="s">
        <v>5786</v>
      </c>
      <c r="D1995" s="7" t="s">
        <v>5923</v>
      </c>
      <c r="E1995" s="6" t="s">
        <v>5924</v>
      </c>
      <c r="F1995" s="8" t="s">
        <v>6934</v>
      </c>
      <c r="G1995" s="8" t="s">
        <v>6987</v>
      </c>
      <c r="H1995" s="8" t="s">
        <v>7209</v>
      </c>
    </row>
    <row r="1996" spans="1:8">
      <c r="A1996" s="6" t="s">
        <v>674</v>
      </c>
      <c r="B1996" s="7" t="s">
        <v>5786</v>
      </c>
      <c r="C1996" s="7" t="s">
        <v>5786</v>
      </c>
      <c r="D1996" s="7" t="s">
        <v>5925</v>
      </c>
      <c r="E1996" s="6" t="s">
        <v>5926</v>
      </c>
      <c r="F1996" s="8" t="s">
        <v>6934</v>
      </c>
      <c r="G1996" s="8" t="s">
        <v>6987</v>
      </c>
      <c r="H1996" s="8" t="s">
        <v>7209</v>
      </c>
    </row>
    <row r="1997" spans="1:8">
      <c r="A1997" s="6" t="s">
        <v>674</v>
      </c>
      <c r="B1997" s="7" t="s">
        <v>5786</v>
      </c>
      <c r="C1997" s="7" t="s">
        <v>5786</v>
      </c>
      <c r="D1997" s="7" t="s">
        <v>5927</v>
      </c>
      <c r="E1997" s="6" t="s">
        <v>5928</v>
      </c>
      <c r="F1997" s="8" t="s">
        <v>6934</v>
      </c>
      <c r="G1997" s="8" t="s">
        <v>6987</v>
      </c>
      <c r="H1997" s="8" t="s">
        <v>7209</v>
      </c>
    </row>
    <row r="1998" spans="1:8">
      <c r="A1998" s="6" t="s">
        <v>674</v>
      </c>
      <c r="B1998" s="7" t="s">
        <v>5786</v>
      </c>
      <c r="C1998" s="7" t="s">
        <v>5786</v>
      </c>
      <c r="D1998" s="7" t="s">
        <v>5929</v>
      </c>
      <c r="E1998" s="6" t="s">
        <v>3181</v>
      </c>
      <c r="F1998" s="8" t="s">
        <v>6934</v>
      </c>
      <c r="G1998" s="8" t="s">
        <v>6987</v>
      </c>
      <c r="H1998" s="8" t="s">
        <v>7209</v>
      </c>
    </row>
    <row r="1999" spans="1:8">
      <c r="A1999" s="6" t="s">
        <v>674</v>
      </c>
      <c r="B1999" s="7" t="s">
        <v>675</v>
      </c>
      <c r="C1999" s="7" t="s">
        <v>675</v>
      </c>
      <c r="D1999" s="7" t="s">
        <v>5930</v>
      </c>
      <c r="E1999" s="6" t="s">
        <v>5931</v>
      </c>
      <c r="F1999" s="8" t="s">
        <v>6939</v>
      </c>
      <c r="G1999" s="8" t="s">
        <v>6929</v>
      </c>
      <c r="H1999" s="8" t="s">
        <v>7212</v>
      </c>
    </row>
    <row r="2000" spans="1:8">
      <c r="A2000" s="6" t="s">
        <v>674</v>
      </c>
      <c r="B2000" s="7" t="s">
        <v>675</v>
      </c>
      <c r="C2000" s="7" t="s">
        <v>675</v>
      </c>
      <c r="D2000" s="7" t="s">
        <v>5932</v>
      </c>
      <c r="E2000" s="6" t="s">
        <v>5933</v>
      </c>
      <c r="F2000" s="8" t="s">
        <v>6939</v>
      </c>
      <c r="G2000" s="8" t="s">
        <v>6929</v>
      </c>
      <c r="H2000" s="8" t="s">
        <v>7212</v>
      </c>
    </row>
    <row r="2001" spans="1:8">
      <c r="A2001" s="6" t="s">
        <v>674</v>
      </c>
      <c r="B2001" s="7" t="s">
        <v>675</v>
      </c>
      <c r="C2001" s="7" t="s">
        <v>675</v>
      </c>
      <c r="D2001" s="7" t="s">
        <v>5934</v>
      </c>
      <c r="E2001" s="6" t="s">
        <v>5935</v>
      </c>
      <c r="F2001" s="8" t="s">
        <v>6939</v>
      </c>
      <c r="G2001" s="8" t="s">
        <v>6929</v>
      </c>
      <c r="H2001" s="8" t="s">
        <v>7212</v>
      </c>
    </row>
    <row r="2002" spans="1:8">
      <c r="A2002" s="6" t="s">
        <v>674</v>
      </c>
      <c r="B2002" s="7" t="s">
        <v>2397</v>
      </c>
      <c r="C2002" s="7" t="s">
        <v>2397</v>
      </c>
      <c r="D2002" s="7" t="s">
        <v>5936</v>
      </c>
      <c r="E2002" s="6" t="s">
        <v>2785</v>
      </c>
      <c r="F2002" s="8" t="s">
        <v>5162</v>
      </c>
      <c r="G2002" s="8" t="s">
        <v>7011</v>
      </c>
      <c r="H2002" s="8" t="s">
        <v>7207</v>
      </c>
    </row>
    <row r="2003" spans="1:8">
      <c r="A2003" s="6" t="s">
        <v>674</v>
      </c>
      <c r="B2003" s="7" t="s">
        <v>2397</v>
      </c>
      <c r="C2003" s="7" t="s">
        <v>2397</v>
      </c>
      <c r="D2003" s="7" t="s">
        <v>5937</v>
      </c>
      <c r="E2003" s="6" t="s">
        <v>5938</v>
      </c>
      <c r="F2003" s="8"/>
      <c r="G2003" s="8"/>
      <c r="H2003" s="8"/>
    </row>
    <row r="2004" spans="1:8">
      <c r="A2004" s="6" t="s">
        <v>674</v>
      </c>
      <c r="B2004" s="7" t="s">
        <v>2397</v>
      </c>
      <c r="C2004" s="7" t="s">
        <v>2397</v>
      </c>
      <c r="D2004" s="7" t="s">
        <v>5939</v>
      </c>
      <c r="E2004" s="6" t="s">
        <v>5940</v>
      </c>
      <c r="F2004" s="8"/>
      <c r="G2004" s="8"/>
      <c r="H2004" s="8"/>
    </row>
    <row r="2005" spans="1:8">
      <c r="A2005" s="6" t="s">
        <v>674</v>
      </c>
      <c r="B2005" s="7" t="s">
        <v>2397</v>
      </c>
      <c r="C2005" s="7" t="s">
        <v>2397</v>
      </c>
      <c r="D2005" s="7" t="s">
        <v>5941</v>
      </c>
      <c r="E2005" s="6" t="s">
        <v>5942</v>
      </c>
      <c r="F2005" s="8"/>
      <c r="G2005" s="8"/>
      <c r="H2005" s="8"/>
    </row>
    <row r="2006" spans="1:8">
      <c r="A2006" s="6" t="s">
        <v>674</v>
      </c>
      <c r="B2006" s="7" t="s">
        <v>2397</v>
      </c>
      <c r="C2006" s="7" t="s">
        <v>2397</v>
      </c>
      <c r="D2006" s="7" t="s">
        <v>5943</v>
      </c>
      <c r="E2006" s="6" t="s">
        <v>5944</v>
      </c>
      <c r="F2006" s="8" t="s">
        <v>5162</v>
      </c>
      <c r="G2006" s="8" t="s">
        <v>6953</v>
      </c>
      <c r="H2006" s="8" t="s">
        <v>7169</v>
      </c>
    </row>
    <row r="2007" spans="1:8">
      <c r="A2007" s="6" t="s">
        <v>674</v>
      </c>
      <c r="B2007" s="7" t="s">
        <v>5945</v>
      </c>
      <c r="C2007" s="7" t="s">
        <v>5946</v>
      </c>
      <c r="D2007" s="7" t="s">
        <v>5947</v>
      </c>
      <c r="E2007" s="6" t="s">
        <v>2331</v>
      </c>
      <c r="F2007" s="8"/>
      <c r="G2007" s="8"/>
      <c r="H2007" s="8"/>
    </row>
    <row r="2008" spans="1:8">
      <c r="A2008" s="6" t="s">
        <v>133</v>
      </c>
      <c r="B2008" s="7" t="s">
        <v>134</v>
      </c>
      <c r="C2008" s="7" t="s">
        <v>135</v>
      </c>
      <c r="D2008" s="7" t="s">
        <v>136</v>
      </c>
      <c r="E2008" s="6" t="s">
        <v>137</v>
      </c>
      <c r="F2008" s="8"/>
      <c r="G2008" s="8"/>
      <c r="H2008" s="8"/>
    </row>
    <row r="2009" spans="1:8">
      <c r="A2009" s="6" t="s">
        <v>133</v>
      </c>
      <c r="B2009" s="7" t="s">
        <v>69</v>
      </c>
      <c r="C2009" s="7" t="s">
        <v>643</v>
      </c>
      <c r="D2009" s="7" t="s">
        <v>910</v>
      </c>
      <c r="E2009" s="6" t="s">
        <v>911</v>
      </c>
      <c r="F2009" s="8" t="s">
        <v>7003</v>
      </c>
      <c r="G2009" s="8" t="s">
        <v>7086</v>
      </c>
      <c r="H2009" s="8" t="s">
        <v>6951</v>
      </c>
    </row>
    <row r="2010" spans="1:8">
      <c r="A2010" s="6" t="s">
        <v>133</v>
      </c>
      <c r="B2010" s="7" t="s">
        <v>69</v>
      </c>
      <c r="C2010" s="7" t="s">
        <v>643</v>
      </c>
      <c r="D2010" s="7" t="s">
        <v>912</v>
      </c>
      <c r="E2010" s="6" t="s">
        <v>913</v>
      </c>
      <c r="F2010" s="8" t="s">
        <v>7003</v>
      </c>
      <c r="G2010" s="8" t="s">
        <v>7086</v>
      </c>
      <c r="H2010" s="8" t="s">
        <v>6951</v>
      </c>
    </row>
    <row r="2011" spans="1:8">
      <c r="A2011" s="6" t="s">
        <v>133</v>
      </c>
      <c r="B2011" s="7" t="s">
        <v>796</v>
      </c>
      <c r="C2011" s="7" t="s">
        <v>69</v>
      </c>
      <c r="D2011" s="7" t="s">
        <v>1210</v>
      </c>
      <c r="E2011" s="6" t="s">
        <v>1211</v>
      </c>
      <c r="F2011" s="8"/>
      <c r="G2011" s="8"/>
      <c r="H2011" s="8"/>
    </row>
    <row r="2012" spans="1:8">
      <c r="A2012" s="6" t="s">
        <v>133</v>
      </c>
      <c r="B2012" s="7" t="s">
        <v>78</v>
      </c>
      <c r="C2012" s="7" t="s">
        <v>134</v>
      </c>
      <c r="D2012" s="7" t="s">
        <v>3350</v>
      </c>
      <c r="E2012" s="6" t="s">
        <v>3351</v>
      </c>
      <c r="F2012" s="8"/>
      <c r="G2012" s="8"/>
      <c r="H2012" s="8"/>
    </row>
    <row r="2013" spans="1:8">
      <c r="A2013" s="6" t="s">
        <v>133</v>
      </c>
      <c r="B2013" s="7" t="s">
        <v>78</v>
      </c>
      <c r="C2013" s="7" t="s">
        <v>69</v>
      </c>
      <c r="D2013" s="7" t="s">
        <v>3352</v>
      </c>
      <c r="E2013" s="6" t="s">
        <v>3353</v>
      </c>
      <c r="F2013" s="8" t="s">
        <v>6931</v>
      </c>
      <c r="G2013" s="8" t="s">
        <v>6999</v>
      </c>
      <c r="H2013" s="8" t="s">
        <v>7049</v>
      </c>
    </row>
    <row r="2014" spans="1:8">
      <c r="A2014" s="6" t="s">
        <v>133</v>
      </c>
      <c r="B2014" s="7" t="s">
        <v>78</v>
      </c>
      <c r="C2014" s="7" t="s">
        <v>69</v>
      </c>
      <c r="D2014" s="7" t="s">
        <v>3354</v>
      </c>
      <c r="E2014" s="6" t="s">
        <v>1498</v>
      </c>
      <c r="F2014" s="8"/>
      <c r="G2014" s="8"/>
      <c r="H2014" s="8"/>
    </row>
    <row r="2015" spans="1:8">
      <c r="A2015" s="6" t="s">
        <v>133</v>
      </c>
      <c r="B2015" s="7" t="s">
        <v>78</v>
      </c>
      <c r="C2015" s="7" t="s">
        <v>69</v>
      </c>
      <c r="D2015" s="7" t="s">
        <v>3355</v>
      </c>
      <c r="E2015" s="6" t="s">
        <v>3356</v>
      </c>
      <c r="F2015" s="8"/>
      <c r="G2015" s="8"/>
      <c r="H2015" s="8"/>
    </row>
    <row r="2016" spans="1:8">
      <c r="A2016" s="6" t="s">
        <v>133</v>
      </c>
      <c r="B2016" s="7" t="s">
        <v>78</v>
      </c>
      <c r="C2016" s="7" t="s">
        <v>69</v>
      </c>
      <c r="D2016" s="7" t="s">
        <v>3357</v>
      </c>
      <c r="E2016" s="6" t="s">
        <v>3358</v>
      </c>
      <c r="F2016" s="8"/>
      <c r="G2016" s="8"/>
      <c r="H2016" s="8"/>
    </row>
    <row r="2017" spans="1:8">
      <c r="A2017" s="6" t="s">
        <v>174</v>
      </c>
      <c r="B2017" s="7" t="s">
        <v>175</v>
      </c>
      <c r="C2017" s="7" t="s">
        <v>175</v>
      </c>
      <c r="D2017" s="7" t="s">
        <v>176</v>
      </c>
      <c r="E2017" s="6" t="s">
        <v>177</v>
      </c>
      <c r="F2017" s="8"/>
      <c r="G2017" s="8"/>
      <c r="H2017" s="8"/>
    </row>
    <row r="2018" spans="1:8">
      <c r="A2018" s="6" t="s">
        <v>174</v>
      </c>
      <c r="B2018" s="7" t="s">
        <v>398</v>
      </c>
      <c r="C2018" s="7" t="s">
        <v>398</v>
      </c>
      <c r="D2018" s="7" t="s">
        <v>399</v>
      </c>
      <c r="E2018" s="6" t="s">
        <v>400</v>
      </c>
      <c r="F2018" s="8"/>
      <c r="G2018" s="8"/>
      <c r="H2018" s="8"/>
    </row>
    <row r="2019" spans="1:8">
      <c r="A2019" s="6" t="s">
        <v>174</v>
      </c>
      <c r="B2019" s="7" t="s">
        <v>583</v>
      </c>
      <c r="C2019" s="7" t="s">
        <v>584</v>
      </c>
      <c r="D2019" s="7" t="s">
        <v>585</v>
      </c>
      <c r="E2019" s="6" t="s">
        <v>586</v>
      </c>
      <c r="F2019" s="8"/>
      <c r="G2019" s="8"/>
      <c r="H2019" s="8"/>
    </row>
    <row r="2020" spans="1:8">
      <c r="A2020" s="6" t="s">
        <v>174</v>
      </c>
      <c r="B2020" s="7" t="s">
        <v>3040</v>
      </c>
      <c r="C2020" s="7" t="s">
        <v>3040</v>
      </c>
      <c r="D2020" s="7" t="s">
        <v>3041</v>
      </c>
      <c r="E2020" s="6" t="s">
        <v>1501</v>
      </c>
      <c r="F2020" s="8"/>
      <c r="G2020" s="8"/>
      <c r="H2020" s="8"/>
    </row>
    <row r="2021" spans="1:8">
      <c r="A2021" s="6" t="s">
        <v>274</v>
      </c>
      <c r="B2021" s="7" t="s">
        <v>275</v>
      </c>
      <c r="C2021" s="7" t="s">
        <v>9</v>
      </c>
      <c r="D2021" s="7" t="s">
        <v>276</v>
      </c>
      <c r="E2021" s="6" t="s">
        <v>277</v>
      </c>
      <c r="F2021" s="8"/>
      <c r="G2021" s="8"/>
      <c r="H2021" s="8"/>
    </row>
    <row r="2022" spans="1:8">
      <c r="A2022" s="6" t="s">
        <v>274</v>
      </c>
      <c r="B2022" s="7" t="s">
        <v>149</v>
      </c>
      <c r="C2022" s="7" t="s">
        <v>149</v>
      </c>
      <c r="D2022" s="7" t="s">
        <v>559</v>
      </c>
      <c r="E2022" s="6" t="s">
        <v>560</v>
      </c>
      <c r="F2022" s="8"/>
      <c r="G2022" s="8"/>
      <c r="H2022" s="8"/>
    </row>
    <row r="2023" spans="1:8">
      <c r="A2023" s="6" t="s">
        <v>274</v>
      </c>
      <c r="B2023" s="7" t="s">
        <v>609</v>
      </c>
      <c r="C2023" s="7" t="s">
        <v>609</v>
      </c>
      <c r="D2023" s="7" t="s">
        <v>610</v>
      </c>
      <c r="E2023" s="6" t="s">
        <v>611</v>
      </c>
      <c r="F2023" s="8"/>
      <c r="G2023" s="8"/>
      <c r="H2023" s="8"/>
    </row>
    <row r="2024" spans="1:8">
      <c r="A2024" s="6" t="s">
        <v>274</v>
      </c>
      <c r="B2024" s="7" t="s">
        <v>965</v>
      </c>
      <c r="C2024" s="7" t="s">
        <v>966</v>
      </c>
      <c r="D2024" s="7" t="s">
        <v>967</v>
      </c>
      <c r="E2024" s="6" t="s">
        <v>968</v>
      </c>
      <c r="F2024" s="8"/>
      <c r="G2024" s="8"/>
      <c r="H2024" s="8"/>
    </row>
    <row r="2025" spans="1:8">
      <c r="A2025" s="6" t="s">
        <v>274</v>
      </c>
      <c r="B2025" s="7" t="s">
        <v>149</v>
      </c>
      <c r="C2025" s="7" t="s">
        <v>149</v>
      </c>
      <c r="D2025" s="7" t="s">
        <v>1218</v>
      </c>
      <c r="E2025" s="6" t="s">
        <v>1219</v>
      </c>
      <c r="F2025" s="8"/>
      <c r="G2025" s="8"/>
      <c r="H2025" s="8"/>
    </row>
    <row r="2026" spans="1:8">
      <c r="A2026" s="6" t="s">
        <v>274</v>
      </c>
      <c r="B2026" s="7" t="s">
        <v>965</v>
      </c>
      <c r="C2026" s="7" t="s">
        <v>965</v>
      </c>
      <c r="D2026" s="7" t="s">
        <v>1493</v>
      </c>
      <c r="E2026" s="6" t="s">
        <v>1494</v>
      </c>
      <c r="F2026" s="8" t="s">
        <v>6943</v>
      </c>
      <c r="G2026" s="8" t="s">
        <v>6929</v>
      </c>
      <c r="H2026" s="8" t="s">
        <v>6967</v>
      </c>
    </row>
    <row r="2027" spans="1:8">
      <c r="A2027" s="6" t="s">
        <v>274</v>
      </c>
      <c r="B2027" s="7" t="s">
        <v>1552</v>
      </c>
      <c r="C2027" s="7" t="s">
        <v>1552</v>
      </c>
      <c r="D2027" s="7" t="s">
        <v>1553</v>
      </c>
      <c r="E2027" s="6" t="s">
        <v>1554</v>
      </c>
      <c r="F2027" s="8"/>
      <c r="G2027" s="8"/>
      <c r="H2027" s="8"/>
    </row>
    <row r="2028" spans="1:8">
      <c r="A2028" s="6" t="s">
        <v>274</v>
      </c>
      <c r="B2028" s="7" t="s">
        <v>725</v>
      </c>
      <c r="C2028" s="7" t="s">
        <v>725</v>
      </c>
      <c r="D2028" s="7" t="s">
        <v>1635</v>
      </c>
      <c r="E2028" s="6" t="s">
        <v>1636</v>
      </c>
      <c r="F2028" s="8"/>
      <c r="G2028" s="8"/>
      <c r="H2028" s="8"/>
    </row>
    <row r="2029" spans="1:8">
      <c r="A2029" s="6" t="s">
        <v>274</v>
      </c>
      <c r="B2029" s="7" t="s">
        <v>965</v>
      </c>
      <c r="C2029" s="7" t="s">
        <v>965</v>
      </c>
      <c r="D2029" s="7" t="s">
        <v>1637</v>
      </c>
      <c r="E2029" s="6" t="s">
        <v>1638</v>
      </c>
      <c r="F2029" s="8"/>
      <c r="G2029" s="8"/>
      <c r="H2029" s="8"/>
    </row>
    <row r="2030" spans="1:8">
      <c r="A2030" s="6" t="s">
        <v>274</v>
      </c>
      <c r="B2030" s="7" t="s">
        <v>149</v>
      </c>
      <c r="C2030" s="7" t="s">
        <v>149</v>
      </c>
      <c r="D2030" s="7" t="s">
        <v>1728</v>
      </c>
      <c r="E2030" s="6" t="s">
        <v>1729</v>
      </c>
      <c r="F2030" s="8"/>
      <c r="G2030" s="8"/>
      <c r="H2030" s="8"/>
    </row>
    <row r="2031" spans="1:8">
      <c r="A2031" s="6" t="s">
        <v>274</v>
      </c>
      <c r="B2031" s="7" t="s">
        <v>149</v>
      </c>
      <c r="C2031" s="7" t="s">
        <v>149</v>
      </c>
      <c r="D2031" s="7" t="s">
        <v>1730</v>
      </c>
      <c r="E2031" s="6" t="s">
        <v>1729</v>
      </c>
      <c r="F2031" s="8"/>
      <c r="G2031" s="8"/>
      <c r="H2031" s="8"/>
    </row>
    <row r="2032" spans="1:8">
      <c r="A2032" s="6" t="s">
        <v>274</v>
      </c>
      <c r="B2032" s="7" t="s">
        <v>965</v>
      </c>
      <c r="C2032" s="7" t="s">
        <v>965</v>
      </c>
      <c r="D2032" s="7" t="s">
        <v>1774</v>
      </c>
      <c r="E2032" s="6" t="s">
        <v>1775</v>
      </c>
      <c r="F2032" s="8"/>
      <c r="G2032" s="8"/>
      <c r="H2032" s="8"/>
    </row>
    <row r="2033" spans="1:8">
      <c r="A2033" s="6" t="s">
        <v>274</v>
      </c>
      <c r="B2033" s="7" t="s">
        <v>725</v>
      </c>
      <c r="C2033" s="7" t="s">
        <v>725</v>
      </c>
      <c r="D2033" s="7" t="s">
        <v>1776</v>
      </c>
      <c r="E2033" s="6" t="s">
        <v>1777</v>
      </c>
      <c r="F2033" s="8"/>
      <c r="G2033" s="8"/>
      <c r="H2033" s="8"/>
    </row>
    <row r="2034" spans="1:8">
      <c r="A2034" s="6" t="s">
        <v>274</v>
      </c>
      <c r="B2034" s="7" t="s">
        <v>149</v>
      </c>
      <c r="C2034" s="7" t="s">
        <v>149</v>
      </c>
      <c r="D2034" s="7" t="s">
        <v>1785</v>
      </c>
      <c r="E2034" s="6" t="s">
        <v>1786</v>
      </c>
      <c r="F2034" s="8"/>
      <c r="G2034" s="8"/>
      <c r="H2034" s="8"/>
    </row>
    <row r="2035" spans="1:8">
      <c r="A2035" s="6" t="s">
        <v>274</v>
      </c>
      <c r="B2035" s="7" t="s">
        <v>725</v>
      </c>
      <c r="C2035" s="7" t="s">
        <v>725</v>
      </c>
      <c r="D2035" s="7" t="s">
        <v>1921</v>
      </c>
      <c r="E2035" s="6" t="s">
        <v>1922</v>
      </c>
      <c r="F2035" s="8"/>
      <c r="G2035" s="8"/>
      <c r="H2035" s="8"/>
    </row>
    <row r="2036" spans="1:8">
      <c r="A2036" s="6" t="s">
        <v>274</v>
      </c>
      <c r="B2036" s="7" t="s">
        <v>6548</v>
      </c>
      <c r="C2036" s="7" t="s">
        <v>6548</v>
      </c>
      <c r="D2036" s="7" t="s">
        <v>6549</v>
      </c>
      <c r="E2036" s="6" t="s">
        <v>3786</v>
      </c>
      <c r="F2036" s="8"/>
      <c r="G2036" s="8"/>
      <c r="H2036" s="8"/>
    </row>
    <row r="2037" spans="1:8">
      <c r="A2037" s="6" t="s">
        <v>274</v>
      </c>
      <c r="B2037" s="7" t="s">
        <v>6550</v>
      </c>
      <c r="C2037" s="7" t="s">
        <v>6550</v>
      </c>
      <c r="D2037" s="7" t="s">
        <v>6551</v>
      </c>
      <c r="E2037" s="6" t="s">
        <v>6552</v>
      </c>
      <c r="F2037" s="8"/>
      <c r="G2037" s="8"/>
      <c r="H2037" s="8"/>
    </row>
    <row r="2038" spans="1:8">
      <c r="A2038" s="6" t="s">
        <v>274</v>
      </c>
      <c r="B2038" s="7" t="s">
        <v>6553</v>
      </c>
      <c r="C2038" s="7" t="s">
        <v>1079</v>
      </c>
      <c r="D2038" s="7" t="s">
        <v>6554</v>
      </c>
      <c r="E2038" s="6" t="s">
        <v>6555</v>
      </c>
      <c r="F2038" s="8"/>
      <c r="G2038" s="8"/>
      <c r="H2038" s="8"/>
    </row>
    <row r="2039" spans="1:8">
      <c r="A2039" s="6" t="s">
        <v>274</v>
      </c>
      <c r="B2039" s="7" t="s">
        <v>6553</v>
      </c>
      <c r="C2039" s="7" t="s">
        <v>1079</v>
      </c>
      <c r="D2039" s="7" t="s">
        <v>6556</v>
      </c>
      <c r="E2039" s="6" t="s">
        <v>6557</v>
      </c>
      <c r="F2039" s="8"/>
      <c r="G2039" s="8"/>
      <c r="H2039" s="8"/>
    </row>
    <row r="2040" spans="1:8">
      <c r="A2040" s="6" t="s">
        <v>274</v>
      </c>
      <c r="B2040" s="7" t="s">
        <v>6016</v>
      </c>
      <c r="C2040" s="7" t="s">
        <v>6016</v>
      </c>
      <c r="D2040" s="7" t="s">
        <v>6558</v>
      </c>
      <c r="E2040" s="6" t="s">
        <v>6559</v>
      </c>
      <c r="F2040" s="8"/>
      <c r="G2040" s="8"/>
      <c r="H2040" s="8"/>
    </row>
    <row r="2041" spans="1:8">
      <c r="A2041" s="6" t="s">
        <v>274</v>
      </c>
      <c r="B2041" s="7" t="s">
        <v>1600</v>
      </c>
      <c r="C2041" s="7" t="s">
        <v>6560</v>
      </c>
      <c r="D2041" s="7" t="s">
        <v>6561</v>
      </c>
      <c r="E2041" s="6" t="s">
        <v>6562</v>
      </c>
      <c r="F2041" s="8"/>
      <c r="G2041" s="8"/>
      <c r="H2041" s="8"/>
    </row>
    <row r="2042" spans="1:8">
      <c r="A2042" s="6" t="s">
        <v>274</v>
      </c>
      <c r="B2042" s="7" t="s">
        <v>6563</v>
      </c>
      <c r="C2042" s="7" t="s">
        <v>6564</v>
      </c>
      <c r="D2042" s="7" t="s">
        <v>6565</v>
      </c>
      <c r="E2042" s="6" t="s">
        <v>6566</v>
      </c>
      <c r="F2042" s="8" t="s">
        <v>6943</v>
      </c>
      <c r="G2042" s="8" t="s">
        <v>6987</v>
      </c>
      <c r="H2042" s="8" t="s">
        <v>6951</v>
      </c>
    </row>
    <row r="2043" spans="1:8">
      <c r="A2043" s="6" t="s">
        <v>274</v>
      </c>
      <c r="B2043" s="7" t="s">
        <v>6567</v>
      </c>
      <c r="C2043" s="7" t="s">
        <v>116</v>
      </c>
      <c r="D2043" s="7" t="s">
        <v>6568</v>
      </c>
      <c r="E2043" s="6" t="s">
        <v>6569</v>
      </c>
      <c r="F2043" s="8"/>
      <c r="G2043" s="8"/>
      <c r="H2043" s="8"/>
    </row>
    <row r="2044" spans="1:8">
      <c r="A2044" s="6" t="s">
        <v>274</v>
      </c>
      <c r="B2044" s="7" t="s">
        <v>1552</v>
      </c>
      <c r="C2044" s="7" t="s">
        <v>6570</v>
      </c>
      <c r="D2044" s="7" t="s">
        <v>6571</v>
      </c>
      <c r="E2044" s="6" t="s">
        <v>6572</v>
      </c>
      <c r="F2044" s="8"/>
      <c r="G2044" s="8"/>
      <c r="H2044" s="8"/>
    </row>
    <row r="2045" spans="1:8">
      <c r="A2045" s="6" t="s">
        <v>274</v>
      </c>
      <c r="B2045" s="7" t="s">
        <v>3037</v>
      </c>
      <c r="C2045" s="7" t="s">
        <v>458</v>
      </c>
      <c r="D2045" s="7" t="s">
        <v>6573</v>
      </c>
      <c r="E2045" s="6" t="s">
        <v>6574</v>
      </c>
      <c r="F2045" s="8"/>
      <c r="G2045" s="8"/>
      <c r="H2045" s="8"/>
    </row>
    <row r="2046" spans="1:8">
      <c r="A2046" s="6" t="s">
        <v>274</v>
      </c>
      <c r="B2046" s="7" t="s">
        <v>1131</v>
      </c>
      <c r="C2046" s="7" t="s">
        <v>6575</v>
      </c>
      <c r="D2046" s="7" t="s">
        <v>6576</v>
      </c>
      <c r="E2046" s="6" t="s">
        <v>6577</v>
      </c>
      <c r="F2046" s="8" t="s">
        <v>6993</v>
      </c>
      <c r="G2046" s="8" t="s">
        <v>6929</v>
      </c>
      <c r="H2046" s="8" t="s">
        <v>7214</v>
      </c>
    </row>
    <row r="2047" spans="1:8">
      <c r="A2047" s="6" t="s">
        <v>274</v>
      </c>
      <c r="B2047" s="7" t="s">
        <v>448</v>
      </c>
      <c r="C2047" s="7" t="s">
        <v>448</v>
      </c>
      <c r="D2047" s="7" t="s">
        <v>6578</v>
      </c>
      <c r="E2047" s="6" t="s">
        <v>2331</v>
      </c>
      <c r="F2047" s="8"/>
      <c r="G2047" s="8"/>
      <c r="H2047" s="8"/>
    </row>
    <row r="2048" spans="1:8">
      <c r="A2048" s="6" t="s">
        <v>274</v>
      </c>
      <c r="B2048" s="7" t="s">
        <v>4716</v>
      </c>
      <c r="C2048" s="7" t="s">
        <v>4716</v>
      </c>
      <c r="D2048" s="7" t="s">
        <v>6579</v>
      </c>
      <c r="E2048" s="6" t="s">
        <v>6580</v>
      </c>
      <c r="F2048" s="8"/>
      <c r="G2048" s="8"/>
      <c r="H2048" s="8"/>
    </row>
    <row r="2049" spans="1:8">
      <c r="A2049" s="6" t="s">
        <v>274</v>
      </c>
      <c r="B2049" s="7" t="s">
        <v>74</v>
      </c>
      <c r="C2049" s="7" t="s">
        <v>609</v>
      </c>
      <c r="D2049" s="7" t="s">
        <v>6581</v>
      </c>
      <c r="E2049" s="6" t="s">
        <v>6582</v>
      </c>
      <c r="F2049" s="8"/>
      <c r="G2049" s="8"/>
      <c r="H2049" s="8"/>
    </row>
    <row r="2050" spans="1:8">
      <c r="A2050" s="6" t="s">
        <v>274</v>
      </c>
      <c r="B2050" s="7" t="s">
        <v>74</v>
      </c>
      <c r="C2050" s="7" t="s">
        <v>609</v>
      </c>
      <c r="D2050" s="7" t="s">
        <v>6583</v>
      </c>
      <c r="E2050" s="6" t="s">
        <v>6584</v>
      </c>
      <c r="F2050" s="8"/>
      <c r="G2050" s="8"/>
      <c r="H2050" s="8"/>
    </row>
    <row r="2051" spans="1:8">
      <c r="A2051" s="6" t="s">
        <v>274</v>
      </c>
      <c r="B2051" s="7" t="s">
        <v>74</v>
      </c>
      <c r="C2051" s="7" t="s">
        <v>609</v>
      </c>
      <c r="D2051" s="7" t="s">
        <v>6585</v>
      </c>
      <c r="E2051" s="6" t="s">
        <v>6586</v>
      </c>
      <c r="F2051" s="8"/>
      <c r="G2051" s="8"/>
      <c r="H2051" s="8"/>
    </row>
    <row r="2052" spans="1:8">
      <c r="A2052" s="6" t="s">
        <v>274</v>
      </c>
      <c r="B2052" s="7" t="s">
        <v>6587</v>
      </c>
      <c r="C2052" s="7" t="s">
        <v>6560</v>
      </c>
      <c r="D2052" s="7" t="s">
        <v>6588</v>
      </c>
      <c r="E2052" s="6" t="s">
        <v>5968</v>
      </c>
      <c r="F2052" s="8"/>
      <c r="G2052" s="8"/>
      <c r="H2052" s="8"/>
    </row>
    <row r="2053" spans="1:8">
      <c r="A2053" s="6" t="s">
        <v>274</v>
      </c>
      <c r="B2053" s="7" t="s">
        <v>725</v>
      </c>
      <c r="C2053" s="7" t="s">
        <v>725</v>
      </c>
      <c r="D2053" s="7" t="s">
        <v>6589</v>
      </c>
      <c r="E2053" s="6" t="s">
        <v>6590</v>
      </c>
      <c r="F2053" s="8"/>
      <c r="G2053" s="8"/>
      <c r="H2053" s="8"/>
    </row>
    <row r="2054" spans="1:8">
      <c r="A2054" s="6" t="s">
        <v>274</v>
      </c>
      <c r="B2054" s="7" t="s">
        <v>725</v>
      </c>
      <c r="C2054" s="7" t="s">
        <v>725</v>
      </c>
      <c r="D2054" s="7" t="s">
        <v>6591</v>
      </c>
      <c r="E2054" s="6" t="s">
        <v>2117</v>
      </c>
      <c r="F2054" s="8"/>
      <c r="G2054" s="8"/>
      <c r="H2054" s="8"/>
    </row>
    <row r="2055" spans="1:8">
      <c r="A2055" s="6" t="s">
        <v>274</v>
      </c>
      <c r="B2055" s="7" t="s">
        <v>149</v>
      </c>
      <c r="C2055" s="7" t="s">
        <v>149</v>
      </c>
      <c r="D2055" s="7" t="s">
        <v>6592</v>
      </c>
      <c r="E2055" s="6" t="s">
        <v>6593</v>
      </c>
      <c r="F2055" s="8" t="s">
        <v>6943</v>
      </c>
      <c r="G2055" s="8" t="s">
        <v>6929</v>
      </c>
      <c r="H2055" s="8" t="s">
        <v>7213</v>
      </c>
    </row>
    <row r="2056" spans="1:8">
      <c r="A2056" s="6" t="s">
        <v>274</v>
      </c>
      <c r="B2056" s="7" t="s">
        <v>149</v>
      </c>
      <c r="C2056" s="7" t="s">
        <v>149</v>
      </c>
      <c r="D2056" s="7" t="s">
        <v>6594</v>
      </c>
      <c r="E2056" s="6" t="s">
        <v>1966</v>
      </c>
      <c r="F2056" s="8" t="s">
        <v>7078</v>
      </c>
      <c r="G2056" s="8" t="s">
        <v>6929</v>
      </c>
      <c r="H2056" s="8" t="s">
        <v>6967</v>
      </c>
    </row>
    <row r="2057" spans="1:8">
      <c r="A2057" s="6" t="s">
        <v>274</v>
      </c>
      <c r="B2057" s="7" t="s">
        <v>149</v>
      </c>
      <c r="C2057" s="7" t="s">
        <v>149</v>
      </c>
      <c r="D2057" s="7" t="s">
        <v>6595</v>
      </c>
      <c r="E2057" s="6" t="s">
        <v>4295</v>
      </c>
      <c r="F2057" s="8" t="s">
        <v>6943</v>
      </c>
      <c r="G2057" s="8" t="s">
        <v>6929</v>
      </c>
      <c r="H2057" s="8" t="s">
        <v>7213</v>
      </c>
    </row>
    <row r="2058" spans="1:8">
      <c r="A2058" s="6" t="s">
        <v>274</v>
      </c>
      <c r="B2058" s="7" t="s">
        <v>149</v>
      </c>
      <c r="C2058" s="7" t="s">
        <v>149</v>
      </c>
      <c r="D2058" s="7" t="s">
        <v>6596</v>
      </c>
      <c r="E2058" s="6" t="s">
        <v>6597</v>
      </c>
      <c r="F2058" s="8" t="s">
        <v>7078</v>
      </c>
      <c r="G2058" s="8" t="s">
        <v>6929</v>
      </c>
      <c r="H2058" s="8" t="s">
        <v>6967</v>
      </c>
    </row>
    <row r="2059" spans="1:8">
      <c r="A2059" s="6" t="s">
        <v>274</v>
      </c>
      <c r="B2059" s="7" t="s">
        <v>149</v>
      </c>
      <c r="C2059" s="7" t="s">
        <v>149</v>
      </c>
      <c r="D2059" s="7" t="s">
        <v>6598</v>
      </c>
      <c r="E2059" s="6" t="s">
        <v>6599</v>
      </c>
      <c r="F2059" s="8" t="s">
        <v>7078</v>
      </c>
      <c r="G2059" s="8" t="s">
        <v>6929</v>
      </c>
      <c r="H2059" s="8" t="s">
        <v>6967</v>
      </c>
    </row>
    <row r="2060" spans="1:8">
      <c r="A2060" s="6" t="s">
        <v>5948</v>
      </c>
      <c r="B2060" s="7" t="s">
        <v>898</v>
      </c>
      <c r="C2060" s="7" t="s">
        <v>9</v>
      </c>
      <c r="D2060" s="7" t="s">
        <v>5949</v>
      </c>
      <c r="E2060" s="6" t="s">
        <v>2833</v>
      </c>
      <c r="F2060" s="8"/>
      <c r="G2060" s="8"/>
      <c r="H2060" s="8"/>
    </row>
    <row r="2061" spans="1:8">
      <c r="A2061" s="6" t="s">
        <v>5948</v>
      </c>
      <c r="B2061" s="7" t="s">
        <v>898</v>
      </c>
      <c r="C2061" s="7" t="s">
        <v>898</v>
      </c>
      <c r="D2061" s="7" t="s">
        <v>5950</v>
      </c>
      <c r="E2061" s="6" t="s">
        <v>5951</v>
      </c>
      <c r="F2061" s="8"/>
      <c r="G2061" s="8"/>
      <c r="H2061" s="8"/>
    </row>
    <row r="2062" spans="1:8">
      <c r="A2062" s="6" t="s">
        <v>205</v>
      </c>
      <c r="B2062" s="7" t="s">
        <v>206</v>
      </c>
      <c r="C2062" s="7" t="s">
        <v>206</v>
      </c>
      <c r="D2062" s="7" t="s">
        <v>207</v>
      </c>
      <c r="E2062" s="6" t="s">
        <v>208</v>
      </c>
      <c r="F2062" s="8"/>
      <c r="G2062" s="8"/>
      <c r="H2062" s="8"/>
    </row>
    <row r="2063" spans="1:8">
      <c r="A2063" s="6" t="s">
        <v>205</v>
      </c>
      <c r="B2063" s="7" t="s">
        <v>260</v>
      </c>
      <c r="C2063" s="7" t="s">
        <v>261</v>
      </c>
      <c r="D2063" s="7" t="s">
        <v>262</v>
      </c>
      <c r="E2063" s="6" t="s">
        <v>263</v>
      </c>
      <c r="F2063" s="8" t="s">
        <v>3334</v>
      </c>
      <c r="G2063" s="8" t="s">
        <v>6929</v>
      </c>
      <c r="H2063" s="8" t="s">
        <v>6940</v>
      </c>
    </row>
    <row r="2064" spans="1:8">
      <c r="A2064" s="6" t="s">
        <v>205</v>
      </c>
      <c r="B2064" s="7" t="s">
        <v>513</v>
      </c>
      <c r="C2064" s="7" t="s">
        <v>513</v>
      </c>
      <c r="D2064" s="7" t="s">
        <v>514</v>
      </c>
      <c r="E2064" s="6" t="s">
        <v>515</v>
      </c>
      <c r="F2064" s="8"/>
      <c r="G2064" s="8"/>
      <c r="H2064" s="8"/>
    </row>
    <row r="2065" spans="1:8">
      <c r="A2065" s="6" t="s">
        <v>205</v>
      </c>
      <c r="B2065" s="7" t="s">
        <v>513</v>
      </c>
      <c r="C2065" s="7" t="s">
        <v>513</v>
      </c>
      <c r="D2065" s="7" t="s">
        <v>516</v>
      </c>
      <c r="E2065" s="6" t="s">
        <v>517</v>
      </c>
      <c r="F2065" s="8"/>
      <c r="G2065" s="8"/>
      <c r="H2065" s="8"/>
    </row>
    <row r="2066" spans="1:8">
      <c r="A2066" s="6" t="s">
        <v>205</v>
      </c>
      <c r="B2066" s="7" t="s">
        <v>513</v>
      </c>
      <c r="C2066" s="7" t="s">
        <v>513</v>
      </c>
      <c r="D2066" s="7" t="s">
        <v>518</v>
      </c>
      <c r="E2066" s="6" t="s">
        <v>519</v>
      </c>
      <c r="F2066" s="8" t="s">
        <v>6939</v>
      </c>
      <c r="G2066" s="8" t="s">
        <v>6953</v>
      </c>
      <c r="H2066" s="8" t="s">
        <v>7060</v>
      </c>
    </row>
    <row r="2067" spans="1:8">
      <c r="A2067" s="6" t="s">
        <v>205</v>
      </c>
      <c r="B2067" s="7" t="s">
        <v>513</v>
      </c>
      <c r="C2067" s="7" t="s">
        <v>513</v>
      </c>
      <c r="D2067" s="7" t="s">
        <v>520</v>
      </c>
      <c r="E2067" s="6" t="s">
        <v>521</v>
      </c>
      <c r="F2067" s="8"/>
      <c r="G2067" s="8"/>
      <c r="H2067" s="8"/>
    </row>
    <row r="2068" spans="1:8">
      <c r="A2068" s="6" t="s">
        <v>205</v>
      </c>
      <c r="B2068" s="7" t="s">
        <v>260</v>
      </c>
      <c r="C2068" s="7" t="s">
        <v>261</v>
      </c>
      <c r="D2068" s="7" t="s">
        <v>695</v>
      </c>
      <c r="E2068" s="6" t="s">
        <v>696</v>
      </c>
      <c r="F2068" s="8" t="s">
        <v>3334</v>
      </c>
      <c r="G2068" s="8" t="s">
        <v>6929</v>
      </c>
      <c r="H2068" s="8" t="s">
        <v>7217</v>
      </c>
    </row>
    <row r="2069" spans="1:8">
      <c r="A2069" s="6" t="s">
        <v>205</v>
      </c>
      <c r="B2069" s="7" t="s">
        <v>493</v>
      </c>
      <c r="C2069" s="7" t="s">
        <v>493</v>
      </c>
      <c r="D2069" s="7" t="s">
        <v>1263</v>
      </c>
      <c r="E2069" s="6" t="s">
        <v>1264</v>
      </c>
      <c r="F2069" s="8"/>
      <c r="G2069" s="8"/>
      <c r="H2069" s="8"/>
    </row>
    <row r="2070" spans="1:8">
      <c r="A2070" s="6" t="s">
        <v>205</v>
      </c>
      <c r="B2070" s="7" t="s">
        <v>260</v>
      </c>
      <c r="C2070" s="7" t="s">
        <v>260</v>
      </c>
      <c r="D2070" s="7" t="s">
        <v>1338</v>
      </c>
      <c r="E2070" s="6" t="s">
        <v>1339</v>
      </c>
      <c r="F2070" s="8" t="s">
        <v>3334</v>
      </c>
      <c r="G2070" s="8" t="s">
        <v>6929</v>
      </c>
      <c r="H2070" s="8" t="s">
        <v>7217</v>
      </c>
    </row>
    <row r="2071" spans="1:8">
      <c r="A2071" s="6" t="s">
        <v>205</v>
      </c>
      <c r="B2071" s="7" t="s">
        <v>227</v>
      </c>
      <c r="C2071" s="7" t="s">
        <v>227</v>
      </c>
      <c r="D2071" s="7" t="s">
        <v>1381</v>
      </c>
      <c r="E2071" s="6" t="s">
        <v>1382</v>
      </c>
      <c r="F2071" s="8"/>
      <c r="G2071" s="8"/>
      <c r="H2071" s="8"/>
    </row>
    <row r="2072" spans="1:8">
      <c r="A2072" s="6" t="s">
        <v>205</v>
      </c>
      <c r="B2072" s="7" t="s">
        <v>260</v>
      </c>
      <c r="C2072" s="7" t="s">
        <v>260</v>
      </c>
      <c r="D2072" s="7" t="s">
        <v>1557</v>
      </c>
      <c r="E2072" s="6" t="s">
        <v>1558</v>
      </c>
      <c r="F2072" s="8" t="s">
        <v>3334</v>
      </c>
      <c r="G2072" s="8" t="s">
        <v>6929</v>
      </c>
      <c r="H2072" s="8" t="s">
        <v>7217</v>
      </c>
    </row>
    <row r="2073" spans="1:8">
      <c r="A2073" s="6" t="s">
        <v>205</v>
      </c>
      <c r="B2073" s="7" t="s">
        <v>1654</v>
      </c>
      <c r="C2073" s="7" t="s">
        <v>1654</v>
      </c>
      <c r="D2073" s="7" t="s">
        <v>1655</v>
      </c>
      <c r="E2073" s="6" t="s">
        <v>1656</v>
      </c>
      <c r="F2073" s="8"/>
      <c r="G2073" s="8"/>
      <c r="H2073" s="8"/>
    </row>
    <row r="2074" spans="1:8">
      <c r="A2074" s="6" t="s">
        <v>205</v>
      </c>
      <c r="B2074" s="7" t="s">
        <v>898</v>
      </c>
      <c r="C2074" s="7" t="s">
        <v>898</v>
      </c>
      <c r="D2074" s="7" t="s">
        <v>1879</v>
      </c>
      <c r="E2074" s="6" t="s">
        <v>1880</v>
      </c>
      <c r="F2074" s="8"/>
      <c r="G2074" s="8"/>
      <c r="H2074" s="8"/>
    </row>
    <row r="2075" spans="1:8">
      <c r="A2075" s="6" t="s">
        <v>205</v>
      </c>
      <c r="B2075" s="7" t="s">
        <v>898</v>
      </c>
      <c r="C2075" s="7" t="s">
        <v>898</v>
      </c>
      <c r="D2075" s="7" t="s">
        <v>1881</v>
      </c>
      <c r="E2075" s="6" t="s">
        <v>1882</v>
      </c>
      <c r="F2075" s="8"/>
      <c r="G2075" s="8"/>
      <c r="H2075" s="8"/>
    </row>
    <row r="2076" spans="1:8">
      <c r="A2076" s="6" t="s">
        <v>205</v>
      </c>
      <c r="B2076" s="7" t="s">
        <v>6286</v>
      </c>
      <c r="C2076" s="7" t="s">
        <v>6286</v>
      </c>
      <c r="D2076" s="7" t="s">
        <v>6287</v>
      </c>
      <c r="E2076" s="6" t="s">
        <v>6288</v>
      </c>
      <c r="F2076" s="8"/>
      <c r="G2076" s="8"/>
      <c r="H2076" s="8"/>
    </row>
    <row r="2077" spans="1:8">
      <c r="A2077" s="6" t="s">
        <v>205</v>
      </c>
      <c r="B2077" s="7" t="s">
        <v>898</v>
      </c>
      <c r="C2077" s="7" t="s">
        <v>898</v>
      </c>
      <c r="D2077" s="7" t="s">
        <v>6289</v>
      </c>
      <c r="E2077" s="6" t="s">
        <v>326</v>
      </c>
      <c r="F2077" s="8" t="s">
        <v>6943</v>
      </c>
      <c r="G2077" s="8" t="s">
        <v>6929</v>
      </c>
      <c r="H2077" s="8" t="s">
        <v>6927</v>
      </c>
    </row>
    <row r="2078" spans="1:8">
      <c r="A2078" s="6" t="s">
        <v>205</v>
      </c>
      <c r="B2078" s="7" t="s">
        <v>3316</v>
      </c>
      <c r="C2078" s="7" t="s">
        <v>3316</v>
      </c>
      <c r="D2078" s="7" t="s">
        <v>6290</v>
      </c>
      <c r="E2078" s="6" t="s">
        <v>6291</v>
      </c>
      <c r="F2078" s="8"/>
      <c r="G2078" s="8"/>
      <c r="H2078" s="8"/>
    </row>
    <row r="2079" spans="1:8">
      <c r="A2079" s="6" t="s">
        <v>205</v>
      </c>
      <c r="B2079" s="7" t="s">
        <v>1654</v>
      </c>
      <c r="C2079" s="7" t="s">
        <v>1654</v>
      </c>
      <c r="D2079" s="7" t="s">
        <v>6292</v>
      </c>
      <c r="E2079" s="6" t="s">
        <v>6293</v>
      </c>
      <c r="F2079" s="8"/>
      <c r="G2079" s="8"/>
      <c r="H2079" s="8"/>
    </row>
    <row r="2080" spans="1:8">
      <c r="A2080" s="6" t="s">
        <v>205</v>
      </c>
      <c r="B2080" s="7" t="s">
        <v>6294</v>
      </c>
      <c r="C2080" s="7" t="s">
        <v>6294</v>
      </c>
      <c r="D2080" s="7" t="s">
        <v>6295</v>
      </c>
      <c r="E2080" s="6" t="s">
        <v>6296</v>
      </c>
      <c r="F2080" s="8"/>
      <c r="G2080" s="8"/>
      <c r="H2080" s="8"/>
    </row>
    <row r="2081" spans="1:8">
      <c r="A2081" s="6" t="s">
        <v>205</v>
      </c>
      <c r="B2081" s="7" t="s">
        <v>6294</v>
      </c>
      <c r="C2081" s="7" t="s">
        <v>6294</v>
      </c>
      <c r="D2081" s="7" t="s">
        <v>6297</v>
      </c>
      <c r="E2081" s="6" t="s">
        <v>6298</v>
      </c>
      <c r="F2081" s="8"/>
      <c r="G2081" s="8"/>
      <c r="H2081" s="8"/>
    </row>
    <row r="2082" spans="1:8">
      <c r="A2082" s="6" t="s">
        <v>205</v>
      </c>
      <c r="B2082" s="7" t="s">
        <v>6294</v>
      </c>
      <c r="C2082" s="7" t="s">
        <v>6294</v>
      </c>
      <c r="D2082" s="7" t="s">
        <v>6299</v>
      </c>
      <c r="E2082" s="6" t="s">
        <v>6300</v>
      </c>
      <c r="F2082" s="8"/>
      <c r="G2082" s="8"/>
      <c r="H2082" s="8"/>
    </row>
    <row r="2083" spans="1:8">
      <c r="A2083" s="6" t="s">
        <v>205</v>
      </c>
      <c r="B2083" s="7" t="s">
        <v>1654</v>
      </c>
      <c r="C2083" s="7" t="s">
        <v>1654</v>
      </c>
      <c r="D2083" s="7" t="s">
        <v>6301</v>
      </c>
      <c r="E2083" s="6" t="s">
        <v>6302</v>
      </c>
      <c r="F2083" s="8" t="s">
        <v>3334</v>
      </c>
      <c r="G2083" s="8" t="s">
        <v>6944</v>
      </c>
      <c r="H2083" s="8" t="s">
        <v>7220</v>
      </c>
    </row>
    <row r="2084" spans="1:8">
      <c r="A2084" s="6" t="s">
        <v>205</v>
      </c>
      <c r="B2084" s="7" t="s">
        <v>6303</v>
      </c>
      <c r="C2084" s="7" t="s">
        <v>6303</v>
      </c>
      <c r="D2084" s="7" t="s">
        <v>6304</v>
      </c>
      <c r="E2084" s="6" t="s">
        <v>6177</v>
      </c>
      <c r="F2084" s="8" t="s">
        <v>3334</v>
      </c>
      <c r="G2084" s="8" t="s">
        <v>6944</v>
      </c>
      <c r="H2084" s="8" t="s">
        <v>7220</v>
      </c>
    </row>
    <row r="2085" spans="1:8">
      <c r="A2085" s="6" t="s">
        <v>205</v>
      </c>
      <c r="B2085" s="7" t="s">
        <v>6303</v>
      </c>
      <c r="C2085" s="7" t="s">
        <v>6303</v>
      </c>
      <c r="D2085" s="7" t="s">
        <v>6305</v>
      </c>
      <c r="E2085" s="6" t="s">
        <v>6306</v>
      </c>
      <c r="F2085" s="8" t="s">
        <v>3334</v>
      </c>
      <c r="G2085" s="8" t="s">
        <v>6944</v>
      </c>
      <c r="H2085" s="8" t="s">
        <v>7220</v>
      </c>
    </row>
    <row r="2086" spans="1:8">
      <c r="A2086" s="6" t="s">
        <v>205</v>
      </c>
      <c r="B2086" s="7" t="s">
        <v>6303</v>
      </c>
      <c r="C2086" s="7" t="s">
        <v>6303</v>
      </c>
      <c r="D2086" s="7" t="s">
        <v>6307</v>
      </c>
      <c r="E2086" s="6" t="s">
        <v>6308</v>
      </c>
      <c r="F2086" s="8" t="s">
        <v>3334</v>
      </c>
      <c r="G2086" s="8" t="s">
        <v>6944</v>
      </c>
      <c r="H2086" s="8" t="s">
        <v>7220</v>
      </c>
    </row>
    <row r="2087" spans="1:8">
      <c r="A2087" s="6" t="s">
        <v>205</v>
      </c>
      <c r="B2087" s="7" t="s">
        <v>1654</v>
      </c>
      <c r="C2087" s="7" t="s">
        <v>1654</v>
      </c>
      <c r="D2087" s="7" t="s">
        <v>6309</v>
      </c>
      <c r="E2087" s="6" t="s">
        <v>6310</v>
      </c>
      <c r="F2087" s="8" t="s">
        <v>3334</v>
      </c>
      <c r="G2087" s="8" t="s">
        <v>6944</v>
      </c>
      <c r="H2087" s="8" t="s">
        <v>7220</v>
      </c>
    </row>
    <row r="2088" spans="1:8">
      <c r="A2088" s="6" t="s">
        <v>205</v>
      </c>
      <c r="B2088" s="7" t="s">
        <v>6303</v>
      </c>
      <c r="C2088" s="7" t="s">
        <v>6303</v>
      </c>
      <c r="D2088" s="7" t="s">
        <v>6311</v>
      </c>
      <c r="E2088" s="6" t="s">
        <v>6312</v>
      </c>
      <c r="F2088" s="8" t="s">
        <v>3334</v>
      </c>
      <c r="G2088" s="8" t="s">
        <v>6944</v>
      </c>
      <c r="H2088" s="8" t="s">
        <v>7220</v>
      </c>
    </row>
    <row r="2089" spans="1:8">
      <c r="A2089" s="6" t="s">
        <v>205</v>
      </c>
      <c r="B2089" s="7" t="s">
        <v>3316</v>
      </c>
      <c r="C2089" s="7" t="s">
        <v>3316</v>
      </c>
      <c r="D2089" s="7" t="s">
        <v>6313</v>
      </c>
      <c r="E2089" s="6" t="s">
        <v>4028</v>
      </c>
      <c r="F2089" s="8"/>
      <c r="G2089" s="8"/>
      <c r="H2089" s="8"/>
    </row>
    <row r="2090" spans="1:8">
      <c r="A2090" s="6" t="s">
        <v>205</v>
      </c>
      <c r="B2090" s="7" t="s">
        <v>3316</v>
      </c>
      <c r="C2090" s="7" t="s">
        <v>3316</v>
      </c>
      <c r="D2090" s="7" t="s">
        <v>6314</v>
      </c>
      <c r="E2090" s="6" t="s">
        <v>5499</v>
      </c>
      <c r="F2090" s="8"/>
      <c r="G2090" s="8"/>
      <c r="H2090" s="8"/>
    </row>
    <row r="2091" spans="1:8">
      <c r="A2091" s="6" t="s">
        <v>205</v>
      </c>
      <c r="B2091" s="7" t="s">
        <v>3586</v>
      </c>
      <c r="C2091" s="7" t="s">
        <v>3586</v>
      </c>
      <c r="D2091" s="7" t="s">
        <v>6315</v>
      </c>
      <c r="E2091" s="6" t="s">
        <v>6316</v>
      </c>
      <c r="F2091" s="8"/>
      <c r="G2091" s="8"/>
      <c r="H2091" s="8"/>
    </row>
    <row r="2092" spans="1:8">
      <c r="A2092" s="6" t="s">
        <v>205</v>
      </c>
      <c r="B2092" s="7" t="s">
        <v>3586</v>
      </c>
      <c r="C2092" s="7" t="s">
        <v>3586</v>
      </c>
      <c r="D2092" s="7" t="s">
        <v>6317</v>
      </c>
      <c r="E2092" s="6" t="s">
        <v>6318</v>
      </c>
      <c r="F2092" s="8"/>
      <c r="G2092" s="8"/>
      <c r="H2092" s="8"/>
    </row>
    <row r="2093" spans="1:8">
      <c r="A2093" s="6" t="s">
        <v>205</v>
      </c>
      <c r="B2093" s="7" t="s">
        <v>78</v>
      </c>
      <c r="C2093" s="7" t="s">
        <v>78</v>
      </c>
      <c r="D2093" s="7" t="s">
        <v>6319</v>
      </c>
      <c r="E2093" s="6" t="s">
        <v>6320</v>
      </c>
      <c r="F2093" s="8"/>
      <c r="G2093" s="8"/>
      <c r="H2093" s="8"/>
    </row>
    <row r="2094" spans="1:8">
      <c r="A2094" s="6" t="s">
        <v>205</v>
      </c>
      <c r="B2094" s="7" t="s">
        <v>1057</v>
      </c>
      <c r="C2094" s="7" t="s">
        <v>1057</v>
      </c>
      <c r="D2094" s="7" t="s">
        <v>6321</v>
      </c>
      <c r="E2094" s="6" t="s">
        <v>6322</v>
      </c>
      <c r="F2094" s="8"/>
      <c r="G2094" s="8"/>
      <c r="H2094" s="8"/>
    </row>
    <row r="2095" spans="1:8">
      <c r="A2095" s="6" t="s">
        <v>205</v>
      </c>
      <c r="B2095" s="7" t="s">
        <v>264</v>
      </c>
      <c r="C2095" s="7" t="s">
        <v>264</v>
      </c>
      <c r="D2095" s="7" t="s">
        <v>6323</v>
      </c>
      <c r="E2095" s="6" t="s">
        <v>6324</v>
      </c>
      <c r="F2095" s="8" t="s">
        <v>6982</v>
      </c>
      <c r="G2095" s="8" t="s">
        <v>7001</v>
      </c>
      <c r="H2095" s="8" t="s">
        <v>7216</v>
      </c>
    </row>
    <row r="2096" spans="1:8">
      <c r="A2096" s="6" t="s">
        <v>205</v>
      </c>
      <c r="B2096" s="7" t="s">
        <v>6325</v>
      </c>
      <c r="C2096" s="7" t="s">
        <v>6325</v>
      </c>
      <c r="D2096" s="7" t="s">
        <v>6326</v>
      </c>
      <c r="E2096" s="6" t="s">
        <v>6327</v>
      </c>
      <c r="F2096" s="8" t="s">
        <v>7218</v>
      </c>
      <c r="G2096" s="8" t="s">
        <v>6999</v>
      </c>
      <c r="H2096" s="8" t="s">
        <v>7219</v>
      </c>
    </row>
    <row r="2097" spans="1:8">
      <c r="A2097" s="6" t="s">
        <v>205</v>
      </c>
      <c r="B2097" s="7" t="s">
        <v>6328</v>
      </c>
      <c r="C2097" s="7" t="s">
        <v>6328</v>
      </c>
      <c r="D2097" s="7" t="s">
        <v>6329</v>
      </c>
      <c r="E2097" s="6" t="s">
        <v>6330</v>
      </c>
      <c r="F2097" s="8"/>
      <c r="G2097" s="8"/>
      <c r="H2097" s="8"/>
    </row>
    <row r="2098" spans="1:8">
      <c r="A2098" s="6" t="s">
        <v>205</v>
      </c>
      <c r="B2098" s="7" t="s">
        <v>6331</v>
      </c>
      <c r="C2098" s="7" t="s">
        <v>6331</v>
      </c>
      <c r="D2098" s="7" t="s">
        <v>6332</v>
      </c>
      <c r="E2098" s="6" t="s">
        <v>6333</v>
      </c>
      <c r="F2098" s="8"/>
      <c r="G2098" s="8"/>
      <c r="H2098" s="8"/>
    </row>
    <row r="2099" spans="1:8">
      <c r="A2099" s="6" t="s">
        <v>205</v>
      </c>
      <c r="B2099" s="7" t="s">
        <v>493</v>
      </c>
      <c r="C2099" s="7" t="s">
        <v>493</v>
      </c>
      <c r="D2099" s="7" t="s">
        <v>6334</v>
      </c>
      <c r="E2099" s="6" t="s">
        <v>6335</v>
      </c>
      <c r="F2099" s="8"/>
      <c r="G2099" s="8"/>
      <c r="H2099" s="8"/>
    </row>
    <row r="2100" spans="1:8">
      <c r="A2100" s="6" t="s">
        <v>805</v>
      </c>
      <c r="B2100" s="7" t="s">
        <v>806</v>
      </c>
      <c r="C2100" s="7" t="s">
        <v>806</v>
      </c>
      <c r="D2100" s="7" t="s">
        <v>807</v>
      </c>
      <c r="E2100" s="6" t="s">
        <v>808</v>
      </c>
      <c r="F2100" s="8" t="s">
        <v>7003</v>
      </c>
      <c r="G2100" s="8" t="s">
        <v>7086</v>
      </c>
      <c r="H2100" s="8" t="s">
        <v>6940</v>
      </c>
    </row>
    <row r="2101" spans="1:8">
      <c r="A2101" s="6" t="s">
        <v>805</v>
      </c>
      <c r="B2101" s="7" t="s">
        <v>806</v>
      </c>
      <c r="C2101" s="7" t="s">
        <v>806</v>
      </c>
      <c r="D2101" s="7" t="s">
        <v>809</v>
      </c>
      <c r="E2101" s="6" t="s">
        <v>810</v>
      </c>
      <c r="F2101" s="8"/>
      <c r="G2101" s="8"/>
      <c r="H2101" s="8"/>
    </row>
    <row r="2102" spans="1:8">
      <c r="A2102" s="6" t="s">
        <v>805</v>
      </c>
      <c r="B2102" s="7" t="s">
        <v>3128</v>
      </c>
      <c r="C2102" s="7" t="s">
        <v>3128</v>
      </c>
      <c r="D2102" s="7" t="s">
        <v>3129</v>
      </c>
      <c r="E2102" s="6" t="s">
        <v>3130</v>
      </c>
      <c r="F2102" s="8"/>
      <c r="G2102" s="8"/>
      <c r="H2102" s="8"/>
    </row>
    <row r="2103" spans="1:8">
      <c r="A2103" s="6" t="s">
        <v>805</v>
      </c>
      <c r="B2103" s="7" t="s">
        <v>3075</v>
      </c>
      <c r="C2103" s="7" t="s">
        <v>78</v>
      </c>
      <c r="D2103" s="7" t="s">
        <v>3131</v>
      </c>
      <c r="E2103" s="6" t="s">
        <v>3132</v>
      </c>
      <c r="F2103" s="8"/>
      <c r="G2103" s="8"/>
      <c r="H2103" s="8"/>
    </row>
    <row r="2104" spans="1:8">
      <c r="A2104" s="6" t="s">
        <v>805</v>
      </c>
      <c r="B2104" s="7" t="s">
        <v>78</v>
      </c>
      <c r="C2104" s="7" t="s">
        <v>78</v>
      </c>
      <c r="D2104" s="7" t="s">
        <v>3133</v>
      </c>
      <c r="E2104" s="6" t="s">
        <v>3134</v>
      </c>
      <c r="F2104" s="8"/>
      <c r="G2104" s="8"/>
      <c r="H2104" s="8"/>
    </row>
    <row r="2105" spans="1:8">
      <c r="A2105" s="6" t="s">
        <v>805</v>
      </c>
      <c r="B2105" s="7" t="s">
        <v>134</v>
      </c>
      <c r="C2105" s="7" t="s">
        <v>134</v>
      </c>
      <c r="D2105" s="7" t="s">
        <v>3135</v>
      </c>
      <c r="E2105" s="6" t="s">
        <v>3136</v>
      </c>
      <c r="F2105" s="8"/>
      <c r="G2105" s="8"/>
      <c r="H2105" s="8"/>
    </row>
    <row r="2106" spans="1:8">
      <c r="A2106" s="6" t="s">
        <v>5871</v>
      </c>
      <c r="B2106" s="7" t="s">
        <v>9</v>
      </c>
      <c r="C2106" s="7" t="s">
        <v>9</v>
      </c>
      <c r="D2106" s="7" t="s">
        <v>5872</v>
      </c>
      <c r="E2106" s="6" t="s">
        <v>5873</v>
      </c>
      <c r="F2106" s="8"/>
      <c r="G2106" s="8"/>
      <c r="H2106" s="8"/>
    </row>
    <row r="2107" spans="1:8">
      <c r="A2107" s="6" t="s">
        <v>1485</v>
      </c>
      <c r="B2107" s="7" t="s">
        <v>9</v>
      </c>
      <c r="C2107" s="7" t="s">
        <v>9</v>
      </c>
      <c r="D2107" s="7" t="s">
        <v>1486</v>
      </c>
      <c r="E2107" s="6" t="s">
        <v>1487</v>
      </c>
      <c r="F2107" s="8" t="s">
        <v>3334</v>
      </c>
      <c r="G2107" s="8" t="s">
        <v>6929</v>
      </c>
      <c r="H2107" s="8" t="s">
        <v>6967</v>
      </c>
    </row>
    <row r="2108" spans="1:8">
      <c r="A2108" s="6" t="s">
        <v>1228</v>
      </c>
      <c r="B2108" s="7" t="s">
        <v>9</v>
      </c>
      <c r="C2108" s="7" t="s">
        <v>9</v>
      </c>
      <c r="D2108" s="7" t="s">
        <v>1229</v>
      </c>
      <c r="E2108" s="6" t="s">
        <v>1230</v>
      </c>
      <c r="F2108" s="8"/>
      <c r="G2108" s="8"/>
      <c r="H2108" s="8"/>
    </row>
    <row r="2109" spans="1:8">
      <c r="A2109" s="6" t="s">
        <v>1228</v>
      </c>
      <c r="B2109" s="7" t="s">
        <v>9</v>
      </c>
      <c r="C2109" s="7" t="s">
        <v>9</v>
      </c>
      <c r="D2109" s="7" t="s">
        <v>1231</v>
      </c>
      <c r="E2109" s="6" t="s">
        <v>1232</v>
      </c>
      <c r="F2109" s="8"/>
      <c r="G2109" s="8"/>
      <c r="H2109" s="8"/>
    </row>
    <row r="2110" spans="1:8">
      <c r="A2110" s="6" t="s">
        <v>394</v>
      </c>
      <c r="B2110" s="7" t="s">
        <v>9</v>
      </c>
      <c r="C2110" s="7" t="s">
        <v>395</v>
      </c>
      <c r="D2110" s="7" t="s">
        <v>396</v>
      </c>
      <c r="E2110" s="6" t="s">
        <v>397</v>
      </c>
      <c r="F2110" s="8"/>
      <c r="G2110" s="8"/>
      <c r="H2110" s="8"/>
    </row>
    <row r="2111" spans="1:8">
      <c r="A2111" s="6" t="s">
        <v>394</v>
      </c>
      <c r="B2111" s="7" t="s">
        <v>3905</v>
      </c>
      <c r="C2111" s="7" t="s">
        <v>3905</v>
      </c>
      <c r="D2111" s="7" t="s">
        <v>5346</v>
      </c>
      <c r="E2111" s="6" t="s">
        <v>62</v>
      </c>
      <c r="F2111" s="8"/>
      <c r="G2111" s="8"/>
      <c r="H2111" s="8"/>
    </row>
    <row r="2112" spans="1:8">
      <c r="A2112" s="6" t="s">
        <v>394</v>
      </c>
      <c r="B2112" s="7" t="s">
        <v>5347</v>
      </c>
      <c r="C2112" s="7" t="s">
        <v>5347</v>
      </c>
      <c r="D2112" s="7" t="s">
        <v>5348</v>
      </c>
      <c r="E2112" s="6" t="s">
        <v>62</v>
      </c>
      <c r="F2112" s="8"/>
      <c r="G2112" s="8"/>
      <c r="H2112" s="8"/>
    </row>
    <row r="2113" spans="1:8">
      <c r="A2113" s="6" t="s">
        <v>394</v>
      </c>
      <c r="B2113" s="7" t="s">
        <v>5347</v>
      </c>
      <c r="C2113" s="7" t="s">
        <v>5347</v>
      </c>
      <c r="D2113" s="7" t="s">
        <v>5349</v>
      </c>
      <c r="E2113" s="6" t="s">
        <v>62</v>
      </c>
      <c r="F2113" s="8"/>
      <c r="G2113" s="8"/>
      <c r="H2113" s="8"/>
    </row>
    <row r="2114" spans="1:8">
      <c r="A2114" s="6" t="s">
        <v>394</v>
      </c>
      <c r="B2114" s="7" t="s">
        <v>5347</v>
      </c>
      <c r="C2114" s="7" t="s">
        <v>5347</v>
      </c>
      <c r="D2114" s="7" t="s">
        <v>5350</v>
      </c>
      <c r="E2114" s="6" t="s">
        <v>62</v>
      </c>
      <c r="F2114" s="8"/>
      <c r="G2114" s="8"/>
      <c r="H2114" s="8"/>
    </row>
    <row r="2115" spans="1:8">
      <c r="A2115" s="6" t="s">
        <v>394</v>
      </c>
      <c r="B2115" s="7" t="s">
        <v>5347</v>
      </c>
      <c r="C2115" s="7" t="s">
        <v>5347</v>
      </c>
      <c r="D2115" s="7" t="s">
        <v>5351</v>
      </c>
      <c r="E2115" s="6" t="s">
        <v>62</v>
      </c>
      <c r="F2115" s="8"/>
      <c r="G2115" s="8"/>
      <c r="H2115" s="8"/>
    </row>
    <row r="2116" spans="1:8">
      <c r="A2116" s="6" t="s">
        <v>394</v>
      </c>
      <c r="B2116" s="7" t="s">
        <v>5126</v>
      </c>
      <c r="C2116" s="7" t="s">
        <v>9</v>
      </c>
      <c r="D2116" s="7" t="s">
        <v>5352</v>
      </c>
      <c r="E2116" s="6" t="s">
        <v>5353</v>
      </c>
      <c r="F2116" s="8"/>
      <c r="G2116" s="8"/>
      <c r="H2116" s="8"/>
    </row>
    <row r="2117" spans="1:8">
      <c r="A2117" s="6" t="s">
        <v>394</v>
      </c>
      <c r="B2117" s="7" t="s">
        <v>5126</v>
      </c>
      <c r="C2117" s="7" t="s">
        <v>0</v>
      </c>
      <c r="D2117" s="7" t="s">
        <v>5354</v>
      </c>
      <c r="E2117" s="6" t="s">
        <v>2331</v>
      </c>
      <c r="F2117" s="8"/>
      <c r="G2117" s="8"/>
      <c r="H2117" s="8"/>
    </row>
    <row r="2118" spans="1:8">
      <c r="A2118" s="6" t="s">
        <v>394</v>
      </c>
      <c r="B2118" s="7" t="s">
        <v>739</v>
      </c>
      <c r="C2118" s="7" t="s">
        <v>739</v>
      </c>
      <c r="D2118" s="7" t="s">
        <v>5355</v>
      </c>
      <c r="E2118" s="6" t="s">
        <v>2331</v>
      </c>
      <c r="F2118" s="8"/>
      <c r="G2118" s="8"/>
      <c r="H2118" s="8"/>
    </row>
    <row r="2119" spans="1:8">
      <c r="A2119" s="6" t="s">
        <v>394</v>
      </c>
      <c r="B2119" s="7" t="s">
        <v>4818</v>
      </c>
      <c r="C2119" s="7" t="s">
        <v>4818</v>
      </c>
      <c r="D2119" s="7" t="s">
        <v>5356</v>
      </c>
      <c r="E2119" s="6" t="s">
        <v>2331</v>
      </c>
      <c r="F2119" s="8"/>
      <c r="G2119" s="8"/>
      <c r="H2119" s="8"/>
    </row>
    <row r="2120" spans="1:8">
      <c r="A2120" s="6" t="s">
        <v>394</v>
      </c>
      <c r="B2120" s="7" t="s">
        <v>5357</v>
      </c>
      <c r="C2120" s="7" t="s">
        <v>5358</v>
      </c>
      <c r="D2120" s="7" t="s">
        <v>5359</v>
      </c>
      <c r="E2120" s="6" t="s">
        <v>62</v>
      </c>
      <c r="F2120" s="8"/>
      <c r="G2120" s="8"/>
      <c r="H2120" s="8"/>
    </row>
    <row r="2121" spans="1:8">
      <c r="A2121" s="6" t="s">
        <v>394</v>
      </c>
      <c r="B2121" s="7" t="s">
        <v>5360</v>
      </c>
      <c r="C2121" s="7" t="s">
        <v>9</v>
      </c>
      <c r="D2121" s="7" t="s">
        <v>5361</v>
      </c>
      <c r="E2121" s="6" t="s">
        <v>5362</v>
      </c>
      <c r="F2121" s="8"/>
      <c r="G2121" s="8"/>
      <c r="H2121" s="8"/>
    </row>
    <row r="2122" spans="1:8">
      <c r="A2122" s="6" t="s">
        <v>394</v>
      </c>
      <c r="B2122" s="7" t="s">
        <v>5360</v>
      </c>
      <c r="C2122" s="7" t="s">
        <v>9</v>
      </c>
      <c r="D2122" s="7" t="s">
        <v>5363</v>
      </c>
      <c r="E2122" s="6" t="s">
        <v>656</v>
      </c>
      <c r="F2122" s="8"/>
      <c r="G2122" s="8"/>
      <c r="H2122" s="8"/>
    </row>
    <row r="2123" spans="1:8">
      <c r="A2123" s="6" t="s">
        <v>394</v>
      </c>
      <c r="B2123" s="7" t="s">
        <v>5360</v>
      </c>
      <c r="C2123" s="7" t="s">
        <v>5364</v>
      </c>
      <c r="D2123" s="7" t="s">
        <v>5365</v>
      </c>
      <c r="E2123" s="6" t="s">
        <v>5366</v>
      </c>
      <c r="F2123" s="8" t="s">
        <v>3334</v>
      </c>
      <c r="G2123" s="8" t="s">
        <v>6929</v>
      </c>
      <c r="H2123" s="8" t="s">
        <v>6951</v>
      </c>
    </row>
    <row r="2124" spans="1:8">
      <c r="A2124" s="6" t="s">
        <v>394</v>
      </c>
      <c r="B2124" s="7" t="s">
        <v>5360</v>
      </c>
      <c r="C2124" s="7" t="s">
        <v>5364</v>
      </c>
      <c r="D2124" s="7" t="s">
        <v>5367</v>
      </c>
      <c r="E2124" s="6" t="s">
        <v>5368</v>
      </c>
      <c r="F2124" s="8" t="s">
        <v>3334</v>
      </c>
      <c r="G2124" s="8" t="s">
        <v>6929</v>
      </c>
      <c r="H2124" s="8" t="s">
        <v>6951</v>
      </c>
    </row>
    <row r="2125" spans="1:8">
      <c r="A2125" s="6" t="s">
        <v>394</v>
      </c>
      <c r="B2125" s="7" t="s">
        <v>5360</v>
      </c>
      <c r="C2125" s="7" t="s">
        <v>5364</v>
      </c>
      <c r="D2125" s="7" t="s">
        <v>5369</v>
      </c>
      <c r="E2125" s="6" t="s">
        <v>5370</v>
      </c>
      <c r="F2125" s="8" t="s">
        <v>3334</v>
      </c>
      <c r="G2125" s="8" t="s">
        <v>6929</v>
      </c>
      <c r="H2125" s="8" t="s">
        <v>6951</v>
      </c>
    </row>
    <row r="2126" spans="1:8">
      <c r="A2126" s="6" t="s">
        <v>394</v>
      </c>
      <c r="B2126" s="7" t="s">
        <v>5360</v>
      </c>
      <c r="C2126" s="7" t="s">
        <v>5364</v>
      </c>
      <c r="D2126" s="7" t="s">
        <v>5371</v>
      </c>
      <c r="E2126" s="6" t="s">
        <v>5372</v>
      </c>
      <c r="F2126" s="8" t="s">
        <v>3334</v>
      </c>
      <c r="G2126" s="8" t="s">
        <v>6929</v>
      </c>
      <c r="H2126" s="8" t="s">
        <v>6951</v>
      </c>
    </row>
    <row r="2127" spans="1:8">
      <c r="A2127" s="6" t="s">
        <v>394</v>
      </c>
      <c r="B2127" s="7" t="s">
        <v>5360</v>
      </c>
      <c r="C2127" s="7" t="s">
        <v>5364</v>
      </c>
      <c r="D2127" s="7" t="s">
        <v>5373</v>
      </c>
      <c r="E2127" s="6" t="s">
        <v>5244</v>
      </c>
      <c r="F2127" s="8" t="s">
        <v>3334</v>
      </c>
      <c r="G2127" s="8" t="s">
        <v>6929</v>
      </c>
      <c r="H2127" s="8" t="s">
        <v>6951</v>
      </c>
    </row>
    <row r="2128" spans="1:8">
      <c r="A2128" s="6" t="s">
        <v>394</v>
      </c>
      <c r="B2128" s="7" t="s">
        <v>5374</v>
      </c>
      <c r="C2128" s="7" t="s">
        <v>202</v>
      </c>
      <c r="D2128" s="7" t="s">
        <v>5375</v>
      </c>
      <c r="E2128" s="6" t="s">
        <v>5376</v>
      </c>
      <c r="F2128" s="8"/>
      <c r="G2128" s="8"/>
      <c r="H2128" s="8"/>
    </row>
    <row r="2129" spans="1:8">
      <c r="A2129" s="6" t="s">
        <v>394</v>
      </c>
      <c r="B2129" s="7" t="s">
        <v>5374</v>
      </c>
      <c r="C2129" s="7" t="s">
        <v>5364</v>
      </c>
      <c r="D2129" s="7" t="s">
        <v>5377</v>
      </c>
      <c r="E2129" s="6" t="s">
        <v>883</v>
      </c>
      <c r="F2129" s="8"/>
      <c r="G2129" s="8"/>
      <c r="H2129" s="8"/>
    </row>
    <row r="2130" spans="1:8">
      <c r="A2130" s="6" t="s">
        <v>3867</v>
      </c>
      <c r="B2130" s="7" t="s">
        <v>3868</v>
      </c>
      <c r="C2130" s="7" t="s">
        <v>3869</v>
      </c>
      <c r="D2130" s="7" t="s">
        <v>3870</v>
      </c>
      <c r="E2130" s="6" t="s">
        <v>3871</v>
      </c>
      <c r="F2130" s="8"/>
      <c r="G2130" s="8"/>
      <c r="H2130" s="8"/>
    </row>
    <row r="2131" spans="1:8">
      <c r="A2131" s="6" t="s">
        <v>3867</v>
      </c>
      <c r="B2131" s="7" t="s">
        <v>3868</v>
      </c>
      <c r="C2131" s="7" t="s">
        <v>3869</v>
      </c>
      <c r="D2131" s="7" t="s">
        <v>3872</v>
      </c>
      <c r="E2131" s="6" t="s">
        <v>3873</v>
      </c>
      <c r="F2131" s="8"/>
      <c r="G2131" s="8"/>
      <c r="H2131" s="8"/>
    </row>
    <row r="2132" spans="1:8">
      <c r="A2132" s="6" t="s">
        <v>3867</v>
      </c>
      <c r="B2132" s="7" t="s">
        <v>201</v>
      </c>
      <c r="C2132" s="7" t="s">
        <v>3874</v>
      </c>
      <c r="D2132" s="7" t="s">
        <v>3875</v>
      </c>
      <c r="E2132" s="6" t="s">
        <v>62</v>
      </c>
      <c r="F2132" s="8"/>
      <c r="G2132" s="8"/>
      <c r="H2132" s="8"/>
    </row>
    <row r="2133" spans="1:8">
      <c r="A2133" s="6" t="s">
        <v>3867</v>
      </c>
      <c r="B2133" s="7" t="s">
        <v>201</v>
      </c>
      <c r="C2133" s="7" t="s">
        <v>3874</v>
      </c>
      <c r="D2133" s="7" t="s">
        <v>3876</v>
      </c>
      <c r="E2133" s="6" t="s">
        <v>62</v>
      </c>
      <c r="F2133" s="8"/>
      <c r="G2133" s="8"/>
      <c r="H2133" s="8"/>
    </row>
    <row r="2134" spans="1:8">
      <c r="A2134" s="6" t="s">
        <v>3867</v>
      </c>
      <c r="B2134" s="7" t="s">
        <v>201</v>
      </c>
      <c r="C2134" s="7" t="s">
        <v>3874</v>
      </c>
      <c r="D2134" s="7" t="s">
        <v>3877</v>
      </c>
      <c r="E2134" s="6" t="s">
        <v>62</v>
      </c>
      <c r="F2134" s="8"/>
      <c r="G2134" s="8"/>
      <c r="H2134" s="8"/>
    </row>
    <row r="2135" spans="1:8">
      <c r="A2135" s="6" t="s">
        <v>3867</v>
      </c>
      <c r="B2135" s="7" t="s">
        <v>201</v>
      </c>
      <c r="C2135" s="7" t="s">
        <v>3874</v>
      </c>
      <c r="D2135" s="7" t="s">
        <v>3878</v>
      </c>
      <c r="E2135" s="6" t="s">
        <v>62</v>
      </c>
      <c r="F2135" s="8"/>
      <c r="G2135" s="8"/>
      <c r="H2135" s="8"/>
    </row>
    <row r="2136" spans="1:8">
      <c r="A2136" s="6" t="s">
        <v>3867</v>
      </c>
      <c r="B2136" s="7" t="s">
        <v>201</v>
      </c>
      <c r="C2136" s="7" t="s">
        <v>3874</v>
      </c>
      <c r="D2136" s="7" t="s">
        <v>3879</v>
      </c>
      <c r="E2136" s="6" t="s">
        <v>62</v>
      </c>
      <c r="F2136" s="8"/>
      <c r="G2136" s="8"/>
      <c r="H2136" s="8"/>
    </row>
    <row r="2137" spans="1:8">
      <c r="A2137" s="6" t="s">
        <v>3867</v>
      </c>
      <c r="B2137" s="7" t="s">
        <v>3880</v>
      </c>
      <c r="C2137" s="7" t="s">
        <v>3869</v>
      </c>
      <c r="D2137" s="7" t="s">
        <v>3881</v>
      </c>
      <c r="E2137" s="6" t="s">
        <v>62</v>
      </c>
      <c r="F2137" s="8"/>
      <c r="G2137" s="8"/>
      <c r="H2137" s="8"/>
    </row>
    <row r="2138" spans="1:8">
      <c r="A2138" s="6" t="s">
        <v>3867</v>
      </c>
      <c r="B2138" s="7" t="s">
        <v>3880</v>
      </c>
      <c r="C2138" s="7" t="s">
        <v>3869</v>
      </c>
      <c r="D2138" s="7" t="s">
        <v>3882</v>
      </c>
      <c r="E2138" s="6" t="s">
        <v>62</v>
      </c>
      <c r="F2138" s="8"/>
      <c r="G2138" s="8"/>
      <c r="H2138" s="8"/>
    </row>
    <row r="2139" spans="1:8">
      <c r="A2139" s="6" t="s">
        <v>3867</v>
      </c>
      <c r="B2139" s="7" t="s">
        <v>3880</v>
      </c>
      <c r="C2139" s="7" t="s">
        <v>3869</v>
      </c>
      <c r="D2139" s="7" t="s">
        <v>3883</v>
      </c>
      <c r="E2139" s="6" t="s">
        <v>62</v>
      </c>
      <c r="F2139" s="8"/>
      <c r="G2139" s="8"/>
      <c r="H2139" s="8"/>
    </row>
    <row r="2140" spans="1:8">
      <c r="A2140" s="6" t="s">
        <v>3867</v>
      </c>
      <c r="B2140" s="7" t="s">
        <v>3884</v>
      </c>
      <c r="C2140" s="7" t="s">
        <v>3869</v>
      </c>
      <c r="D2140" s="7" t="s">
        <v>3885</v>
      </c>
      <c r="E2140" s="6" t="s">
        <v>62</v>
      </c>
      <c r="F2140" s="8"/>
      <c r="G2140" s="8"/>
      <c r="H2140" s="8"/>
    </row>
    <row r="2141" spans="1:8">
      <c r="A2141" s="6" t="s">
        <v>3867</v>
      </c>
      <c r="B2141" s="7" t="s">
        <v>3886</v>
      </c>
      <c r="C2141" s="7" t="s">
        <v>3869</v>
      </c>
      <c r="D2141" s="7" t="s">
        <v>3887</v>
      </c>
      <c r="E2141" s="6" t="s">
        <v>62</v>
      </c>
      <c r="F2141" s="8"/>
      <c r="G2141" s="8"/>
      <c r="H2141" s="8"/>
    </row>
    <row r="2142" spans="1:8">
      <c r="A2142" s="6" t="s">
        <v>3867</v>
      </c>
      <c r="B2142" s="7" t="s">
        <v>1386</v>
      </c>
      <c r="C2142" s="7" t="s">
        <v>9</v>
      </c>
      <c r="D2142" s="7" t="s">
        <v>3888</v>
      </c>
      <c r="E2142" s="6" t="s">
        <v>3889</v>
      </c>
      <c r="F2142" s="8"/>
      <c r="G2142" s="8"/>
      <c r="H2142" s="8"/>
    </row>
    <row r="2143" spans="1:8">
      <c r="A2143" s="6" t="s">
        <v>3949</v>
      </c>
      <c r="B2143" s="7" t="s">
        <v>3950</v>
      </c>
      <c r="C2143" s="7" t="s">
        <v>86</v>
      </c>
      <c r="D2143" s="7" t="s">
        <v>3951</v>
      </c>
      <c r="E2143" s="6" t="s">
        <v>3952</v>
      </c>
      <c r="F2143" s="8" t="s">
        <v>3334</v>
      </c>
      <c r="G2143" s="8" t="s">
        <v>6929</v>
      </c>
      <c r="H2143" s="8" t="s">
        <v>7223</v>
      </c>
    </row>
    <row r="2144" spans="1:8">
      <c r="A2144" s="6" t="s">
        <v>1343</v>
      </c>
      <c r="B2144" s="7" t="s">
        <v>9</v>
      </c>
      <c r="C2144" s="7" t="s">
        <v>9</v>
      </c>
      <c r="D2144" s="7" t="s">
        <v>1344</v>
      </c>
      <c r="E2144" s="6" t="s">
        <v>1345</v>
      </c>
      <c r="F2144" s="8"/>
      <c r="G2144" s="8"/>
      <c r="H2144" s="8"/>
    </row>
    <row r="2145" spans="1:8">
      <c r="A2145" s="6" t="s">
        <v>1507</v>
      </c>
      <c r="B2145" s="7" t="s">
        <v>9</v>
      </c>
      <c r="C2145" s="7" t="s">
        <v>9</v>
      </c>
      <c r="D2145" s="7" t="s">
        <v>1508</v>
      </c>
      <c r="E2145" s="6" t="s">
        <v>1509</v>
      </c>
      <c r="F2145" s="8"/>
      <c r="G2145" s="8"/>
      <c r="H2145" s="8"/>
    </row>
    <row r="2146" spans="1:8">
      <c r="A2146" s="6" t="s">
        <v>1274</v>
      </c>
      <c r="B2146" s="7" t="s">
        <v>1275</v>
      </c>
      <c r="C2146" s="7" t="s">
        <v>1275</v>
      </c>
      <c r="D2146" s="7" t="s">
        <v>1276</v>
      </c>
      <c r="E2146" s="6" t="s">
        <v>1277</v>
      </c>
      <c r="F2146" s="8"/>
      <c r="G2146" s="8"/>
      <c r="H2146" s="8"/>
    </row>
    <row r="2147" spans="1:8">
      <c r="A2147" s="6" t="s">
        <v>605</v>
      </c>
      <c r="B2147" s="7" t="s">
        <v>606</v>
      </c>
      <c r="C2147" s="7" t="s">
        <v>9</v>
      </c>
      <c r="D2147" s="7" t="s">
        <v>607</v>
      </c>
      <c r="E2147" s="6" t="s">
        <v>608</v>
      </c>
      <c r="F2147" s="8"/>
      <c r="G2147" s="8"/>
      <c r="H2147" s="8"/>
    </row>
    <row r="2148" spans="1:8">
      <c r="A2148" s="6" t="s">
        <v>605</v>
      </c>
      <c r="B2148" s="7" t="s">
        <v>606</v>
      </c>
      <c r="C2148" s="7" t="s">
        <v>606</v>
      </c>
      <c r="D2148" s="7" t="s">
        <v>981</v>
      </c>
      <c r="E2148" s="6" t="s">
        <v>982</v>
      </c>
      <c r="F2148" s="8"/>
      <c r="G2148" s="8"/>
      <c r="H2148" s="8"/>
    </row>
    <row r="2149" spans="1:8">
      <c r="A2149" s="6" t="s">
        <v>605</v>
      </c>
      <c r="B2149" s="7" t="s">
        <v>1009</v>
      </c>
      <c r="C2149" s="7" t="s">
        <v>1009</v>
      </c>
      <c r="D2149" s="7" t="s">
        <v>1010</v>
      </c>
      <c r="E2149" s="6" t="s">
        <v>1011</v>
      </c>
      <c r="F2149" s="8"/>
      <c r="G2149" s="8"/>
      <c r="H2149" s="8"/>
    </row>
    <row r="2150" spans="1:8">
      <c r="A2150" s="6" t="s">
        <v>605</v>
      </c>
      <c r="B2150" s="7" t="s">
        <v>606</v>
      </c>
      <c r="C2150" s="7" t="s">
        <v>606</v>
      </c>
      <c r="D2150" s="7" t="s">
        <v>1195</v>
      </c>
      <c r="E2150" s="6" t="s">
        <v>1196</v>
      </c>
      <c r="F2150" s="8"/>
      <c r="G2150" s="8"/>
      <c r="H2150" s="8"/>
    </row>
    <row r="2151" spans="1:8">
      <c r="A2151" s="6" t="s">
        <v>605</v>
      </c>
      <c r="B2151" s="7" t="s">
        <v>606</v>
      </c>
      <c r="C2151" s="7" t="s">
        <v>606</v>
      </c>
      <c r="D2151" s="7" t="s">
        <v>1443</v>
      </c>
      <c r="E2151" s="6" t="s">
        <v>1444</v>
      </c>
      <c r="F2151" s="8"/>
      <c r="G2151" s="8"/>
      <c r="H2151" s="8"/>
    </row>
    <row r="2152" spans="1:8">
      <c r="A2152" s="6" t="s">
        <v>605</v>
      </c>
      <c r="B2152" s="7" t="s">
        <v>606</v>
      </c>
      <c r="C2152" s="7" t="s">
        <v>606</v>
      </c>
      <c r="D2152" s="7" t="s">
        <v>1445</v>
      </c>
      <c r="E2152" s="6" t="s">
        <v>1446</v>
      </c>
      <c r="F2152" s="8"/>
      <c r="G2152" s="8"/>
      <c r="H2152" s="8"/>
    </row>
    <row r="2153" spans="1:8">
      <c r="A2153" s="6" t="s">
        <v>605</v>
      </c>
      <c r="B2153" s="7" t="s">
        <v>606</v>
      </c>
      <c r="C2153" s="7" t="s">
        <v>606</v>
      </c>
      <c r="D2153" s="7" t="s">
        <v>1447</v>
      </c>
      <c r="E2153" s="6" t="s">
        <v>1448</v>
      </c>
      <c r="F2153" s="8"/>
      <c r="G2153" s="8"/>
      <c r="H2153" s="8"/>
    </row>
    <row r="2154" spans="1:8">
      <c r="A2154" s="6" t="s">
        <v>605</v>
      </c>
      <c r="B2154" s="7" t="s">
        <v>1607</v>
      </c>
      <c r="C2154" s="7" t="s">
        <v>1608</v>
      </c>
      <c r="D2154" s="7" t="s">
        <v>1609</v>
      </c>
      <c r="E2154" s="6" t="s">
        <v>1610</v>
      </c>
      <c r="F2154" s="8"/>
      <c r="G2154" s="8"/>
      <c r="H2154" s="8"/>
    </row>
    <row r="2155" spans="1:8">
      <c r="A2155" s="6" t="s">
        <v>605</v>
      </c>
      <c r="B2155" s="7" t="s">
        <v>1607</v>
      </c>
      <c r="C2155" s="7" t="s">
        <v>1608</v>
      </c>
      <c r="D2155" s="7" t="s">
        <v>1611</v>
      </c>
      <c r="E2155" s="6" t="s">
        <v>1612</v>
      </c>
      <c r="F2155" s="8"/>
      <c r="G2155" s="8"/>
      <c r="H2155" s="8"/>
    </row>
    <row r="2156" spans="1:8">
      <c r="A2156" s="6" t="s">
        <v>605</v>
      </c>
      <c r="B2156" s="7" t="s">
        <v>4301</v>
      </c>
      <c r="C2156" s="7" t="s">
        <v>4302</v>
      </c>
      <c r="D2156" s="7" t="s">
        <v>4303</v>
      </c>
      <c r="E2156" s="6" t="s">
        <v>4304</v>
      </c>
      <c r="F2156" s="8"/>
      <c r="G2156" s="8"/>
      <c r="H2156" s="8"/>
    </row>
    <row r="2157" spans="1:8">
      <c r="A2157" s="6" t="s">
        <v>605</v>
      </c>
      <c r="B2157" s="7" t="s">
        <v>4305</v>
      </c>
      <c r="C2157" s="7" t="s">
        <v>4306</v>
      </c>
      <c r="D2157" s="7" t="s">
        <v>4307</v>
      </c>
      <c r="E2157" s="6" t="s">
        <v>4308</v>
      </c>
      <c r="F2157" s="8"/>
      <c r="G2157" s="8"/>
      <c r="H2157" s="8"/>
    </row>
    <row r="2158" spans="1:8">
      <c r="A2158" s="6" t="s">
        <v>605</v>
      </c>
      <c r="B2158" s="7" t="s">
        <v>4309</v>
      </c>
      <c r="C2158" s="7" t="s">
        <v>4310</v>
      </c>
      <c r="D2158" s="7" t="s">
        <v>4311</v>
      </c>
      <c r="E2158" s="6" t="s">
        <v>4312</v>
      </c>
      <c r="F2158" s="8" t="s">
        <v>6982</v>
      </c>
      <c r="G2158" s="8" t="s">
        <v>7018</v>
      </c>
      <c r="H2158" s="8" t="s">
        <v>7039</v>
      </c>
    </row>
    <row r="2159" spans="1:8">
      <c r="A2159" s="6" t="s">
        <v>605</v>
      </c>
      <c r="B2159" s="7" t="s">
        <v>4309</v>
      </c>
      <c r="C2159" s="7" t="s">
        <v>4313</v>
      </c>
      <c r="D2159" s="7" t="s">
        <v>4314</v>
      </c>
      <c r="E2159" s="6" t="s">
        <v>4315</v>
      </c>
      <c r="F2159" s="8"/>
      <c r="G2159" s="8"/>
      <c r="H2159" s="8"/>
    </row>
    <row r="2160" spans="1:8">
      <c r="A2160" s="6" t="s">
        <v>605</v>
      </c>
      <c r="B2160" s="7" t="s">
        <v>4309</v>
      </c>
      <c r="C2160" s="7" t="s">
        <v>4313</v>
      </c>
      <c r="D2160" s="7" t="s">
        <v>4316</v>
      </c>
      <c r="E2160" s="6" t="s">
        <v>4317</v>
      </c>
      <c r="F2160" s="8"/>
      <c r="G2160" s="8"/>
      <c r="H2160" s="8"/>
    </row>
    <row r="2161" spans="1:8">
      <c r="A2161" s="6" t="s">
        <v>605</v>
      </c>
      <c r="B2161" s="7" t="s">
        <v>4309</v>
      </c>
      <c r="C2161" s="7" t="s">
        <v>4313</v>
      </c>
      <c r="D2161" s="7" t="s">
        <v>4318</v>
      </c>
      <c r="E2161" s="6" t="s">
        <v>4319</v>
      </c>
      <c r="F2161" s="8"/>
      <c r="G2161" s="8"/>
      <c r="H2161" s="8"/>
    </row>
    <row r="2162" spans="1:8">
      <c r="A2162" s="6" t="s">
        <v>605</v>
      </c>
      <c r="B2162" s="7" t="s">
        <v>4309</v>
      </c>
      <c r="C2162" s="7" t="s">
        <v>4313</v>
      </c>
      <c r="D2162" s="7" t="s">
        <v>4320</v>
      </c>
      <c r="E2162" s="6" t="s">
        <v>4321</v>
      </c>
      <c r="F2162" s="8"/>
      <c r="G2162" s="8"/>
      <c r="H2162" s="8"/>
    </row>
    <row r="2163" spans="1:8">
      <c r="A2163" s="6" t="s">
        <v>605</v>
      </c>
      <c r="B2163" s="7" t="s">
        <v>4309</v>
      </c>
      <c r="C2163" s="7" t="s">
        <v>4313</v>
      </c>
      <c r="D2163" s="7" t="s">
        <v>4322</v>
      </c>
      <c r="E2163" s="6" t="s">
        <v>4323</v>
      </c>
      <c r="F2163" s="8"/>
      <c r="G2163" s="8"/>
      <c r="H2163" s="8"/>
    </row>
    <row r="2164" spans="1:8">
      <c r="A2164" s="6" t="s">
        <v>605</v>
      </c>
      <c r="B2164" s="7" t="s">
        <v>4309</v>
      </c>
      <c r="C2164" s="7" t="s">
        <v>4313</v>
      </c>
      <c r="D2164" s="7" t="s">
        <v>4324</v>
      </c>
      <c r="E2164" s="6" t="s">
        <v>4325</v>
      </c>
      <c r="F2164" s="8"/>
      <c r="G2164" s="8"/>
      <c r="H2164" s="8"/>
    </row>
    <row r="2165" spans="1:8">
      <c r="A2165" s="6" t="s">
        <v>605</v>
      </c>
      <c r="B2165" s="7" t="s">
        <v>4309</v>
      </c>
      <c r="C2165" s="7" t="s">
        <v>4313</v>
      </c>
      <c r="D2165" s="7" t="s">
        <v>4326</v>
      </c>
      <c r="E2165" s="6" t="s">
        <v>4327</v>
      </c>
      <c r="F2165" s="8"/>
      <c r="G2165" s="8"/>
      <c r="H2165" s="8"/>
    </row>
    <row r="2166" spans="1:8">
      <c r="A2166" s="6" t="s">
        <v>605</v>
      </c>
      <c r="B2166" s="7" t="s">
        <v>4309</v>
      </c>
      <c r="C2166" s="7" t="s">
        <v>4328</v>
      </c>
      <c r="D2166" s="7" t="s">
        <v>4329</v>
      </c>
      <c r="E2166" s="6" t="s">
        <v>4330</v>
      </c>
      <c r="F2166" s="8" t="s">
        <v>6982</v>
      </c>
      <c r="G2166" s="8" t="s">
        <v>6929</v>
      </c>
      <c r="H2166" s="8" t="s">
        <v>7249</v>
      </c>
    </row>
    <row r="2167" spans="1:8">
      <c r="A2167" s="6" t="s">
        <v>605</v>
      </c>
      <c r="B2167" s="7" t="s">
        <v>606</v>
      </c>
      <c r="C2167" s="7" t="s">
        <v>606</v>
      </c>
      <c r="D2167" s="7" t="s">
        <v>4331</v>
      </c>
      <c r="E2167" s="6" t="s">
        <v>4332</v>
      </c>
      <c r="F2167" s="8"/>
      <c r="G2167" s="8"/>
      <c r="H2167" s="8"/>
    </row>
    <row r="2168" spans="1:8">
      <c r="A2168" s="6" t="s">
        <v>605</v>
      </c>
      <c r="B2168" s="7" t="s">
        <v>606</v>
      </c>
      <c r="C2168" s="7" t="s">
        <v>606</v>
      </c>
      <c r="D2168" s="7" t="s">
        <v>4333</v>
      </c>
      <c r="E2168" s="6" t="s">
        <v>4334</v>
      </c>
      <c r="F2168" s="8"/>
      <c r="G2168" s="8"/>
      <c r="H2168" s="8"/>
    </row>
    <row r="2169" spans="1:8">
      <c r="A2169" s="6" t="s">
        <v>605</v>
      </c>
      <c r="B2169" s="7" t="s">
        <v>606</v>
      </c>
      <c r="C2169" s="7" t="s">
        <v>606</v>
      </c>
      <c r="D2169" s="7" t="s">
        <v>4335</v>
      </c>
      <c r="E2169" s="6" t="s">
        <v>4336</v>
      </c>
      <c r="F2169" s="8"/>
      <c r="G2169" s="8"/>
      <c r="H2169" s="8"/>
    </row>
    <row r="2170" spans="1:8">
      <c r="A2170" s="6" t="s">
        <v>605</v>
      </c>
      <c r="B2170" s="7" t="s">
        <v>606</v>
      </c>
      <c r="C2170" s="7" t="s">
        <v>606</v>
      </c>
      <c r="D2170" s="7" t="s">
        <v>4337</v>
      </c>
      <c r="E2170" s="6" t="s">
        <v>4338</v>
      </c>
      <c r="F2170" s="8"/>
      <c r="G2170" s="8"/>
      <c r="H2170" s="8"/>
    </row>
    <row r="2171" spans="1:8">
      <c r="A2171" s="6" t="s">
        <v>605</v>
      </c>
      <c r="B2171" s="7" t="s">
        <v>606</v>
      </c>
      <c r="C2171" s="7" t="s">
        <v>606</v>
      </c>
      <c r="D2171" s="7" t="s">
        <v>4339</v>
      </c>
      <c r="E2171" s="6" t="s">
        <v>4340</v>
      </c>
      <c r="F2171" s="8"/>
      <c r="G2171" s="8"/>
      <c r="H2171" s="8"/>
    </row>
    <row r="2172" spans="1:8">
      <c r="A2172" s="6" t="s">
        <v>605</v>
      </c>
      <c r="B2172" s="7" t="s">
        <v>606</v>
      </c>
      <c r="C2172" s="7" t="s">
        <v>606</v>
      </c>
      <c r="D2172" s="7" t="s">
        <v>4341</v>
      </c>
      <c r="E2172" s="6" t="s">
        <v>4342</v>
      </c>
      <c r="F2172" s="8"/>
      <c r="G2172" s="8"/>
      <c r="H2172" s="8"/>
    </row>
    <row r="2173" spans="1:8">
      <c r="A2173" s="6" t="s">
        <v>605</v>
      </c>
      <c r="B2173" s="7" t="s">
        <v>606</v>
      </c>
      <c r="C2173" s="7" t="s">
        <v>606</v>
      </c>
      <c r="D2173" s="7" t="s">
        <v>4343</v>
      </c>
      <c r="E2173" s="6" t="s">
        <v>4344</v>
      </c>
      <c r="F2173" s="8"/>
      <c r="G2173" s="8"/>
      <c r="H2173" s="8"/>
    </row>
    <row r="2174" spans="1:8">
      <c r="A2174" s="6" t="s">
        <v>605</v>
      </c>
      <c r="B2174" s="7" t="s">
        <v>606</v>
      </c>
      <c r="C2174" s="7" t="s">
        <v>606</v>
      </c>
      <c r="D2174" s="7" t="s">
        <v>4345</v>
      </c>
      <c r="E2174" s="6" t="s">
        <v>4346</v>
      </c>
      <c r="F2174" s="8"/>
      <c r="G2174" s="8"/>
      <c r="H2174" s="8"/>
    </row>
    <row r="2175" spans="1:8">
      <c r="A2175" s="6" t="s">
        <v>605</v>
      </c>
      <c r="B2175" s="7" t="s">
        <v>606</v>
      </c>
      <c r="C2175" s="7" t="s">
        <v>606</v>
      </c>
      <c r="D2175" s="7" t="s">
        <v>4347</v>
      </c>
      <c r="E2175" s="6" t="s">
        <v>4338</v>
      </c>
      <c r="F2175" s="8"/>
      <c r="G2175" s="8"/>
      <c r="H2175" s="8"/>
    </row>
    <row r="2176" spans="1:8">
      <c r="A2176" s="6" t="s">
        <v>605</v>
      </c>
      <c r="B2176" s="7" t="s">
        <v>606</v>
      </c>
      <c r="C2176" s="7" t="s">
        <v>606</v>
      </c>
      <c r="D2176" s="7" t="s">
        <v>4348</v>
      </c>
      <c r="E2176" s="6" t="s">
        <v>4349</v>
      </c>
      <c r="F2176" s="8"/>
      <c r="G2176" s="8"/>
      <c r="H2176" s="8"/>
    </row>
    <row r="2177" spans="1:8">
      <c r="A2177" s="6" t="s">
        <v>605</v>
      </c>
      <c r="B2177" s="7" t="s">
        <v>606</v>
      </c>
      <c r="C2177" s="7" t="s">
        <v>606</v>
      </c>
      <c r="D2177" s="7" t="s">
        <v>4350</v>
      </c>
      <c r="E2177" s="6" t="s">
        <v>4351</v>
      </c>
      <c r="F2177" s="8"/>
      <c r="G2177" s="8"/>
      <c r="H2177" s="8"/>
    </row>
    <row r="2178" spans="1:8">
      <c r="A2178" s="6" t="s">
        <v>605</v>
      </c>
      <c r="B2178" s="7" t="s">
        <v>606</v>
      </c>
      <c r="C2178" s="7" t="s">
        <v>606</v>
      </c>
      <c r="D2178" s="7" t="s">
        <v>4352</v>
      </c>
      <c r="E2178" s="6" t="s">
        <v>4353</v>
      </c>
      <c r="F2178" s="8"/>
      <c r="G2178" s="8"/>
      <c r="H2178" s="8"/>
    </row>
    <row r="2179" spans="1:8">
      <c r="A2179" s="6" t="s">
        <v>605</v>
      </c>
      <c r="B2179" s="7" t="s">
        <v>606</v>
      </c>
      <c r="C2179" s="7" t="s">
        <v>606</v>
      </c>
      <c r="D2179" s="7" t="s">
        <v>4354</v>
      </c>
      <c r="E2179" s="6" t="s">
        <v>4355</v>
      </c>
      <c r="F2179" s="8"/>
      <c r="G2179" s="8"/>
      <c r="H2179" s="8"/>
    </row>
    <row r="2180" spans="1:8">
      <c r="A2180" s="6" t="s">
        <v>605</v>
      </c>
      <c r="B2180" s="7" t="s">
        <v>606</v>
      </c>
      <c r="C2180" s="7" t="s">
        <v>606</v>
      </c>
      <c r="D2180" s="7" t="s">
        <v>4356</v>
      </c>
      <c r="E2180" s="6" t="s">
        <v>1930</v>
      </c>
      <c r="F2180" s="8"/>
      <c r="G2180" s="8"/>
      <c r="H2180" s="8"/>
    </row>
    <row r="2181" spans="1:8">
      <c r="A2181" s="6" t="s">
        <v>605</v>
      </c>
      <c r="B2181" s="7" t="s">
        <v>483</v>
      </c>
      <c r="C2181" s="7" t="s">
        <v>3748</v>
      </c>
      <c r="D2181" s="7" t="s">
        <v>4357</v>
      </c>
      <c r="E2181" s="6" t="s">
        <v>4358</v>
      </c>
      <c r="F2181" s="8"/>
      <c r="G2181" s="8"/>
      <c r="H2181" s="8"/>
    </row>
    <row r="2182" spans="1:8">
      <c r="A2182" s="6" t="s">
        <v>605</v>
      </c>
      <c r="B2182" s="7" t="s">
        <v>483</v>
      </c>
      <c r="C2182" s="7" t="s">
        <v>483</v>
      </c>
      <c r="D2182" s="7" t="s">
        <v>4359</v>
      </c>
      <c r="E2182" s="6" t="s">
        <v>4360</v>
      </c>
      <c r="F2182" s="8" t="s">
        <v>6934</v>
      </c>
      <c r="G2182" s="8" t="s">
        <v>6929</v>
      </c>
      <c r="H2182" s="8" t="s">
        <v>7037</v>
      </c>
    </row>
    <row r="2183" spans="1:8">
      <c r="A2183" s="6" t="s">
        <v>605</v>
      </c>
      <c r="B2183" s="7" t="s">
        <v>483</v>
      </c>
      <c r="C2183" s="7" t="s">
        <v>483</v>
      </c>
      <c r="D2183" s="7" t="s">
        <v>4361</v>
      </c>
      <c r="E2183" s="6" t="s">
        <v>4362</v>
      </c>
      <c r="F2183" s="8"/>
      <c r="G2183" s="8"/>
      <c r="H2183" s="8"/>
    </row>
    <row r="2184" spans="1:8">
      <c r="A2184" s="6" t="s">
        <v>605</v>
      </c>
      <c r="B2184" s="7" t="s">
        <v>4363</v>
      </c>
      <c r="C2184" s="7" t="s">
        <v>4364</v>
      </c>
      <c r="D2184" s="7" t="s">
        <v>4365</v>
      </c>
      <c r="E2184" s="6" t="s">
        <v>4366</v>
      </c>
      <c r="F2184" s="8"/>
      <c r="G2184" s="8"/>
      <c r="H2184" s="8"/>
    </row>
    <row r="2185" spans="1:8">
      <c r="A2185" s="6" t="s">
        <v>605</v>
      </c>
      <c r="B2185" s="7" t="s">
        <v>4363</v>
      </c>
      <c r="C2185" s="7" t="s">
        <v>4364</v>
      </c>
      <c r="D2185" s="7" t="s">
        <v>4367</v>
      </c>
      <c r="E2185" s="6" t="s">
        <v>2875</v>
      </c>
      <c r="F2185" s="8" t="s">
        <v>7034</v>
      </c>
      <c r="G2185" s="8" t="s">
        <v>6929</v>
      </c>
      <c r="H2185" s="8" t="s">
        <v>7035</v>
      </c>
    </row>
    <row r="2186" spans="1:8">
      <c r="A2186" s="6" t="s">
        <v>605</v>
      </c>
      <c r="B2186" s="7" t="s">
        <v>4363</v>
      </c>
      <c r="C2186" s="7" t="s">
        <v>4364</v>
      </c>
      <c r="D2186" s="7" t="s">
        <v>4368</v>
      </c>
      <c r="E2186" s="6" t="s">
        <v>4369</v>
      </c>
      <c r="F2186" s="8"/>
      <c r="G2186" s="8"/>
      <c r="H2186" s="8"/>
    </row>
    <row r="2187" spans="1:8">
      <c r="A2187" s="6" t="s">
        <v>605</v>
      </c>
      <c r="B2187" s="7" t="s">
        <v>4363</v>
      </c>
      <c r="C2187" s="7" t="s">
        <v>4364</v>
      </c>
      <c r="D2187" s="7" t="s">
        <v>4370</v>
      </c>
      <c r="E2187" s="6" t="s">
        <v>4371</v>
      </c>
      <c r="F2187" s="8" t="s">
        <v>3334</v>
      </c>
      <c r="G2187" s="8" t="s">
        <v>7018</v>
      </c>
      <c r="H2187" s="8" t="s">
        <v>7038</v>
      </c>
    </row>
    <row r="2188" spans="1:8">
      <c r="A2188" s="6" t="s">
        <v>605</v>
      </c>
      <c r="B2188" s="7" t="s">
        <v>4372</v>
      </c>
      <c r="C2188" s="7" t="s">
        <v>1319</v>
      </c>
      <c r="D2188" s="7" t="s">
        <v>4373</v>
      </c>
      <c r="E2188" s="6" t="s">
        <v>4374</v>
      </c>
      <c r="F2188" s="8"/>
      <c r="G2188" s="8"/>
      <c r="H2188" s="8"/>
    </row>
    <row r="2189" spans="1:8">
      <c r="A2189" s="6" t="s">
        <v>605</v>
      </c>
      <c r="B2189" s="7" t="s">
        <v>1319</v>
      </c>
      <c r="C2189" s="7" t="s">
        <v>1319</v>
      </c>
      <c r="D2189" s="7" t="s">
        <v>4375</v>
      </c>
      <c r="E2189" s="6" t="s">
        <v>4376</v>
      </c>
      <c r="F2189" s="8"/>
      <c r="G2189" s="8"/>
      <c r="H2189" s="8"/>
    </row>
    <row r="2190" spans="1:8">
      <c r="A2190" s="6" t="s">
        <v>605</v>
      </c>
      <c r="B2190" s="7" t="s">
        <v>1319</v>
      </c>
      <c r="C2190" s="7" t="s">
        <v>1319</v>
      </c>
      <c r="D2190" s="7" t="s">
        <v>4377</v>
      </c>
      <c r="E2190" s="6" t="s">
        <v>4378</v>
      </c>
      <c r="F2190" s="8"/>
      <c r="G2190" s="8"/>
      <c r="H2190" s="8"/>
    </row>
    <row r="2191" spans="1:8">
      <c r="A2191" s="6" t="s">
        <v>605</v>
      </c>
      <c r="B2191" s="7" t="s">
        <v>4328</v>
      </c>
      <c r="C2191" s="7" t="s">
        <v>4328</v>
      </c>
      <c r="D2191" s="7" t="s">
        <v>4379</v>
      </c>
      <c r="E2191" s="6" t="s">
        <v>4380</v>
      </c>
      <c r="F2191" s="8" t="s">
        <v>6982</v>
      </c>
      <c r="G2191" s="8" t="s">
        <v>6973</v>
      </c>
      <c r="H2191" s="8" t="s">
        <v>7040</v>
      </c>
    </row>
    <row r="2192" spans="1:8">
      <c r="A2192" s="6" t="s">
        <v>605</v>
      </c>
      <c r="B2192" s="7" t="s">
        <v>4328</v>
      </c>
      <c r="C2192" s="7" t="s">
        <v>4328</v>
      </c>
      <c r="D2192" s="7" t="s">
        <v>4381</v>
      </c>
      <c r="E2192" s="6" t="s">
        <v>4382</v>
      </c>
      <c r="F2192" s="8" t="s">
        <v>6982</v>
      </c>
      <c r="G2192" s="8" t="s">
        <v>6973</v>
      </c>
      <c r="H2192" s="8" t="s">
        <v>7040</v>
      </c>
    </row>
    <row r="2193" spans="1:8">
      <c r="A2193" s="6" t="s">
        <v>605</v>
      </c>
      <c r="B2193" s="7" t="s">
        <v>4328</v>
      </c>
      <c r="C2193" s="7" t="s">
        <v>4328</v>
      </c>
      <c r="D2193" s="7" t="s">
        <v>4383</v>
      </c>
      <c r="E2193" s="6" t="s">
        <v>4384</v>
      </c>
      <c r="F2193" s="8" t="s">
        <v>6982</v>
      </c>
      <c r="G2193" s="8" t="s">
        <v>6973</v>
      </c>
      <c r="H2193" s="8" t="s">
        <v>7040</v>
      </c>
    </row>
    <row r="2194" spans="1:8">
      <c r="A2194" s="6" t="s">
        <v>605</v>
      </c>
      <c r="B2194" s="7" t="s">
        <v>4328</v>
      </c>
      <c r="C2194" s="7" t="s">
        <v>4385</v>
      </c>
      <c r="D2194" s="7" t="s">
        <v>4386</v>
      </c>
      <c r="E2194" s="6" t="s">
        <v>4382</v>
      </c>
      <c r="F2194" s="8"/>
      <c r="G2194" s="8"/>
      <c r="H2194" s="8"/>
    </row>
    <row r="2195" spans="1:8">
      <c r="A2195" s="6" t="s">
        <v>605</v>
      </c>
      <c r="B2195" s="7" t="s">
        <v>4387</v>
      </c>
      <c r="C2195" s="7" t="s">
        <v>4387</v>
      </c>
      <c r="D2195" s="7" t="s">
        <v>4388</v>
      </c>
      <c r="E2195" s="6" t="s">
        <v>4389</v>
      </c>
      <c r="F2195" s="8" t="s">
        <v>6943</v>
      </c>
      <c r="G2195" s="8" t="s">
        <v>6929</v>
      </c>
      <c r="H2195" s="8" t="s">
        <v>7250</v>
      </c>
    </row>
    <row r="2196" spans="1:8">
      <c r="A2196" s="6" t="s">
        <v>605</v>
      </c>
      <c r="B2196" s="7" t="s">
        <v>4387</v>
      </c>
      <c r="C2196" s="7" t="s">
        <v>4387</v>
      </c>
      <c r="D2196" s="7" t="s">
        <v>4390</v>
      </c>
      <c r="E2196" s="6" t="s">
        <v>4391</v>
      </c>
      <c r="F2196" s="8" t="s">
        <v>6943</v>
      </c>
      <c r="G2196" s="8" t="s">
        <v>6929</v>
      </c>
      <c r="H2196" s="8" t="s">
        <v>7250</v>
      </c>
    </row>
    <row r="2197" spans="1:8">
      <c r="A2197" s="6" t="s">
        <v>605</v>
      </c>
      <c r="B2197" s="7" t="s">
        <v>1607</v>
      </c>
      <c r="C2197" s="7" t="s">
        <v>4392</v>
      </c>
      <c r="D2197" s="7" t="s">
        <v>4393</v>
      </c>
      <c r="E2197" s="6" t="s">
        <v>4394</v>
      </c>
      <c r="F2197" s="8"/>
      <c r="G2197" s="8"/>
      <c r="H2197" s="8"/>
    </row>
    <row r="2198" spans="1:8">
      <c r="A2198" s="6" t="s">
        <v>605</v>
      </c>
      <c r="B2198" s="7" t="s">
        <v>1607</v>
      </c>
      <c r="C2198" s="7" t="s">
        <v>1607</v>
      </c>
      <c r="D2198" s="7" t="s">
        <v>4395</v>
      </c>
      <c r="E2198" s="6" t="s">
        <v>4396</v>
      </c>
      <c r="F2198" s="8"/>
      <c r="G2198" s="8"/>
      <c r="H2198" s="8"/>
    </row>
    <row r="2199" spans="1:8">
      <c r="A2199" s="6" t="s">
        <v>1166</v>
      </c>
      <c r="B2199" s="7" t="s">
        <v>82</v>
      </c>
      <c r="C2199" s="7" t="s">
        <v>82</v>
      </c>
      <c r="D2199" s="7" t="s">
        <v>1167</v>
      </c>
      <c r="E2199" s="6" t="s">
        <v>1168</v>
      </c>
      <c r="F2199" s="8" t="s">
        <v>6931</v>
      </c>
      <c r="G2199" s="8" t="s">
        <v>6929</v>
      </c>
      <c r="H2199" s="8" t="s">
        <v>6940</v>
      </c>
    </row>
    <row r="2200" spans="1:8">
      <c r="A2200" s="6" t="s">
        <v>1166</v>
      </c>
      <c r="B2200" s="7" t="s">
        <v>82</v>
      </c>
      <c r="C2200" s="7" t="s">
        <v>82</v>
      </c>
      <c r="D2200" s="7" t="s">
        <v>1734</v>
      </c>
      <c r="E2200" s="6" t="s">
        <v>1735</v>
      </c>
      <c r="F2200" s="8"/>
      <c r="G2200" s="8"/>
      <c r="H2200" s="8"/>
    </row>
    <row r="2201" spans="1:8">
      <c r="A2201" s="6" t="s">
        <v>1166</v>
      </c>
      <c r="B2201" s="7" t="s">
        <v>82</v>
      </c>
      <c r="C2201" s="7" t="s">
        <v>82</v>
      </c>
      <c r="D2201" s="7" t="s">
        <v>4426</v>
      </c>
      <c r="E2201" s="6" t="s">
        <v>4427</v>
      </c>
      <c r="F2201" s="8"/>
      <c r="G2201" s="8"/>
      <c r="H2201" s="8"/>
    </row>
    <row r="2202" spans="1:8">
      <c r="A2202" s="6" t="s">
        <v>1370</v>
      </c>
      <c r="B2202" s="7" t="s">
        <v>149</v>
      </c>
      <c r="C2202" s="7" t="s">
        <v>149</v>
      </c>
      <c r="D2202" s="7" t="s">
        <v>1371</v>
      </c>
      <c r="E2202" s="6" t="s">
        <v>1372</v>
      </c>
      <c r="F2202" s="8" t="s">
        <v>6939</v>
      </c>
      <c r="G2202" s="8" t="s">
        <v>6929</v>
      </c>
      <c r="H2202" s="8" t="s">
        <v>6967</v>
      </c>
    </row>
    <row r="2203" spans="1:8">
      <c r="A2203" s="6" t="s">
        <v>1370</v>
      </c>
      <c r="B2203" s="7" t="s">
        <v>149</v>
      </c>
      <c r="C2203" s="7" t="s">
        <v>149</v>
      </c>
      <c r="D2203" s="7" t="s">
        <v>1741</v>
      </c>
      <c r="E2203" s="6" t="s">
        <v>1742</v>
      </c>
      <c r="F2203" s="8"/>
      <c r="G2203" s="8"/>
      <c r="H2203" s="8"/>
    </row>
    <row r="2204" spans="1:8">
      <c r="A2204" s="6" t="s">
        <v>1370</v>
      </c>
      <c r="B2204" s="7" t="s">
        <v>149</v>
      </c>
      <c r="C2204" s="7" t="s">
        <v>149</v>
      </c>
      <c r="D2204" s="7" t="s">
        <v>1747</v>
      </c>
      <c r="E2204" s="6" t="s">
        <v>1748</v>
      </c>
      <c r="F2204" s="8" t="s">
        <v>6939</v>
      </c>
      <c r="G2204" s="8" t="s">
        <v>6929</v>
      </c>
      <c r="H2204" s="8" t="s">
        <v>6967</v>
      </c>
    </row>
    <row r="2205" spans="1:8">
      <c r="A2205" s="6" t="s">
        <v>1370</v>
      </c>
      <c r="B2205" s="7" t="s">
        <v>149</v>
      </c>
      <c r="C2205" s="7" t="s">
        <v>149</v>
      </c>
      <c r="D2205" s="7" t="s">
        <v>1759</v>
      </c>
      <c r="E2205" s="6" t="s">
        <v>1760</v>
      </c>
      <c r="F2205" s="8" t="s">
        <v>6939</v>
      </c>
      <c r="G2205" s="8" t="s">
        <v>6929</v>
      </c>
      <c r="H2205" s="8" t="s">
        <v>6967</v>
      </c>
    </row>
    <row r="2206" spans="1:8">
      <c r="A2206" s="6" t="s">
        <v>1518</v>
      </c>
      <c r="B2206" s="7" t="s">
        <v>9</v>
      </c>
      <c r="C2206" s="7" t="s">
        <v>9</v>
      </c>
      <c r="D2206" s="7" t="s">
        <v>1519</v>
      </c>
      <c r="E2206" s="6" t="s">
        <v>62</v>
      </c>
      <c r="F2206" s="8"/>
      <c r="G2206" s="8"/>
      <c r="H2206" s="8"/>
    </row>
    <row r="2207" spans="1:8">
      <c r="A2207" s="6" t="s">
        <v>1518</v>
      </c>
      <c r="B2207" s="7" t="s">
        <v>9</v>
      </c>
      <c r="C2207" s="7" t="s">
        <v>9</v>
      </c>
      <c r="D2207" s="7" t="s">
        <v>1929</v>
      </c>
      <c r="E2207" s="6" t="s">
        <v>1930</v>
      </c>
      <c r="F2207" s="8"/>
      <c r="G2207" s="8"/>
      <c r="H2207" s="8"/>
    </row>
    <row r="2208" spans="1:8">
      <c r="A2208" s="6" t="s">
        <v>2125</v>
      </c>
      <c r="B2208" s="7" t="s">
        <v>9</v>
      </c>
      <c r="C2208" s="7" t="s">
        <v>78</v>
      </c>
      <c r="D2208" s="7" t="s">
        <v>2126</v>
      </c>
      <c r="E2208" s="6" t="s">
        <v>2127</v>
      </c>
      <c r="F2208" s="8"/>
      <c r="G2208" s="8"/>
      <c r="H2208" s="8"/>
    </row>
    <row r="2209" spans="1:8">
      <c r="A2209" s="6" t="s">
        <v>385</v>
      </c>
      <c r="B2209" s="7" t="s">
        <v>386</v>
      </c>
      <c r="C2209" s="7" t="s">
        <v>387</v>
      </c>
      <c r="D2209" s="7" t="s">
        <v>388</v>
      </c>
      <c r="E2209" s="6" t="s">
        <v>389</v>
      </c>
      <c r="F2209" s="8"/>
      <c r="G2209" s="8"/>
      <c r="H2209" s="8"/>
    </row>
    <row r="2210" spans="1:8">
      <c r="A2210" s="6" t="s">
        <v>385</v>
      </c>
      <c r="B2210" s="7" t="s">
        <v>2413</v>
      </c>
      <c r="C2210" s="7" t="s">
        <v>2413</v>
      </c>
      <c r="D2210" s="7" t="s">
        <v>2414</v>
      </c>
      <c r="E2210" s="6" t="s">
        <v>2415</v>
      </c>
      <c r="F2210" s="8"/>
      <c r="G2210" s="8"/>
      <c r="H2210" s="8"/>
    </row>
    <row r="2211" spans="1:8">
      <c r="A2211" s="6" t="s">
        <v>385</v>
      </c>
      <c r="B2211" s="7" t="s">
        <v>2413</v>
      </c>
      <c r="C2211" s="7" t="s">
        <v>2416</v>
      </c>
      <c r="D2211" s="7" t="s">
        <v>2417</v>
      </c>
      <c r="E2211" s="6" t="s">
        <v>2418</v>
      </c>
      <c r="F2211" s="8"/>
      <c r="G2211" s="8"/>
      <c r="H2211" s="8"/>
    </row>
    <row r="2212" spans="1:8">
      <c r="A2212" s="6" t="s">
        <v>385</v>
      </c>
      <c r="B2212" s="7" t="s">
        <v>2419</v>
      </c>
      <c r="C2212" s="7" t="s">
        <v>2419</v>
      </c>
      <c r="D2212" s="7" t="s">
        <v>2420</v>
      </c>
      <c r="E2212" s="6" t="s">
        <v>2421</v>
      </c>
      <c r="F2212" s="8" t="s">
        <v>6934</v>
      </c>
      <c r="G2212" s="8" t="s">
        <v>6944</v>
      </c>
      <c r="H2212" s="8" t="s">
        <v>6997</v>
      </c>
    </row>
    <row r="2213" spans="1:8">
      <c r="A2213" s="6" t="s">
        <v>385</v>
      </c>
      <c r="B2213" s="7" t="s">
        <v>2419</v>
      </c>
      <c r="C2213" s="7" t="s">
        <v>2422</v>
      </c>
      <c r="D2213" s="7" t="s">
        <v>2423</v>
      </c>
      <c r="E2213" s="6" t="s">
        <v>2424</v>
      </c>
      <c r="F2213" s="8" t="s">
        <v>6931</v>
      </c>
      <c r="G2213" s="8" t="s">
        <v>6953</v>
      </c>
      <c r="H2213" s="8" t="s">
        <v>6996</v>
      </c>
    </row>
    <row r="2214" spans="1:8">
      <c r="A2214" s="6" t="s">
        <v>385</v>
      </c>
      <c r="B2214" s="7" t="s">
        <v>2413</v>
      </c>
      <c r="C2214" s="7" t="s">
        <v>386</v>
      </c>
      <c r="D2214" s="7" t="s">
        <v>2425</v>
      </c>
      <c r="E2214" s="6" t="s">
        <v>2426</v>
      </c>
      <c r="F2214" s="8"/>
      <c r="G2214" s="8"/>
      <c r="H2214" s="8"/>
    </row>
    <row r="2215" spans="1:8">
      <c r="A2215" s="6" t="s">
        <v>284</v>
      </c>
      <c r="B2215" s="7" t="s">
        <v>285</v>
      </c>
      <c r="C2215" s="7" t="s">
        <v>286</v>
      </c>
      <c r="D2215" s="7" t="s">
        <v>287</v>
      </c>
      <c r="E2215" s="6" t="s">
        <v>288</v>
      </c>
      <c r="F2215" s="8"/>
      <c r="G2215" s="8"/>
      <c r="H2215" s="8"/>
    </row>
    <row r="2216" spans="1:8">
      <c r="A2216" s="6" t="s">
        <v>284</v>
      </c>
      <c r="B2216" s="7" t="s">
        <v>285</v>
      </c>
      <c r="C2216" s="7" t="s">
        <v>286</v>
      </c>
      <c r="D2216" s="7" t="s">
        <v>392</v>
      </c>
      <c r="E2216" s="6" t="s">
        <v>393</v>
      </c>
      <c r="F2216" s="8"/>
      <c r="G2216" s="8"/>
      <c r="H2216" s="8"/>
    </row>
    <row r="2217" spans="1:8">
      <c r="A2217" s="6" t="s">
        <v>284</v>
      </c>
      <c r="B2217" s="7" t="s">
        <v>285</v>
      </c>
      <c r="C2217" s="7" t="s">
        <v>286</v>
      </c>
      <c r="D2217" s="7" t="s">
        <v>455</v>
      </c>
      <c r="E2217" s="6" t="s">
        <v>456</v>
      </c>
      <c r="F2217" s="8"/>
      <c r="G2217" s="8"/>
      <c r="H2217" s="8"/>
    </row>
    <row r="2218" spans="1:8">
      <c r="A2218" s="6" t="s">
        <v>284</v>
      </c>
      <c r="B2218" s="7" t="s">
        <v>285</v>
      </c>
      <c r="C2218" s="7" t="s">
        <v>286</v>
      </c>
      <c r="D2218" s="7" t="s">
        <v>576</v>
      </c>
      <c r="E2218" s="6" t="s">
        <v>577</v>
      </c>
      <c r="F2218" s="8"/>
      <c r="G2218" s="8"/>
      <c r="H2218" s="8"/>
    </row>
    <row r="2219" spans="1:8">
      <c r="A2219" s="6" t="s">
        <v>284</v>
      </c>
      <c r="B2219" s="7" t="s">
        <v>657</v>
      </c>
      <c r="C2219" s="7" t="s">
        <v>657</v>
      </c>
      <c r="D2219" s="7" t="s">
        <v>658</v>
      </c>
      <c r="E2219" s="6" t="s">
        <v>659</v>
      </c>
      <c r="F2219" s="8" t="s">
        <v>6931</v>
      </c>
      <c r="G2219" s="8" t="s">
        <v>7008</v>
      </c>
      <c r="H2219" s="8" t="s">
        <v>7009</v>
      </c>
    </row>
    <row r="2220" spans="1:8">
      <c r="A2220" s="6" t="s">
        <v>284</v>
      </c>
      <c r="B2220" s="7" t="s">
        <v>706</v>
      </c>
      <c r="C2220" s="7" t="s">
        <v>706</v>
      </c>
      <c r="D2220" s="7" t="s">
        <v>707</v>
      </c>
      <c r="E2220" s="6" t="s">
        <v>708</v>
      </c>
      <c r="F2220" s="8"/>
      <c r="G2220" s="8"/>
      <c r="H2220" s="8"/>
    </row>
    <row r="2221" spans="1:8">
      <c r="A2221" s="6" t="s">
        <v>284</v>
      </c>
      <c r="B2221" s="7" t="s">
        <v>657</v>
      </c>
      <c r="C2221" s="7" t="s">
        <v>657</v>
      </c>
      <c r="D2221" s="7" t="s">
        <v>927</v>
      </c>
      <c r="E2221" s="6" t="s">
        <v>928</v>
      </c>
      <c r="F2221" s="8" t="s">
        <v>6931</v>
      </c>
      <c r="G2221" s="8" t="s">
        <v>7001</v>
      </c>
      <c r="H2221" s="8" t="s">
        <v>7002</v>
      </c>
    </row>
    <row r="2222" spans="1:8">
      <c r="A2222" s="6" t="s">
        <v>284</v>
      </c>
      <c r="B2222" s="7" t="s">
        <v>285</v>
      </c>
      <c r="C2222" s="7" t="s">
        <v>286</v>
      </c>
      <c r="D2222" s="7" t="s">
        <v>939</v>
      </c>
      <c r="E2222" s="6" t="s">
        <v>866</v>
      </c>
      <c r="F2222" s="8"/>
      <c r="G2222" s="8"/>
      <c r="H2222" s="8"/>
    </row>
    <row r="2223" spans="1:8">
      <c r="A2223" s="6" t="s">
        <v>284</v>
      </c>
      <c r="B2223" s="7" t="s">
        <v>285</v>
      </c>
      <c r="C2223" s="7" t="s">
        <v>978</v>
      </c>
      <c r="D2223" s="7" t="s">
        <v>979</v>
      </c>
      <c r="E2223" s="6" t="s">
        <v>980</v>
      </c>
      <c r="F2223" s="8" t="s">
        <v>7006</v>
      </c>
      <c r="G2223" s="8" t="s">
        <v>6929</v>
      </c>
      <c r="H2223" s="8" t="s">
        <v>7007</v>
      </c>
    </row>
    <row r="2224" spans="1:8">
      <c r="A2224" s="6" t="s">
        <v>284</v>
      </c>
      <c r="B2224" s="7" t="s">
        <v>285</v>
      </c>
      <c r="C2224" s="7" t="s">
        <v>286</v>
      </c>
      <c r="D2224" s="7" t="s">
        <v>1311</v>
      </c>
      <c r="E2224" s="6" t="s">
        <v>1312</v>
      </c>
      <c r="F2224" s="8" t="s">
        <v>6931</v>
      </c>
      <c r="G2224" s="8" t="s">
        <v>6929</v>
      </c>
      <c r="H2224" s="8" t="s">
        <v>6940</v>
      </c>
    </row>
    <row r="2225" spans="1:8">
      <c r="A2225" s="6" t="s">
        <v>284</v>
      </c>
      <c r="B2225" s="7" t="s">
        <v>285</v>
      </c>
      <c r="C2225" s="7" t="s">
        <v>286</v>
      </c>
      <c r="D2225" s="7" t="s">
        <v>1555</v>
      </c>
      <c r="E2225" s="6" t="s">
        <v>1556</v>
      </c>
      <c r="F2225" s="8"/>
      <c r="G2225" s="8"/>
      <c r="H2225" s="8"/>
    </row>
    <row r="2226" spans="1:8">
      <c r="A2226" s="6" t="s">
        <v>284</v>
      </c>
      <c r="B2226" s="7" t="s">
        <v>657</v>
      </c>
      <c r="C2226" s="7" t="s">
        <v>657</v>
      </c>
      <c r="D2226" s="7" t="s">
        <v>1593</v>
      </c>
      <c r="E2226" s="6" t="s">
        <v>1594</v>
      </c>
      <c r="F2226" s="8" t="s">
        <v>6931</v>
      </c>
      <c r="G2226" s="8" t="s">
        <v>6999</v>
      </c>
      <c r="H2226" s="8" t="s">
        <v>7000</v>
      </c>
    </row>
    <row r="2227" spans="1:8">
      <c r="A2227" s="6" t="s">
        <v>284</v>
      </c>
      <c r="B2227" s="7" t="s">
        <v>657</v>
      </c>
      <c r="C2227" s="7" t="s">
        <v>657</v>
      </c>
      <c r="D2227" s="7" t="s">
        <v>1684</v>
      </c>
      <c r="E2227" s="6" t="s">
        <v>1685</v>
      </c>
      <c r="F2227" s="8" t="s">
        <v>6931</v>
      </c>
      <c r="G2227" s="8" t="s">
        <v>6999</v>
      </c>
      <c r="H2227" s="8" t="s">
        <v>7000</v>
      </c>
    </row>
    <row r="2228" spans="1:8">
      <c r="A2228" s="6" t="s">
        <v>284</v>
      </c>
      <c r="B2228" s="7" t="s">
        <v>657</v>
      </c>
      <c r="C2228" s="7" t="s">
        <v>657</v>
      </c>
      <c r="D2228" s="7" t="s">
        <v>1699</v>
      </c>
      <c r="E2228" s="6" t="s">
        <v>1700</v>
      </c>
      <c r="F2228" s="8" t="s">
        <v>6931</v>
      </c>
      <c r="G2228" s="8" t="s">
        <v>6999</v>
      </c>
      <c r="H2228" s="8" t="s">
        <v>7000</v>
      </c>
    </row>
    <row r="2229" spans="1:8">
      <c r="A2229" s="6" t="s">
        <v>284</v>
      </c>
      <c r="B2229" s="7" t="s">
        <v>657</v>
      </c>
      <c r="C2229" s="7" t="s">
        <v>657</v>
      </c>
      <c r="D2229" s="7" t="s">
        <v>1701</v>
      </c>
      <c r="E2229" s="6" t="s">
        <v>1702</v>
      </c>
      <c r="F2229" s="8" t="s">
        <v>6931</v>
      </c>
      <c r="G2229" s="8" t="s">
        <v>7001</v>
      </c>
      <c r="H2229" s="8" t="s">
        <v>6940</v>
      </c>
    </row>
    <row r="2230" spans="1:8">
      <c r="A2230" s="6" t="s">
        <v>284</v>
      </c>
      <c r="B2230" s="7" t="s">
        <v>285</v>
      </c>
      <c r="C2230" s="7" t="s">
        <v>286</v>
      </c>
      <c r="D2230" s="7" t="s">
        <v>1703</v>
      </c>
      <c r="E2230" s="6" t="s">
        <v>1704</v>
      </c>
      <c r="F2230" s="8" t="s">
        <v>7003</v>
      </c>
      <c r="G2230" s="8" t="s">
        <v>7004</v>
      </c>
      <c r="H2230" s="8" t="s">
        <v>7005</v>
      </c>
    </row>
    <row r="2231" spans="1:8">
      <c r="A2231" s="6" t="s">
        <v>284</v>
      </c>
      <c r="B2231" s="7" t="s">
        <v>285</v>
      </c>
      <c r="C2231" s="7" t="s">
        <v>286</v>
      </c>
      <c r="D2231" s="7" t="s">
        <v>1814</v>
      </c>
      <c r="E2231" s="6" t="s">
        <v>1815</v>
      </c>
      <c r="F2231" s="8" t="s">
        <v>7003</v>
      </c>
      <c r="G2231" s="8" t="s">
        <v>7004</v>
      </c>
      <c r="H2231" s="8" t="s">
        <v>7005</v>
      </c>
    </row>
    <row r="2232" spans="1:8">
      <c r="A2232" s="6" t="s">
        <v>284</v>
      </c>
      <c r="B2232" s="7" t="s">
        <v>1885</v>
      </c>
      <c r="C2232" s="7" t="s">
        <v>1886</v>
      </c>
      <c r="D2232" s="7" t="s">
        <v>1887</v>
      </c>
      <c r="E2232" s="6" t="s">
        <v>1888</v>
      </c>
      <c r="F2232" s="8"/>
      <c r="G2232" s="8"/>
      <c r="H2232" s="8"/>
    </row>
    <row r="2233" spans="1:8">
      <c r="A2233" s="6" t="s">
        <v>284</v>
      </c>
      <c r="B2233" s="7" t="s">
        <v>1885</v>
      </c>
      <c r="C2233" s="7" t="s">
        <v>1886</v>
      </c>
      <c r="D2233" s="7" t="s">
        <v>1931</v>
      </c>
      <c r="E2233" s="6" t="s">
        <v>1932</v>
      </c>
      <c r="F2233" s="8"/>
      <c r="G2233" s="8"/>
      <c r="H2233" s="8"/>
    </row>
    <row r="2234" spans="1:8">
      <c r="A2234" s="6" t="s">
        <v>284</v>
      </c>
      <c r="B2234" s="7" t="s">
        <v>285</v>
      </c>
      <c r="C2234" s="7" t="s">
        <v>286</v>
      </c>
      <c r="D2234" s="7" t="s">
        <v>1946</v>
      </c>
      <c r="E2234" s="6" t="s">
        <v>1947</v>
      </c>
      <c r="F2234" s="8"/>
      <c r="G2234" s="8"/>
      <c r="H2234" s="8"/>
    </row>
    <row r="2235" spans="1:8">
      <c r="A2235" s="6" t="s">
        <v>284</v>
      </c>
      <c r="B2235" s="7" t="s">
        <v>1885</v>
      </c>
      <c r="C2235" s="7" t="s">
        <v>1886</v>
      </c>
      <c r="D2235" s="7" t="s">
        <v>3606</v>
      </c>
      <c r="E2235" s="6" t="s">
        <v>2214</v>
      </c>
      <c r="F2235" s="8"/>
      <c r="G2235" s="8"/>
      <c r="H2235" s="8"/>
    </row>
    <row r="2236" spans="1:8">
      <c r="A2236" s="6" t="s">
        <v>284</v>
      </c>
      <c r="B2236" s="7" t="s">
        <v>1885</v>
      </c>
      <c r="C2236" s="7" t="s">
        <v>1886</v>
      </c>
      <c r="D2236" s="7" t="s">
        <v>3607</v>
      </c>
      <c r="E2236" s="6" t="s">
        <v>3608</v>
      </c>
      <c r="F2236" s="8"/>
      <c r="G2236" s="8"/>
      <c r="H2236" s="8"/>
    </row>
    <row r="2237" spans="1:8">
      <c r="A2237" s="6" t="s">
        <v>284</v>
      </c>
      <c r="B2237" s="7" t="s">
        <v>1885</v>
      </c>
      <c r="C2237" s="7" t="s">
        <v>1886</v>
      </c>
      <c r="D2237" s="7" t="s">
        <v>3609</v>
      </c>
      <c r="E2237" s="6" t="s">
        <v>3610</v>
      </c>
      <c r="F2237" s="8"/>
      <c r="G2237" s="8"/>
      <c r="H2237" s="8"/>
    </row>
    <row r="2238" spans="1:8">
      <c r="A2238" s="6" t="s">
        <v>284</v>
      </c>
      <c r="B2238" s="7" t="s">
        <v>1885</v>
      </c>
      <c r="C2238" s="7" t="s">
        <v>1886</v>
      </c>
      <c r="D2238" s="7" t="s">
        <v>3611</v>
      </c>
      <c r="E2238" s="6" t="s">
        <v>3195</v>
      </c>
      <c r="F2238" s="8"/>
      <c r="G2238" s="8"/>
      <c r="H2238" s="8"/>
    </row>
    <row r="2239" spans="1:8">
      <c r="A2239" s="6" t="s">
        <v>284</v>
      </c>
      <c r="B2239" s="7" t="s">
        <v>1885</v>
      </c>
      <c r="C2239" s="7" t="s">
        <v>1886</v>
      </c>
      <c r="D2239" s="7" t="s">
        <v>3612</v>
      </c>
      <c r="E2239" s="6" t="s">
        <v>230</v>
      </c>
      <c r="F2239" s="8"/>
      <c r="G2239" s="8"/>
      <c r="H2239" s="8"/>
    </row>
    <row r="2240" spans="1:8">
      <c r="A2240" s="6" t="s">
        <v>284</v>
      </c>
      <c r="B2240" s="7" t="s">
        <v>1885</v>
      </c>
      <c r="C2240" s="7" t="s">
        <v>1886</v>
      </c>
      <c r="D2240" s="7" t="s">
        <v>3613</v>
      </c>
      <c r="E2240" s="6" t="s">
        <v>273</v>
      </c>
      <c r="F2240" s="8"/>
      <c r="G2240" s="8"/>
      <c r="H2240" s="8"/>
    </row>
    <row r="2241" spans="1:8">
      <c r="A2241" s="6" t="s">
        <v>284</v>
      </c>
      <c r="B2241" s="7" t="s">
        <v>134</v>
      </c>
      <c r="C2241" s="7" t="s">
        <v>134</v>
      </c>
      <c r="D2241" s="7" t="s">
        <v>3614</v>
      </c>
      <c r="E2241" s="6" t="s">
        <v>3615</v>
      </c>
      <c r="F2241" s="8"/>
      <c r="G2241" s="8"/>
      <c r="H2241" s="8"/>
    </row>
    <row r="2242" spans="1:8">
      <c r="A2242" s="6" t="s">
        <v>284</v>
      </c>
      <c r="B2242" s="7" t="s">
        <v>657</v>
      </c>
      <c r="C2242" s="7" t="s">
        <v>657</v>
      </c>
      <c r="D2242" s="7" t="s">
        <v>3616</v>
      </c>
      <c r="E2242" s="6" t="s">
        <v>3617</v>
      </c>
      <c r="F2242" s="8"/>
      <c r="G2242" s="8"/>
      <c r="H2242" s="8"/>
    </row>
    <row r="2243" spans="1:8">
      <c r="A2243" s="6" t="s">
        <v>284</v>
      </c>
      <c r="B2243" s="7" t="s">
        <v>285</v>
      </c>
      <c r="C2243" s="7" t="s">
        <v>286</v>
      </c>
      <c r="D2243" s="7" t="s">
        <v>3618</v>
      </c>
      <c r="E2243" s="6" t="s">
        <v>3619</v>
      </c>
      <c r="F2243" s="8"/>
      <c r="G2243" s="8"/>
      <c r="H2243" s="8"/>
    </row>
    <row r="2244" spans="1:8">
      <c r="A2244" s="6" t="s">
        <v>284</v>
      </c>
      <c r="B2244" s="7" t="s">
        <v>285</v>
      </c>
      <c r="C2244" s="7" t="s">
        <v>286</v>
      </c>
      <c r="D2244" s="7" t="s">
        <v>3620</v>
      </c>
      <c r="E2244" s="6" t="s">
        <v>3621</v>
      </c>
      <c r="F2244" s="8"/>
      <c r="G2244" s="8"/>
      <c r="H2244" s="8"/>
    </row>
    <row r="2245" spans="1:8">
      <c r="A2245" s="6" t="s">
        <v>284</v>
      </c>
      <c r="B2245" s="7" t="s">
        <v>657</v>
      </c>
      <c r="C2245" s="7" t="s">
        <v>657</v>
      </c>
      <c r="D2245" s="7" t="s">
        <v>3622</v>
      </c>
      <c r="E2245" s="6" t="s">
        <v>3623</v>
      </c>
      <c r="F2245" s="8" t="s">
        <v>6931</v>
      </c>
      <c r="G2245" s="8" t="s">
        <v>6999</v>
      </c>
      <c r="H2245" s="8" t="s">
        <v>7000</v>
      </c>
    </row>
    <row r="2246" spans="1:8">
      <c r="A2246" s="6" t="s">
        <v>284</v>
      </c>
      <c r="B2246" s="7" t="s">
        <v>285</v>
      </c>
      <c r="C2246" s="7" t="s">
        <v>286</v>
      </c>
      <c r="D2246" s="7" t="s">
        <v>3624</v>
      </c>
      <c r="E2246" s="6" t="s">
        <v>3625</v>
      </c>
      <c r="F2246" s="8"/>
      <c r="G2246" s="8"/>
      <c r="H2246" s="8"/>
    </row>
    <row r="2247" spans="1:8">
      <c r="A2247" s="6" t="s">
        <v>284</v>
      </c>
      <c r="B2247" s="7" t="s">
        <v>285</v>
      </c>
      <c r="C2247" s="7" t="s">
        <v>286</v>
      </c>
      <c r="D2247" s="7" t="s">
        <v>3626</v>
      </c>
      <c r="E2247" s="6" t="s">
        <v>3627</v>
      </c>
      <c r="F2247" s="8"/>
      <c r="G2247" s="8"/>
      <c r="H2247" s="8"/>
    </row>
    <row r="2248" spans="1:8">
      <c r="A2248" s="6" t="s">
        <v>284</v>
      </c>
      <c r="B2248" s="7" t="s">
        <v>285</v>
      </c>
      <c r="C2248" s="7" t="s">
        <v>286</v>
      </c>
      <c r="D2248" s="7" t="s">
        <v>3628</v>
      </c>
      <c r="E2248" s="6" t="s">
        <v>3629</v>
      </c>
      <c r="F2248" s="8"/>
      <c r="G2248" s="8"/>
      <c r="H2248" s="8"/>
    </row>
    <row r="2249" spans="1:8">
      <c r="A2249" s="6" t="s">
        <v>284</v>
      </c>
      <c r="B2249" s="7" t="s">
        <v>285</v>
      </c>
      <c r="C2249" s="7" t="s">
        <v>286</v>
      </c>
      <c r="D2249" s="7" t="s">
        <v>3630</v>
      </c>
      <c r="E2249" s="6" t="s">
        <v>3631</v>
      </c>
      <c r="F2249" s="8"/>
      <c r="G2249" s="8"/>
      <c r="H2249" s="8"/>
    </row>
    <row r="2250" spans="1:8">
      <c r="A2250" s="6" t="s">
        <v>284</v>
      </c>
      <c r="B2250" s="7" t="s">
        <v>657</v>
      </c>
      <c r="C2250" s="7" t="s">
        <v>657</v>
      </c>
      <c r="D2250" s="7" t="s">
        <v>3632</v>
      </c>
      <c r="E2250" s="6" t="s">
        <v>3633</v>
      </c>
      <c r="F2250" s="8" t="s">
        <v>6931</v>
      </c>
      <c r="G2250" s="8" t="s">
        <v>6999</v>
      </c>
      <c r="H2250" s="8" t="s">
        <v>7000</v>
      </c>
    </row>
    <row r="2251" spans="1:8">
      <c r="A2251" s="6" t="s">
        <v>284</v>
      </c>
      <c r="B2251" s="7" t="s">
        <v>134</v>
      </c>
      <c r="C2251" s="7" t="s">
        <v>134</v>
      </c>
      <c r="D2251" s="7" t="s">
        <v>3634</v>
      </c>
      <c r="E2251" s="6" t="s">
        <v>3635</v>
      </c>
      <c r="F2251" s="8" t="s">
        <v>6931</v>
      </c>
      <c r="G2251" s="8" t="s">
        <v>6999</v>
      </c>
      <c r="H2251" s="8" t="s">
        <v>7232</v>
      </c>
    </row>
    <row r="2252" spans="1:8">
      <c r="A2252" s="6" t="s">
        <v>284</v>
      </c>
      <c r="B2252" s="7" t="s">
        <v>134</v>
      </c>
      <c r="C2252" s="7" t="s">
        <v>134</v>
      </c>
      <c r="D2252" s="7" t="s">
        <v>3636</v>
      </c>
      <c r="E2252" s="6" t="s">
        <v>3637</v>
      </c>
      <c r="F2252" s="8" t="s">
        <v>6931</v>
      </c>
      <c r="G2252" s="8" t="s">
        <v>6999</v>
      </c>
      <c r="H2252" s="8" t="s">
        <v>7232</v>
      </c>
    </row>
    <row r="2253" spans="1:8">
      <c r="A2253" s="6" t="s">
        <v>284</v>
      </c>
      <c r="B2253" s="7" t="s">
        <v>134</v>
      </c>
      <c r="C2253" s="7" t="s">
        <v>134</v>
      </c>
      <c r="D2253" s="7" t="s">
        <v>3638</v>
      </c>
      <c r="E2253" s="6" t="s">
        <v>3639</v>
      </c>
      <c r="F2253" s="8" t="s">
        <v>6931</v>
      </c>
      <c r="G2253" s="8" t="s">
        <v>6999</v>
      </c>
      <c r="H2253" s="8" t="s">
        <v>7232</v>
      </c>
    </row>
    <row r="2254" spans="1:8">
      <c r="A2254" s="6" t="s">
        <v>284</v>
      </c>
      <c r="B2254" s="7" t="s">
        <v>134</v>
      </c>
      <c r="C2254" s="7" t="s">
        <v>134</v>
      </c>
      <c r="D2254" s="7" t="s">
        <v>3640</v>
      </c>
      <c r="E2254" s="6" t="s">
        <v>3641</v>
      </c>
      <c r="F2254" s="8" t="s">
        <v>6931</v>
      </c>
      <c r="G2254" s="8" t="s">
        <v>6999</v>
      </c>
      <c r="H2254" s="8" t="s">
        <v>7232</v>
      </c>
    </row>
    <row r="2255" spans="1:8">
      <c r="A2255" s="6" t="s">
        <v>284</v>
      </c>
      <c r="B2255" s="7" t="s">
        <v>134</v>
      </c>
      <c r="C2255" s="7" t="s">
        <v>134</v>
      </c>
      <c r="D2255" s="7" t="s">
        <v>3642</v>
      </c>
      <c r="E2255" s="6" t="s">
        <v>3643</v>
      </c>
      <c r="F2255" s="8" t="s">
        <v>6931</v>
      </c>
      <c r="G2255" s="8" t="s">
        <v>6999</v>
      </c>
      <c r="H2255" s="8" t="s">
        <v>7232</v>
      </c>
    </row>
    <row r="2256" spans="1:8">
      <c r="A2256" s="6" t="s">
        <v>284</v>
      </c>
      <c r="B2256" s="7" t="s">
        <v>134</v>
      </c>
      <c r="C2256" s="7" t="s">
        <v>134</v>
      </c>
      <c r="D2256" s="7" t="s">
        <v>3644</v>
      </c>
      <c r="E2256" s="6" t="s">
        <v>2071</v>
      </c>
      <c r="F2256" s="8" t="s">
        <v>6931</v>
      </c>
      <c r="G2256" s="8" t="s">
        <v>6999</v>
      </c>
      <c r="H2256" s="8" t="s">
        <v>7232</v>
      </c>
    </row>
    <row r="2257" spans="1:8">
      <c r="A2257" s="6" t="s">
        <v>284</v>
      </c>
      <c r="B2257" s="7" t="s">
        <v>134</v>
      </c>
      <c r="C2257" s="7" t="s">
        <v>134</v>
      </c>
      <c r="D2257" s="7" t="s">
        <v>3645</v>
      </c>
      <c r="E2257" s="6" t="s">
        <v>3646</v>
      </c>
      <c r="F2257" s="8" t="s">
        <v>6931</v>
      </c>
      <c r="G2257" s="8" t="s">
        <v>6999</v>
      </c>
      <c r="H2257" s="8" t="s">
        <v>7232</v>
      </c>
    </row>
    <row r="2258" spans="1:8">
      <c r="A2258" s="6" t="s">
        <v>284</v>
      </c>
      <c r="B2258" s="7" t="s">
        <v>69</v>
      </c>
      <c r="C2258" s="7" t="s">
        <v>69</v>
      </c>
      <c r="D2258" s="7" t="s">
        <v>3647</v>
      </c>
      <c r="E2258" s="6" t="s">
        <v>3648</v>
      </c>
      <c r="F2258" s="8"/>
      <c r="G2258" s="8"/>
      <c r="H2258" s="8"/>
    </row>
    <row r="2259" spans="1:8">
      <c r="A2259" s="6" t="s">
        <v>284</v>
      </c>
      <c r="B2259" s="7" t="s">
        <v>69</v>
      </c>
      <c r="C2259" s="7" t="s">
        <v>69</v>
      </c>
      <c r="D2259" s="7" t="s">
        <v>3649</v>
      </c>
      <c r="E2259" s="6" t="s">
        <v>3650</v>
      </c>
      <c r="F2259" s="8"/>
      <c r="G2259" s="8"/>
      <c r="H2259" s="8"/>
    </row>
    <row r="2260" spans="1:8">
      <c r="A2260" s="6" t="s">
        <v>284</v>
      </c>
      <c r="B2260" s="7" t="s">
        <v>1431</v>
      </c>
      <c r="C2260" s="7" t="s">
        <v>3651</v>
      </c>
      <c r="D2260" s="7" t="s">
        <v>3652</v>
      </c>
      <c r="E2260" s="6" t="s">
        <v>3653</v>
      </c>
      <c r="F2260" s="8"/>
      <c r="G2260" s="8"/>
      <c r="H2260" s="8"/>
    </row>
    <row r="2261" spans="1:8">
      <c r="A2261" s="6" t="s">
        <v>2189</v>
      </c>
      <c r="B2261" s="7" t="s">
        <v>9</v>
      </c>
      <c r="C2261" s="7" t="s">
        <v>2190</v>
      </c>
      <c r="D2261" s="7" t="s">
        <v>2191</v>
      </c>
      <c r="E2261" s="6" t="s">
        <v>2192</v>
      </c>
      <c r="F2261" s="8"/>
      <c r="G2261" s="8"/>
      <c r="H2261" s="8"/>
    </row>
    <row r="2262" spans="1:8">
      <c r="A2262" s="6" t="s">
        <v>1296</v>
      </c>
      <c r="B2262" s="7" t="s">
        <v>9</v>
      </c>
      <c r="C2262" s="7" t="s">
        <v>898</v>
      </c>
      <c r="D2262" s="7" t="s">
        <v>1297</v>
      </c>
      <c r="E2262" s="6" t="s">
        <v>1298</v>
      </c>
      <c r="F2262" s="8"/>
      <c r="G2262" s="8"/>
      <c r="H2262" s="8"/>
    </row>
    <row r="2263" spans="1:8">
      <c r="A2263" s="6" t="s">
        <v>1296</v>
      </c>
      <c r="B2263" s="7" t="s">
        <v>428</v>
      </c>
      <c r="C2263" s="7" t="s">
        <v>2190</v>
      </c>
      <c r="D2263" s="7" t="s">
        <v>2193</v>
      </c>
      <c r="E2263" s="6" t="s">
        <v>2194</v>
      </c>
      <c r="F2263" s="8"/>
      <c r="G2263" s="8"/>
      <c r="H2263" s="8"/>
    </row>
    <row r="2264" spans="1:8">
      <c r="A2264" s="6" t="s">
        <v>1296</v>
      </c>
      <c r="B2264" s="7" t="s">
        <v>9</v>
      </c>
      <c r="C2264" s="7" t="s">
        <v>1079</v>
      </c>
      <c r="D2264" s="7" t="s">
        <v>2195</v>
      </c>
      <c r="E2264" s="6" t="s">
        <v>2196</v>
      </c>
      <c r="F2264" s="8"/>
      <c r="G2264" s="8"/>
      <c r="H2264" s="8"/>
    </row>
    <row r="2265" spans="1:8">
      <c r="A2265" s="6" t="s">
        <v>1296</v>
      </c>
      <c r="B2265" s="7" t="s">
        <v>9</v>
      </c>
      <c r="C2265" s="7" t="s">
        <v>1079</v>
      </c>
      <c r="D2265" s="7" t="s">
        <v>2197</v>
      </c>
      <c r="E2265" s="6" t="s">
        <v>2198</v>
      </c>
      <c r="F2265" s="8"/>
      <c r="G2265" s="8"/>
      <c r="H2265" s="8"/>
    </row>
    <row r="2266" spans="1:8">
      <c r="A2266" s="6" t="s">
        <v>1296</v>
      </c>
      <c r="B2266" s="7" t="s">
        <v>9</v>
      </c>
      <c r="C2266" s="7" t="s">
        <v>1079</v>
      </c>
      <c r="D2266" s="7" t="s">
        <v>2199</v>
      </c>
      <c r="E2266" s="6" t="s">
        <v>2200</v>
      </c>
      <c r="F2266" s="8"/>
      <c r="G2266" s="8"/>
      <c r="H2266" s="8"/>
    </row>
    <row r="2267" spans="1:8">
      <c r="A2267" s="6" t="s">
        <v>1296</v>
      </c>
      <c r="B2267" s="7" t="s">
        <v>149</v>
      </c>
      <c r="C2267" s="7" t="s">
        <v>1079</v>
      </c>
      <c r="D2267" s="7" t="s">
        <v>2201</v>
      </c>
      <c r="E2267" s="6" t="s">
        <v>2202</v>
      </c>
      <c r="F2267" s="8"/>
      <c r="G2267" s="8"/>
      <c r="H2267" s="8"/>
    </row>
    <row r="2268" spans="1:8">
      <c r="A2268" s="6" t="s">
        <v>1296</v>
      </c>
      <c r="B2268" s="7" t="s">
        <v>149</v>
      </c>
      <c r="C2268" s="7" t="s">
        <v>1079</v>
      </c>
      <c r="D2268" s="7" t="s">
        <v>2203</v>
      </c>
      <c r="E2268" s="6" t="s">
        <v>2200</v>
      </c>
      <c r="F2268" s="8"/>
      <c r="G2268" s="8"/>
      <c r="H2268" s="8"/>
    </row>
    <row r="2269" spans="1:8">
      <c r="A2269" s="6" t="s">
        <v>1296</v>
      </c>
      <c r="B2269" s="7" t="s">
        <v>149</v>
      </c>
      <c r="C2269" s="7" t="s">
        <v>1079</v>
      </c>
      <c r="D2269" s="7" t="s">
        <v>2204</v>
      </c>
      <c r="E2269" s="6" t="s">
        <v>2205</v>
      </c>
      <c r="F2269" s="8"/>
      <c r="G2269" s="8"/>
      <c r="H2269" s="8"/>
    </row>
    <row r="2270" spans="1:8">
      <c r="A2270" s="6" t="s">
        <v>1296</v>
      </c>
      <c r="B2270" s="7" t="s">
        <v>149</v>
      </c>
      <c r="C2270" s="7" t="s">
        <v>1079</v>
      </c>
      <c r="D2270" s="7" t="s">
        <v>2206</v>
      </c>
      <c r="E2270" s="6" t="s">
        <v>2207</v>
      </c>
      <c r="F2270" s="8"/>
      <c r="G2270" s="8"/>
      <c r="H2270" s="8"/>
    </row>
    <row r="2271" spans="1:8">
      <c r="A2271" s="6" t="s">
        <v>1296</v>
      </c>
      <c r="B2271" s="7" t="s">
        <v>2208</v>
      </c>
      <c r="C2271" s="7" t="s">
        <v>1079</v>
      </c>
      <c r="D2271" s="7" t="s">
        <v>2209</v>
      </c>
      <c r="E2271" s="6" t="s">
        <v>2210</v>
      </c>
      <c r="F2271" s="8"/>
      <c r="G2271" s="8"/>
      <c r="H2271" s="8"/>
    </row>
    <row r="2272" spans="1:8">
      <c r="A2272" s="6" t="s">
        <v>178</v>
      </c>
      <c r="B2272" s="7" t="s">
        <v>179</v>
      </c>
      <c r="C2272" s="7" t="s">
        <v>179</v>
      </c>
      <c r="D2272" s="7" t="s">
        <v>180</v>
      </c>
      <c r="E2272" s="6" t="s">
        <v>181</v>
      </c>
      <c r="F2272" s="8"/>
      <c r="G2272" s="8"/>
      <c r="H2272" s="8"/>
    </row>
    <row r="2273" spans="1:8">
      <c r="A2273" s="6" t="s">
        <v>187</v>
      </c>
      <c r="B2273" s="7" t="s">
        <v>188</v>
      </c>
      <c r="C2273" s="7" t="s">
        <v>188</v>
      </c>
      <c r="D2273" s="7" t="s">
        <v>189</v>
      </c>
      <c r="E2273" s="6" t="s">
        <v>190</v>
      </c>
      <c r="F2273" s="8"/>
      <c r="G2273" s="8"/>
      <c r="H2273" s="8"/>
    </row>
    <row r="2274" spans="1:8">
      <c r="A2274" s="6" t="s">
        <v>187</v>
      </c>
      <c r="B2274" s="7" t="s">
        <v>405</v>
      </c>
      <c r="C2274" s="7" t="s">
        <v>405</v>
      </c>
      <c r="D2274" s="7" t="s">
        <v>406</v>
      </c>
      <c r="E2274" s="6" t="s">
        <v>407</v>
      </c>
      <c r="F2274" s="8"/>
      <c r="G2274" s="8"/>
      <c r="H2274" s="8"/>
    </row>
    <row r="2275" spans="1:8">
      <c r="A2275" s="6" t="s">
        <v>187</v>
      </c>
      <c r="B2275" s="7" t="s">
        <v>504</v>
      </c>
      <c r="C2275" s="7" t="s">
        <v>504</v>
      </c>
      <c r="D2275" s="7" t="s">
        <v>505</v>
      </c>
      <c r="E2275" s="6" t="s">
        <v>506</v>
      </c>
      <c r="F2275" s="8"/>
      <c r="G2275" s="8"/>
      <c r="H2275" s="8"/>
    </row>
    <row r="2276" spans="1:8">
      <c r="A2276" s="6" t="s">
        <v>187</v>
      </c>
      <c r="B2276" s="7" t="s">
        <v>596</v>
      </c>
      <c r="C2276" s="7" t="s">
        <v>596</v>
      </c>
      <c r="D2276" s="7" t="s">
        <v>597</v>
      </c>
      <c r="E2276" s="6" t="s">
        <v>598</v>
      </c>
      <c r="F2276" s="8"/>
      <c r="G2276" s="8"/>
      <c r="H2276" s="8"/>
    </row>
    <row r="2277" spans="1:8">
      <c r="A2277" s="6" t="s">
        <v>187</v>
      </c>
      <c r="B2277" s="7" t="s">
        <v>904</v>
      </c>
      <c r="C2277" s="7" t="s">
        <v>905</v>
      </c>
      <c r="D2277" s="7" t="s">
        <v>906</v>
      </c>
      <c r="E2277" s="6" t="s">
        <v>907</v>
      </c>
      <c r="F2277" s="8"/>
      <c r="G2277" s="8"/>
      <c r="H2277" s="8"/>
    </row>
    <row r="2278" spans="1:8">
      <c r="A2278" s="6" t="s">
        <v>187</v>
      </c>
      <c r="B2278" s="7" t="s">
        <v>905</v>
      </c>
      <c r="C2278" s="7" t="s">
        <v>904</v>
      </c>
      <c r="D2278" s="7" t="s">
        <v>986</v>
      </c>
      <c r="E2278" s="6" t="s">
        <v>987</v>
      </c>
      <c r="F2278" s="8" t="s">
        <v>6939</v>
      </c>
      <c r="G2278" s="8" t="s">
        <v>6929</v>
      </c>
      <c r="H2278" s="8" t="s">
        <v>7044</v>
      </c>
    </row>
    <row r="2279" spans="1:8">
      <c r="A2279" s="6" t="s">
        <v>187</v>
      </c>
      <c r="B2279" s="7" t="s">
        <v>905</v>
      </c>
      <c r="C2279" s="7" t="s">
        <v>905</v>
      </c>
      <c r="D2279" s="7" t="s">
        <v>1460</v>
      </c>
      <c r="E2279" s="6" t="s">
        <v>1461</v>
      </c>
      <c r="F2279" s="8" t="s">
        <v>6939</v>
      </c>
      <c r="G2279" s="8" t="s">
        <v>6929</v>
      </c>
      <c r="H2279" s="8" t="s">
        <v>7044</v>
      </c>
    </row>
    <row r="2280" spans="1:8">
      <c r="A2280" s="6" t="s">
        <v>187</v>
      </c>
      <c r="B2280" s="7" t="s">
        <v>905</v>
      </c>
      <c r="C2280" s="7" t="s">
        <v>905</v>
      </c>
      <c r="D2280" s="7" t="s">
        <v>1465</v>
      </c>
      <c r="E2280" s="6" t="s">
        <v>1466</v>
      </c>
      <c r="F2280" s="8" t="s">
        <v>6939</v>
      </c>
      <c r="G2280" s="8" t="s">
        <v>6929</v>
      </c>
      <c r="H2280" s="8" t="s">
        <v>7044</v>
      </c>
    </row>
    <row r="2281" spans="1:8">
      <c r="A2281" s="6" t="s">
        <v>187</v>
      </c>
      <c r="B2281" s="7" t="s">
        <v>2077</v>
      </c>
      <c r="C2281" s="7" t="s">
        <v>2077</v>
      </c>
      <c r="D2281" s="7" t="s">
        <v>2078</v>
      </c>
      <c r="E2281" s="6" t="s">
        <v>2079</v>
      </c>
      <c r="F2281" s="8"/>
      <c r="G2281" s="8"/>
      <c r="H2281" s="8"/>
    </row>
    <row r="2282" spans="1:8">
      <c r="A2282" s="6" t="s">
        <v>187</v>
      </c>
      <c r="B2282" s="7" t="s">
        <v>2080</v>
      </c>
      <c r="C2282" s="7" t="s">
        <v>2080</v>
      </c>
      <c r="D2282" s="7" t="s">
        <v>2081</v>
      </c>
      <c r="E2282" s="6" t="s">
        <v>2082</v>
      </c>
      <c r="F2282" s="8"/>
      <c r="G2282" s="8"/>
      <c r="H2282" s="8"/>
    </row>
    <row r="2283" spans="1:8">
      <c r="A2283" s="6" t="s">
        <v>187</v>
      </c>
      <c r="B2283" s="7" t="s">
        <v>188</v>
      </c>
      <c r="C2283" s="7" t="s">
        <v>149</v>
      </c>
      <c r="D2283" s="7" t="s">
        <v>2083</v>
      </c>
      <c r="E2283" s="6" t="s">
        <v>2084</v>
      </c>
      <c r="F2283" s="8"/>
      <c r="G2283" s="8"/>
      <c r="H2283" s="8"/>
    </row>
    <row r="2284" spans="1:8">
      <c r="A2284" s="6" t="s">
        <v>187</v>
      </c>
      <c r="B2284" s="7" t="s">
        <v>188</v>
      </c>
      <c r="C2284" s="7" t="s">
        <v>149</v>
      </c>
      <c r="D2284" s="7" t="s">
        <v>2085</v>
      </c>
      <c r="E2284" s="6" t="s">
        <v>2086</v>
      </c>
      <c r="F2284" s="8"/>
      <c r="G2284" s="8"/>
      <c r="H2284" s="8"/>
    </row>
    <row r="2285" spans="1:8">
      <c r="A2285" s="6" t="s">
        <v>187</v>
      </c>
      <c r="B2285" s="7" t="s">
        <v>188</v>
      </c>
      <c r="C2285" s="7" t="s">
        <v>149</v>
      </c>
      <c r="D2285" s="7" t="s">
        <v>2087</v>
      </c>
      <c r="E2285" s="6" t="s">
        <v>2088</v>
      </c>
      <c r="F2285" s="8"/>
      <c r="G2285" s="8"/>
      <c r="H2285" s="8"/>
    </row>
    <row r="2286" spans="1:8">
      <c r="A2286" s="6" t="s">
        <v>187</v>
      </c>
      <c r="B2286" s="7" t="s">
        <v>188</v>
      </c>
      <c r="C2286" s="7" t="s">
        <v>905</v>
      </c>
      <c r="D2286" s="7" t="s">
        <v>2089</v>
      </c>
      <c r="E2286" s="6" t="s">
        <v>1461</v>
      </c>
      <c r="F2286" s="8"/>
      <c r="G2286" s="8"/>
      <c r="H2286" s="8"/>
    </row>
    <row r="2287" spans="1:8">
      <c r="A2287" s="6" t="s">
        <v>187</v>
      </c>
      <c r="B2287" s="7" t="s">
        <v>149</v>
      </c>
      <c r="C2287" s="7" t="s">
        <v>149</v>
      </c>
      <c r="D2287" s="7" t="s">
        <v>2090</v>
      </c>
      <c r="E2287" s="6" t="s">
        <v>2091</v>
      </c>
      <c r="F2287" s="8"/>
      <c r="G2287" s="8"/>
      <c r="H2287" s="8"/>
    </row>
    <row r="2288" spans="1:8">
      <c r="A2288" s="6" t="s">
        <v>187</v>
      </c>
      <c r="B2288" s="7" t="s">
        <v>188</v>
      </c>
      <c r="C2288" s="7" t="s">
        <v>149</v>
      </c>
      <c r="D2288" s="7" t="s">
        <v>2092</v>
      </c>
      <c r="E2288" s="6" t="s">
        <v>738</v>
      </c>
      <c r="F2288" s="8"/>
      <c r="G2288" s="8"/>
      <c r="H2288" s="8"/>
    </row>
    <row r="2289" spans="1:8">
      <c r="A2289" s="6" t="s">
        <v>187</v>
      </c>
      <c r="B2289" s="7" t="s">
        <v>188</v>
      </c>
      <c r="C2289" s="7" t="s">
        <v>149</v>
      </c>
      <c r="D2289" s="7" t="s">
        <v>2093</v>
      </c>
      <c r="E2289" s="6" t="s">
        <v>2094</v>
      </c>
      <c r="F2289" s="8"/>
      <c r="G2289" s="8"/>
      <c r="H2289" s="8"/>
    </row>
    <row r="2290" spans="1:8">
      <c r="A2290" s="6" t="s">
        <v>187</v>
      </c>
      <c r="B2290" s="7" t="s">
        <v>905</v>
      </c>
      <c r="C2290" s="7" t="s">
        <v>905</v>
      </c>
      <c r="D2290" s="7" t="s">
        <v>2095</v>
      </c>
      <c r="E2290" s="6" t="s">
        <v>2096</v>
      </c>
      <c r="F2290" s="8"/>
      <c r="G2290" s="8"/>
      <c r="H2290" s="8"/>
    </row>
    <row r="2291" spans="1:8">
      <c r="A2291" s="6" t="s">
        <v>187</v>
      </c>
      <c r="B2291" s="7" t="s">
        <v>898</v>
      </c>
      <c r="C2291" s="7" t="s">
        <v>905</v>
      </c>
      <c r="D2291" s="7" t="s">
        <v>2097</v>
      </c>
      <c r="E2291" s="6" t="s">
        <v>2098</v>
      </c>
      <c r="F2291" s="8"/>
      <c r="G2291" s="8"/>
      <c r="H2291" s="8"/>
    </row>
    <row r="2292" spans="1:8">
      <c r="A2292" s="6" t="s">
        <v>187</v>
      </c>
      <c r="B2292" s="7" t="s">
        <v>108</v>
      </c>
      <c r="C2292" s="7" t="s">
        <v>108</v>
      </c>
      <c r="D2292" s="7" t="s">
        <v>2099</v>
      </c>
      <c r="E2292" s="6" t="s">
        <v>2100</v>
      </c>
      <c r="F2292" s="8"/>
      <c r="G2292" s="8"/>
      <c r="H2292" s="8"/>
    </row>
    <row r="2293" spans="1:8">
      <c r="A2293" s="6" t="s">
        <v>187</v>
      </c>
      <c r="B2293" s="7" t="s">
        <v>2101</v>
      </c>
      <c r="C2293" s="7" t="s">
        <v>2101</v>
      </c>
      <c r="D2293" s="7" t="s">
        <v>2102</v>
      </c>
      <c r="E2293" s="6" t="s">
        <v>2103</v>
      </c>
      <c r="F2293" s="8"/>
      <c r="G2293" s="8"/>
      <c r="H2293" s="8"/>
    </row>
    <row r="2294" spans="1:8">
      <c r="A2294" s="6" t="s">
        <v>187</v>
      </c>
      <c r="B2294" s="7" t="s">
        <v>2104</v>
      </c>
      <c r="C2294" s="7" t="s">
        <v>2104</v>
      </c>
      <c r="D2294" s="7" t="s">
        <v>2105</v>
      </c>
      <c r="E2294" s="6" t="s">
        <v>2106</v>
      </c>
      <c r="F2294" s="8"/>
      <c r="G2294" s="8"/>
      <c r="H2294" s="8"/>
    </row>
    <row r="2295" spans="1:8">
      <c r="A2295" s="6" t="s">
        <v>226</v>
      </c>
      <c r="B2295" s="7" t="s">
        <v>227</v>
      </c>
      <c r="C2295" s="7" t="s">
        <v>227</v>
      </c>
      <c r="D2295" s="7" t="s">
        <v>228</v>
      </c>
      <c r="E2295" s="6" t="s">
        <v>229</v>
      </c>
      <c r="F2295" s="8"/>
      <c r="G2295" s="8"/>
      <c r="H2295" s="8"/>
    </row>
    <row r="2296" spans="1:8">
      <c r="A2296" s="6" t="s">
        <v>226</v>
      </c>
      <c r="B2296" s="7" t="s">
        <v>78</v>
      </c>
      <c r="C2296" s="7" t="s">
        <v>78</v>
      </c>
      <c r="D2296" s="7" t="s">
        <v>368</v>
      </c>
      <c r="E2296" s="6" t="s">
        <v>369</v>
      </c>
      <c r="F2296" s="8"/>
      <c r="G2296" s="8"/>
      <c r="H2296" s="8"/>
    </row>
    <row r="2297" spans="1:8">
      <c r="A2297" s="6" t="s">
        <v>226</v>
      </c>
      <c r="B2297" s="7" t="s">
        <v>60</v>
      </c>
      <c r="C2297" s="7" t="s">
        <v>60</v>
      </c>
      <c r="D2297" s="7" t="s">
        <v>689</v>
      </c>
      <c r="E2297" s="6" t="s">
        <v>690</v>
      </c>
      <c r="F2297" s="8"/>
      <c r="G2297" s="8"/>
      <c r="H2297" s="8"/>
    </row>
    <row r="2298" spans="1:8">
      <c r="A2298" s="6" t="s">
        <v>226</v>
      </c>
      <c r="B2298" s="7" t="s">
        <v>60</v>
      </c>
      <c r="C2298" s="7" t="s">
        <v>60</v>
      </c>
      <c r="D2298" s="7" t="s">
        <v>691</v>
      </c>
      <c r="E2298" s="6" t="s">
        <v>692</v>
      </c>
      <c r="F2298" s="8"/>
      <c r="G2298" s="8"/>
      <c r="H2298" s="8"/>
    </row>
    <row r="2299" spans="1:8">
      <c r="A2299" s="6" t="s">
        <v>226</v>
      </c>
      <c r="B2299" s="7" t="s">
        <v>1148</v>
      </c>
      <c r="C2299" s="7" t="s">
        <v>1148</v>
      </c>
      <c r="D2299" s="7" t="s">
        <v>1149</v>
      </c>
      <c r="E2299" s="6" t="s">
        <v>1150</v>
      </c>
      <c r="F2299" s="8"/>
      <c r="G2299" s="8"/>
      <c r="H2299" s="8"/>
    </row>
    <row r="2300" spans="1:8">
      <c r="A2300" s="6" t="s">
        <v>226</v>
      </c>
      <c r="B2300" s="7" t="s">
        <v>1148</v>
      </c>
      <c r="C2300" s="7" t="s">
        <v>1148</v>
      </c>
      <c r="D2300" s="7" t="s">
        <v>1151</v>
      </c>
      <c r="E2300" s="6" t="s">
        <v>1150</v>
      </c>
      <c r="F2300" s="8"/>
      <c r="G2300" s="8"/>
      <c r="H2300" s="8"/>
    </row>
    <row r="2301" spans="1:8">
      <c r="A2301" s="6" t="s">
        <v>226</v>
      </c>
      <c r="B2301" s="7" t="s">
        <v>78</v>
      </c>
      <c r="C2301" s="7" t="s">
        <v>78</v>
      </c>
      <c r="D2301" s="7" t="s">
        <v>1226</v>
      </c>
      <c r="E2301" s="6" t="s">
        <v>1227</v>
      </c>
      <c r="F2301" s="8"/>
      <c r="G2301" s="8"/>
      <c r="H2301" s="8"/>
    </row>
    <row r="2302" spans="1:8">
      <c r="A2302" s="6" t="s">
        <v>226</v>
      </c>
      <c r="B2302" s="7" t="s">
        <v>1148</v>
      </c>
      <c r="C2302" s="7" t="s">
        <v>1148</v>
      </c>
      <c r="D2302" s="7" t="s">
        <v>1613</v>
      </c>
      <c r="E2302" s="6" t="s">
        <v>1614</v>
      </c>
      <c r="F2302" s="8" t="s">
        <v>3334</v>
      </c>
      <c r="G2302" s="8" t="s">
        <v>6944</v>
      </c>
      <c r="H2302" s="8" t="s">
        <v>7220</v>
      </c>
    </row>
    <row r="2303" spans="1:8">
      <c r="A2303" s="6" t="s">
        <v>226</v>
      </c>
      <c r="B2303" s="7" t="s">
        <v>1148</v>
      </c>
      <c r="C2303" s="7" t="s">
        <v>1148</v>
      </c>
      <c r="D2303" s="7" t="s">
        <v>1615</v>
      </c>
      <c r="E2303" s="6" t="s">
        <v>1616</v>
      </c>
      <c r="F2303" s="8" t="s">
        <v>3334</v>
      </c>
      <c r="G2303" s="8" t="s">
        <v>6944</v>
      </c>
      <c r="H2303" s="8" t="s">
        <v>7220</v>
      </c>
    </row>
    <row r="2304" spans="1:8">
      <c r="A2304" s="6" t="s">
        <v>226</v>
      </c>
      <c r="B2304" s="7" t="s">
        <v>1148</v>
      </c>
      <c r="C2304" s="7" t="s">
        <v>1148</v>
      </c>
      <c r="D2304" s="7" t="s">
        <v>1617</v>
      </c>
      <c r="E2304" s="6" t="s">
        <v>1618</v>
      </c>
      <c r="F2304" s="8" t="s">
        <v>5162</v>
      </c>
      <c r="G2304" s="8" t="s">
        <v>6929</v>
      </c>
      <c r="H2304" s="8" t="s">
        <v>7220</v>
      </c>
    </row>
    <row r="2305" spans="1:8">
      <c r="A2305" s="6" t="s">
        <v>226</v>
      </c>
      <c r="B2305" s="7" t="s">
        <v>1148</v>
      </c>
      <c r="C2305" s="7" t="s">
        <v>1148</v>
      </c>
      <c r="D2305" s="7" t="s">
        <v>1619</v>
      </c>
      <c r="E2305" s="6" t="s">
        <v>1620</v>
      </c>
      <c r="F2305" s="8" t="s">
        <v>3334</v>
      </c>
      <c r="G2305" s="8" t="s">
        <v>6944</v>
      </c>
      <c r="H2305" s="8" t="s">
        <v>7220</v>
      </c>
    </row>
    <row r="2306" spans="1:8">
      <c r="A2306" s="6" t="s">
        <v>226</v>
      </c>
      <c r="B2306" s="7" t="s">
        <v>1148</v>
      </c>
      <c r="C2306" s="7" t="s">
        <v>1148</v>
      </c>
      <c r="D2306" s="7" t="s">
        <v>1621</v>
      </c>
      <c r="E2306" s="6" t="s">
        <v>1622</v>
      </c>
      <c r="F2306" s="8" t="s">
        <v>3334</v>
      </c>
      <c r="G2306" s="8" t="s">
        <v>6944</v>
      </c>
      <c r="H2306" s="8" t="s">
        <v>7220</v>
      </c>
    </row>
    <row r="2307" spans="1:8">
      <c r="A2307" s="6" t="s">
        <v>226</v>
      </c>
      <c r="B2307" s="7" t="s">
        <v>1148</v>
      </c>
      <c r="C2307" s="7" t="s">
        <v>1148</v>
      </c>
      <c r="D2307" s="7" t="s">
        <v>1623</v>
      </c>
      <c r="E2307" s="6" t="s">
        <v>1624</v>
      </c>
      <c r="F2307" s="8" t="s">
        <v>3334</v>
      </c>
      <c r="G2307" s="8" t="s">
        <v>6944</v>
      </c>
      <c r="H2307" s="8" t="s">
        <v>7220</v>
      </c>
    </row>
    <row r="2308" spans="1:8">
      <c r="A2308" s="6" t="s">
        <v>226</v>
      </c>
      <c r="B2308" s="7" t="s">
        <v>1148</v>
      </c>
      <c r="C2308" s="7" t="s">
        <v>1148</v>
      </c>
      <c r="D2308" s="7" t="s">
        <v>1625</v>
      </c>
      <c r="E2308" s="6" t="s">
        <v>1626</v>
      </c>
      <c r="F2308" s="8" t="s">
        <v>3334</v>
      </c>
      <c r="G2308" s="8" t="s">
        <v>6944</v>
      </c>
      <c r="H2308" s="8" t="s">
        <v>7220</v>
      </c>
    </row>
    <row r="2309" spans="1:8">
      <c r="A2309" s="6" t="s">
        <v>226</v>
      </c>
      <c r="B2309" s="7" t="s">
        <v>1148</v>
      </c>
      <c r="C2309" s="7" t="s">
        <v>1627</v>
      </c>
      <c r="D2309" s="7" t="s">
        <v>1628</v>
      </c>
      <c r="E2309" s="6" t="s">
        <v>1624</v>
      </c>
      <c r="F2309" s="8" t="s">
        <v>5162</v>
      </c>
      <c r="G2309" s="8" t="s">
        <v>6944</v>
      </c>
      <c r="H2309" s="8" t="s">
        <v>7128</v>
      </c>
    </row>
    <row r="2310" spans="1:8">
      <c r="A2310" s="6" t="s">
        <v>226</v>
      </c>
      <c r="B2310" s="7" t="s">
        <v>60</v>
      </c>
      <c r="C2310" s="7" t="s">
        <v>60</v>
      </c>
      <c r="D2310" s="7" t="s">
        <v>1691</v>
      </c>
      <c r="E2310" s="6" t="s">
        <v>1692</v>
      </c>
      <c r="F2310" s="8"/>
      <c r="G2310" s="8"/>
      <c r="H2310" s="8"/>
    </row>
    <row r="2311" spans="1:8">
      <c r="A2311" s="6" t="s">
        <v>226</v>
      </c>
      <c r="B2311" s="7" t="s">
        <v>60</v>
      </c>
      <c r="C2311" s="7" t="s">
        <v>60</v>
      </c>
      <c r="D2311" s="7" t="s">
        <v>1693</v>
      </c>
      <c r="E2311" s="6" t="s">
        <v>1694</v>
      </c>
      <c r="F2311" s="8"/>
      <c r="G2311" s="8"/>
      <c r="H2311" s="8"/>
    </row>
    <row r="2312" spans="1:8">
      <c r="A2312" s="6" t="s">
        <v>226</v>
      </c>
      <c r="B2312" s="7" t="s">
        <v>60</v>
      </c>
      <c r="C2312" s="7" t="s">
        <v>60</v>
      </c>
      <c r="D2312" s="7" t="s">
        <v>1705</v>
      </c>
      <c r="E2312" s="6" t="s">
        <v>1706</v>
      </c>
      <c r="F2312" s="8"/>
      <c r="G2312" s="8"/>
      <c r="H2312" s="8"/>
    </row>
    <row r="2313" spans="1:8">
      <c r="A2313" s="6" t="s">
        <v>226</v>
      </c>
      <c r="B2313" s="7" t="s">
        <v>898</v>
      </c>
      <c r="C2313" s="7" t="s">
        <v>898</v>
      </c>
      <c r="D2313" s="7" t="s">
        <v>1897</v>
      </c>
      <c r="E2313" s="6" t="s">
        <v>1898</v>
      </c>
      <c r="F2313" s="8"/>
      <c r="G2313" s="8"/>
      <c r="H2313" s="8"/>
    </row>
    <row r="2314" spans="1:8">
      <c r="A2314" s="6" t="s">
        <v>226</v>
      </c>
      <c r="B2314" s="7" t="s">
        <v>60</v>
      </c>
      <c r="C2314" s="7" t="s">
        <v>60</v>
      </c>
      <c r="D2314" s="7" t="s">
        <v>1925</v>
      </c>
      <c r="E2314" s="6" t="s">
        <v>1926</v>
      </c>
      <c r="F2314" s="8"/>
      <c r="G2314" s="8"/>
      <c r="H2314" s="8"/>
    </row>
    <row r="2315" spans="1:8">
      <c r="A2315" s="6" t="s">
        <v>226</v>
      </c>
      <c r="B2315" s="7" t="s">
        <v>898</v>
      </c>
      <c r="C2315" s="7" t="s">
        <v>898</v>
      </c>
      <c r="D2315" s="7" t="s">
        <v>2391</v>
      </c>
      <c r="E2315" s="6" t="s">
        <v>2392</v>
      </c>
      <c r="F2315" s="8" t="s">
        <v>6943</v>
      </c>
      <c r="G2315" s="8" t="s">
        <v>6929</v>
      </c>
      <c r="H2315" s="8" t="s">
        <v>6962</v>
      </c>
    </row>
    <row r="2316" spans="1:8">
      <c r="A2316" s="6" t="s">
        <v>226</v>
      </c>
      <c r="B2316" s="7" t="s">
        <v>898</v>
      </c>
      <c r="C2316" s="7" t="s">
        <v>898</v>
      </c>
      <c r="D2316" s="7" t="s">
        <v>2393</v>
      </c>
      <c r="E2316" s="6" t="s">
        <v>2394</v>
      </c>
      <c r="F2316" s="8"/>
      <c r="G2316" s="8"/>
      <c r="H2316" s="8"/>
    </row>
    <row r="2317" spans="1:8">
      <c r="A2317" s="6" t="s">
        <v>226</v>
      </c>
      <c r="B2317" s="7" t="s">
        <v>898</v>
      </c>
      <c r="C2317" s="7" t="s">
        <v>898</v>
      </c>
      <c r="D2317" s="7" t="s">
        <v>2395</v>
      </c>
      <c r="E2317" s="6" t="s">
        <v>2396</v>
      </c>
      <c r="F2317" s="8"/>
      <c r="G2317" s="8"/>
      <c r="H2317" s="8"/>
    </row>
    <row r="2318" spans="1:8">
      <c r="A2318" s="6" t="s">
        <v>226</v>
      </c>
      <c r="B2318" s="7" t="s">
        <v>2397</v>
      </c>
      <c r="C2318" s="7" t="s">
        <v>2397</v>
      </c>
      <c r="D2318" s="7" t="s">
        <v>2398</v>
      </c>
      <c r="E2318" s="6" t="s">
        <v>2399</v>
      </c>
      <c r="F2318" s="8"/>
      <c r="G2318" s="8"/>
      <c r="H2318" s="8"/>
    </row>
    <row r="2319" spans="1:8">
      <c r="A2319" s="6" t="s">
        <v>226</v>
      </c>
      <c r="B2319" s="7" t="s">
        <v>898</v>
      </c>
      <c r="C2319" s="7" t="s">
        <v>898</v>
      </c>
      <c r="D2319" s="7" t="s">
        <v>2400</v>
      </c>
      <c r="E2319" s="6" t="s">
        <v>2401</v>
      </c>
      <c r="F2319" s="8"/>
      <c r="G2319" s="8"/>
      <c r="H2319" s="8"/>
    </row>
    <row r="2320" spans="1:8">
      <c r="A2320" s="6" t="s">
        <v>226</v>
      </c>
      <c r="B2320" s="7" t="s">
        <v>60</v>
      </c>
      <c r="C2320" s="7" t="s">
        <v>60</v>
      </c>
      <c r="D2320" s="7" t="s">
        <v>2402</v>
      </c>
      <c r="E2320" s="6" t="s">
        <v>2403</v>
      </c>
      <c r="F2320" s="8"/>
      <c r="G2320" s="8"/>
      <c r="H2320" s="8"/>
    </row>
    <row r="2321" spans="1:8">
      <c r="A2321" s="6" t="s">
        <v>226</v>
      </c>
      <c r="B2321" s="7" t="s">
        <v>60</v>
      </c>
      <c r="C2321" s="7" t="s">
        <v>60</v>
      </c>
      <c r="D2321" s="7" t="s">
        <v>2404</v>
      </c>
      <c r="E2321" s="6" t="s">
        <v>2405</v>
      </c>
      <c r="F2321" s="8"/>
      <c r="G2321" s="8"/>
      <c r="H2321" s="8"/>
    </row>
    <row r="2322" spans="1:8">
      <c r="A2322" s="6" t="s">
        <v>226</v>
      </c>
      <c r="B2322" s="7" t="s">
        <v>2397</v>
      </c>
      <c r="C2322" s="7" t="s">
        <v>2397</v>
      </c>
      <c r="D2322" s="7" t="s">
        <v>2406</v>
      </c>
      <c r="E2322" s="6" t="s">
        <v>2407</v>
      </c>
      <c r="F2322" s="8"/>
      <c r="G2322" s="8"/>
      <c r="H2322" s="8"/>
    </row>
    <row r="2323" spans="1:8">
      <c r="A2323" s="6" t="s">
        <v>226</v>
      </c>
      <c r="B2323" s="7" t="s">
        <v>2408</v>
      </c>
      <c r="C2323" s="7" t="s">
        <v>2408</v>
      </c>
      <c r="D2323" s="7" t="s">
        <v>2409</v>
      </c>
      <c r="E2323" s="6" t="s">
        <v>2410</v>
      </c>
      <c r="F2323" s="8"/>
      <c r="G2323" s="8"/>
      <c r="H2323" s="8"/>
    </row>
    <row r="2324" spans="1:8">
      <c r="A2324" s="6" t="s">
        <v>226</v>
      </c>
      <c r="B2324" s="7" t="s">
        <v>2397</v>
      </c>
      <c r="C2324" s="7" t="s">
        <v>2397</v>
      </c>
      <c r="D2324" s="7" t="s">
        <v>2411</v>
      </c>
      <c r="E2324" s="6" t="s">
        <v>2412</v>
      </c>
      <c r="F2324" s="8"/>
      <c r="G2324" s="8"/>
      <c r="H2324" s="8"/>
    </row>
    <row r="2325" spans="1:8">
      <c r="A2325" s="6" t="s">
        <v>2301</v>
      </c>
      <c r="B2325" s="7" t="s">
        <v>2302</v>
      </c>
      <c r="C2325" s="7" t="s">
        <v>2303</v>
      </c>
      <c r="D2325" s="7" t="s">
        <v>2304</v>
      </c>
      <c r="E2325" s="6" t="s">
        <v>2305</v>
      </c>
      <c r="F2325" s="8"/>
      <c r="G2325" s="8"/>
      <c r="H2325" s="8"/>
    </row>
    <row r="2326" spans="1:8">
      <c r="A2326" s="6" t="s">
        <v>2301</v>
      </c>
      <c r="B2326" s="7" t="s">
        <v>1649</v>
      </c>
      <c r="C2326" s="7" t="s">
        <v>69</v>
      </c>
      <c r="D2326" s="7" t="s">
        <v>2306</v>
      </c>
      <c r="E2326" s="6" t="s">
        <v>2307</v>
      </c>
      <c r="F2326" s="8"/>
      <c r="G2326" s="8"/>
      <c r="H2326" s="8"/>
    </row>
    <row r="2327" spans="1:8">
      <c r="A2327" s="6" t="s">
        <v>2301</v>
      </c>
      <c r="B2327" s="7" t="s">
        <v>1649</v>
      </c>
      <c r="C2327" s="7" t="s">
        <v>69</v>
      </c>
      <c r="D2327" s="7" t="s">
        <v>2308</v>
      </c>
      <c r="E2327" s="6" t="s">
        <v>2309</v>
      </c>
      <c r="F2327" s="8"/>
      <c r="G2327" s="8"/>
      <c r="H2327" s="8"/>
    </row>
    <row r="2328" spans="1:8">
      <c r="A2328" s="6" t="s">
        <v>361</v>
      </c>
      <c r="B2328" s="7" t="s">
        <v>149</v>
      </c>
      <c r="C2328" s="7" t="s">
        <v>362</v>
      </c>
      <c r="D2328" s="7" t="s">
        <v>363</v>
      </c>
      <c r="E2328" s="6" t="s">
        <v>364</v>
      </c>
      <c r="F2328" s="8"/>
      <c r="G2328" s="8"/>
      <c r="H2328" s="8"/>
    </row>
    <row r="2329" spans="1:8">
      <c r="A2329" s="6" t="s">
        <v>361</v>
      </c>
      <c r="B2329" s="7" t="s">
        <v>410</v>
      </c>
      <c r="C2329" s="7" t="s">
        <v>411</v>
      </c>
      <c r="D2329" s="7" t="s">
        <v>412</v>
      </c>
      <c r="E2329" s="6" t="s">
        <v>413</v>
      </c>
      <c r="F2329" s="8" t="s">
        <v>7150</v>
      </c>
      <c r="G2329" s="8" t="s">
        <v>7018</v>
      </c>
      <c r="H2329" s="8" t="s">
        <v>7216</v>
      </c>
    </row>
    <row r="2330" spans="1:8">
      <c r="A2330" s="6" t="s">
        <v>361</v>
      </c>
      <c r="B2330" s="7" t="s">
        <v>550</v>
      </c>
      <c r="C2330" s="7" t="s">
        <v>551</v>
      </c>
      <c r="D2330" s="7" t="s">
        <v>552</v>
      </c>
      <c r="E2330" s="6" t="s">
        <v>553</v>
      </c>
      <c r="F2330" s="8"/>
      <c r="G2330" s="8"/>
      <c r="H2330" s="8"/>
    </row>
    <row r="2331" spans="1:8">
      <c r="A2331" s="6" t="s">
        <v>361</v>
      </c>
      <c r="B2331" s="7" t="s">
        <v>411</v>
      </c>
      <c r="C2331" s="7" t="s">
        <v>411</v>
      </c>
      <c r="D2331" s="7" t="s">
        <v>721</v>
      </c>
      <c r="E2331" s="6" t="s">
        <v>722</v>
      </c>
      <c r="F2331" s="8" t="s">
        <v>7021</v>
      </c>
      <c r="G2331" s="8" t="s">
        <v>6953</v>
      </c>
      <c r="H2331" s="8" t="s">
        <v>7233</v>
      </c>
    </row>
    <row r="2332" spans="1:8">
      <c r="A2332" s="6" t="s">
        <v>361</v>
      </c>
      <c r="B2332" s="7" t="s">
        <v>867</v>
      </c>
      <c r="C2332" s="7" t="s">
        <v>868</v>
      </c>
      <c r="D2332" s="7" t="s">
        <v>869</v>
      </c>
      <c r="E2332" s="6" t="s">
        <v>870</v>
      </c>
      <c r="F2332" s="8" t="s">
        <v>6943</v>
      </c>
      <c r="G2332" s="8" t="s">
        <v>6929</v>
      </c>
      <c r="H2332" s="8" t="s">
        <v>6927</v>
      </c>
    </row>
    <row r="2333" spans="1:8">
      <c r="A2333" s="6" t="s">
        <v>361</v>
      </c>
      <c r="B2333" s="7" t="s">
        <v>867</v>
      </c>
      <c r="C2333" s="7" t="s">
        <v>868</v>
      </c>
      <c r="D2333" s="7" t="s">
        <v>871</v>
      </c>
      <c r="E2333" s="6" t="s">
        <v>872</v>
      </c>
      <c r="F2333" s="8"/>
      <c r="G2333" s="8"/>
      <c r="H2333" s="8"/>
    </row>
    <row r="2334" spans="1:8">
      <c r="A2334" s="6" t="s">
        <v>361</v>
      </c>
      <c r="B2334" s="7" t="s">
        <v>9</v>
      </c>
      <c r="C2334" s="7" t="s">
        <v>362</v>
      </c>
      <c r="D2334" s="7" t="s">
        <v>1842</v>
      </c>
      <c r="E2334" s="6" t="s">
        <v>1843</v>
      </c>
      <c r="F2334" s="8"/>
      <c r="G2334" s="8"/>
      <c r="H2334" s="8"/>
    </row>
    <row r="2335" spans="1:8">
      <c r="A2335" s="6" t="s">
        <v>361</v>
      </c>
      <c r="B2335" s="7" t="s">
        <v>9</v>
      </c>
      <c r="C2335" s="7" t="s">
        <v>362</v>
      </c>
      <c r="D2335" s="7" t="s">
        <v>1850</v>
      </c>
      <c r="E2335" s="6" t="s">
        <v>1851</v>
      </c>
      <c r="F2335" s="8"/>
      <c r="G2335" s="8"/>
      <c r="H2335" s="8"/>
    </row>
    <row r="2336" spans="1:8">
      <c r="A2336" s="6" t="s">
        <v>361</v>
      </c>
      <c r="B2336" s="7" t="s">
        <v>9</v>
      </c>
      <c r="C2336" s="7" t="s">
        <v>551</v>
      </c>
      <c r="D2336" s="7" t="s">
        <v>1952</v>
      </c>
      <c r="E2336" s="6" t="s">
        <v>1953</v>
      </c>
      <c r="F2336" s="8"/>
      <c r="G2336" s="8"/>
      <c r="H2336" s="8"/>
    </row>
    <row r="2337" spans="1:8">
      <c r="A2337" s="6" t="s">
        <v>361</v>
      </c>
      <c r="B2337" s="7" t="s">
        <v>9</v>
      </c>
      <c r="C2337" s="7" t="s">
        <v>551</v>
      </c>
      <c r="D2337" s="7" t="s">
        <v>1954</v>
      </c>
      <c r="E2337" s="6" t="s">
        <v>369</v>
      </c>
      <c r="F2337" s="8" t="s">
        <v>6939</v>
      </c>
      <c r="G2337" s="8" t="s">
        <v>6929</v>
      </c>
      <c r="H2337" s="8" t="s">
        <v>7088</v>
      </c>
    </row>
    <row r="2338" spans="1:8">
      <c r="A2338" s="6" t="s">
        <v>361</v>
      </c>
      <c r="B2338" s="7" t="s">
        <v>9</v>
      </c>
      <c r="C2338" s="7" t="s">
        <v>551</v>
      </c>
      <c r="D2338" s="7" t="s">
        <v>1955</v>
      </c>
      <c r="E2338" s="6" t="s">
        <v>1893</v>
      </c>
      <c r="F2338" s="8"/>
      <c r="G2338" s="8"/>
      <c r="H2338" s="8"/>
    </row>
    <row r="2339" spans="1:8">
      <c r="A2339" s="6" t="s">
        <v>361</v>
      </c>
      <c r="B2339" s="7" t="s">
        <v>9</v>
      </c>
      <c r="C2339" s="7" t="s">
        <v>551</v>
      </c>
      <c r="D2339" s="7" t="s">
        <v>1956</v>
      </c>
      <c r="E2339" s="6" t="s">
        <v>1957</v>
      </c>
      <c r="F2339" s="8"/>
      <c r="G2339" s="8"/>
      <c r="H2339" s="8"/>
    </row>
    <row r="2340" spans="1:8">
      <c r="A2340" s="6" t="s">
        <v>361</v>
      </c>
      <c r="B2340" s="7" t="s">
        <v>9</v>
      </c>
      <c r="C2340" s="7" t="s">
        <v>411</v>
      </c>
      <c r="D2340" s="7" t="s">
        <v>5281</v>
      </c>
      <c r="E2340" s="6" t="s">
        <v>5282</v>
      </c>
      <c r="F2340" s="8"/>
      <c r="G2340" s="8"/>
      <c r="H2340" s="8"/>
    </row>
    <row r="2341" spans="1:8">
      <c r="A2341" s="6" t="s">
        <v>361</v>
      </c>
      <c r="B2341" s="7" t="s">
        <v>9</v>
      </c>
      <c r="C2341" s="7" t="s">
        <v>100</v>
      </c>
      <c r="D2341" s="7" t="s">
        <v>5283</v>
      </c>
      <c r="E2341" s="6" t="s">
        <v>727</v>
      </c>
      <c r="F2341" s="8"/>
      <c r="G2341" s="8"/>
      <c r="H2341" s="8"/>
    </row>
    <row r="2342" spans="1:8">
      <c r="A2342" s="6" t="s">
        <v>361</v>
      </c>
      <c r="B2342" s="7" t="s">
        <v>9</v>
      </c>
      <c r="C2342" s="7" t="s">
        <v>100</v>
      </c>
      <c r="D2342" s="7" t="s">
        <v>5284</v>
      </c>
      <c r="E2342" s="6" t="s">
        <v>5285</v>
      </c>
      <c r="F2342" s="8"/>
      <c r="G2342" s="8"/>
      <c r="H2342" s="8"/>
    </row>
    <row r="2343" spans="1:8">
      <c r="A2343" s="6" t="s">
        <v>361</v>
      </c>
      <c r="B2343" s="7" t="s">
        <v>9</v>
      </c>
      <c r="C2343" s="7" t="s">
        <v>100</v>
      </c>
      <c r="D2343" s="7" t="s">
        <v>5286</v>
      </c>
      <c r="E2343" s="6" t="s">
        <v>5287</v>
      </c>
      <c r="F2343" s="8"/>
      <c r="G2343" s="8"/>
      <c r="H2343" s="8"/>
    </row>
    <row r="2344" spans="1:8">
      <c r="A2344" s="6" t="s">
        <v>361</v>
      </c>
      <c r="B2344" s="7" t="s">
        <v>9</v>
      </c>
      <c r="C2344" s="7" t="s">
        <v>362</v>
      </c>
      <c r="D2344" s="7" t="s">
        <v>5288</v>
      </c>
      <c r="E2344" s="6" t="s">
        <v>5289</v>
      </c>
      <c r="F2344" s="8" t="s">
        <v>6943</v>
      </c>
      <c r="G2344" s="8" t="s">
        <v>6929</v>
      </c>
      <c r="H2344" s="8" t="s">
        <v>6967</v>
      </c>
    </row>
    <row r="2345" spans="1:8">
      <c r="A2345" s="6" t="s">
        <v>1334</v>
      </c>
      <c r="B2345" s="7" t="s">
        <v>1335</v>
      </c>
      <c r="C2345" s="7" t="s">
        <v>1335</v>
      </c>
      <c r="D2345" s="7" t="s">
        <v>1336</v>
      </c>
      <c r="E2345" s="6" t="s">
        <v>1337</v>
      </c>
      <c r="F2345" s="8"/>
      <c r="G2345" s="8"/>
      <c r="H2345" s="8"/>
    </row>
    <row r="2346" spans="1:8">
      <c r="A2346" s="6" t="s">
        <v>3890</v>
      </c>
      <c r="B2346" s="7" t="s">
        <v>1319</v>
      </c>
      <c r="C2346" s="7" t="s">
        <v>1319</v>
      </c>
      <c r="D2346" s="7" t="s">
        <v>3891</v>
      </c>
      <c r="E2346" s="6" t="s">
        <v>3892</v>
      </c>
      <c r="F2346" s="8"/>
      <c r="G2346" s="8"/>
      <c r="H2346" s="8"/>
    </row>
    <row r="2347" spans="1:8">
      <c r="A2347" s="6" t="s">
        <v>3890</v>
      </c>
      <c r="B2347" s="7" t="s">
        <v>1319</v>
      </c>
      <c r="C2347" s="7" t="s">
        <v>9</v>
      </c>
      <c r="D2347" s="7" t="s">
        <v>3893</v>
      </c>
      <c r="E2347" s="6" t="s">
        <v>3894</v>
      </c>
      <c r="F2347" s="8"/>
      <c r="G2347" s="8"/>
      <c r="H2347" s="8"/>
    </row>
    <row r="2348" spans="1:8">
      <c r="A2348" s="6" t="s">
        <v>3890</v>
      </c>
      <c r="B2348" s="7" t="s">
        <v>1319</v>
      </c>
      <c r="C2348" s="7" t="s">
        <v>1319</v>
      </c>
      <c r="D2348" s="7" t="s">
        <v>3895</v>
      </c>
      <c r="E2348" s="6" t="s">
        <v>3896</v>
      </c>
      <c r="F2348" s="8"/>
      <c r="G2348" s="8"/>
      <c r="H2348" s="8"/>
    </row>
    <row r="2349" spans="1:8">
      <c r="A2349" s="6" t="s">
        <v>200</v>
      </c>
      <c r="B2349" s="7" t="s">
        <v>201</v>
      </c>
      <c r="C2349" s="7" t="s">
        <v>202</v>
      </c>
      <c r="D2349" s="7" t="s">
        <v>203</v>
      </c>
      <c r="E2349" s="6" t="s">
        <v>204</v>
      </c>
      <c r="F2349" s="8"/>
      <c r="G2349" s="8"/>
      <c r="H2349" s="8"/>
    </row>
    <row r="2350" spans="1:8">
      <c r="A2350" s="6" t="s">
        <v>200</v>
      </c>
      <c r="B2350" s="7" t="s">
        <v>5092</v>
      </c>
      <c r="C2350" s="7" t="s">
        <v>202</v>
      </c>
      <c r="D2350" s="7" t="s">
        <v>5093</v>
      </c>
      <c r="E2350" s="6" t="s">
        <v>5094</v>
      </c>
      <c r="F2350" s="8"/>
      <c r="G2350" s="8"/>
      <c r="H2350" s="8"/>
    </row>
    <row r="2351" spans="1:8">
      <c r="A2351" s="6" t="s">
        <v>200</v>
      </c>
      <c r="B2351" s="7" t="s">
        <v>3075</v>
      </c>
      <c r="C2351" s="7" t="s">
        <v>5095</v>
      </c>
      <c r="D2351" s="7" t="s">
        <v>5096</v>
      </c>
      <c r="E2351" s="6" t="s">
        <v>62</v>
      </c>
      <c r="F2351" s="8"/>
      <c r="G2351" s="8"/>
      <c r="H2351" s="8"/>
    </row>
    <row r="2352" spans="1:8">
      <c r="A2352" s="6" t="s">
        <v>200</v>
      </c>
      <c r="B2352" s="7" t="s">
        <v>201</v>
      </c>
      <c r="C2352" s="7" t="s">
        <v>202</v>
      </c>
      <c r="D2352" s="7" t="s">
        <v>5097</v>
      </c>
      <c r="E2352" s="6" t="s">
        <v>5098</v>
      </c>
      <c r="F2352" s="8"/>
      <c r="G2352" s="8"/>
      <c r="H2352" s="8"/>
    </row>
    <row r="2353" spans="1:8">
      <c r="A2353" s="6" t="s">
        <v>51</v>
      </c>
      <c r="B2353" s="7" t="s">
        <v>52</v>
      </c>
      <c r="C2353" s="7" t="s">
        <v>52</v>
      </c>
      <c r="D2353" s="7" t="s">
        <v>53</v>
      </c>
      <c r="E2353" s="6" t="s">
        <v>54</v>
      </c>
      <c r="F2353" s="8"/>
      <c r="G2353" s="8"/>
      <c r="H2353" s="8"/>
    </row>
    <row r="2354" spans="1:8">
      <c r="A2354" s="6" t="s">
        <v>51</v>
      </c>
      <c r="B2354" s="7" t="s">
        <v>96</v>
      </c>
      <c r="C2354" s="7" t="s">
        <v>96</v>
      </c>
      <c r="D2354" s="7" t="s">
        <v>97</v>
      </c>
      <c r="E2354" s="6" t="s">
        <v>98</v>
      </c>
      <c r="F2354" s="8"/>
      <c r="G2354" s="8"/>
      <c r="H2354" s="8"/>
    </row>
    <row r="2355" spans="1:8">
      <c r="A2355" s="6" t="s">
        <v>51</v>
      </c>
      <c r="B2355" s="7" t="s">
        <v>278</v>
      </c>
      <c r="C2355" s="7" t="s">
        <v>278</v>
      </c>
      <c r="D2355" s="7" t="s">
        <v>279</v>
      </c>
      <c r="E2355" s="6" t="s">
        <v>280</v>
      </c>
      <c r="F2355" s="8"/>
      <c r="G2355" s="8"/>
      <c r="H2355" s="8"/>
    </row>
    <row r="2356" spans="1:8">
      <c r="A2356" s="6" t="s">
        <v>51</v>
      </c>
      <c r="B2356" s="7" t="s">
        <v>350</v>
      </c>
      <c r="C2356" s="7" t="s">
        <v>350</v>
      </c>
      <c r="D2356" s="7" t="s">
        <v>351</v>
      </c>
      <c r="E2356" s="6" t="s">
        <v>352</v>
      </c>
      <c r="F2356" s="8"/>
      <c r="G2356" s="8"/>
      <c r="H2356" s="8"/>
    </row>
    <row r="2357" spans="1:8">
      <c r="A2357" s="6" t="s">
        <v>51</v>
      </c>
      <c r="B2357" s="7" t="s">
        <v>350</v>
      </c>
      <c r="C2357" s="7" t="s">
        <v>350</v>
      </c>
      <c r="D2357" s="7" t="s">
        <v>353</v>
      </c>
      <c r="E2357" s="6" t="s">
        <v>354</v>
      </c>
      <c r="F2357" s="8" t="s">
        <v>6955</v>
      </c>
      <c r="G2357" s="8" t="s">
        <v>6929</v>
      </c>
      <c r="H2357" s="8" t="s">
        <v>7235</v>
      </c>
    </row>
    <row r="2358" spans="1:8">
      <c r="A2358" s="6" t="s">
        <v>51</v>
      </c>
      <c r="B2358" s="7" t="s">
        <v>149</v>
      </c>
      <c r="C2358" s="7" t="s">
        <v>149</v>
      </c>
      <c r="D2358" s="7" t="s">
        <v>370</v>
      </c>
      <c r="E2358" s="6" t="s">
        <v>371</v>
      </c>
      <c r="F2358" s="8"/>
      <c r="G2358" s="8"/>
      <c r="H2358" s="8"/>
    </row>
    <row r="2359" spans="1:8">
      <c r="A2359" s="6" t="s">
        <v>51</v>
      </c>
      <c r="B2359" s="7" t="s">
        <v>278</v>
      </c>
      <c r="C2359" s="7" t="s">
        <v>278</v>
      </c>
      <c r="D2359" s="7" t="s">
        <v>408</v>
      </c>
      <c r="E2359" s="6" t="s">
        <v>409</v>
      </c>
      <c r="F2359" s="8" t="s">
        <v>6931</v>
      </c>
      <c r="G2359" s="8" t="s">
        <v>7011</v>
      </c>
      <c r="H2359" s="8" t="s">
        <v>7169</v>
      </c>
    </row>
    <row r="2360" spans="1:8">
      <c r="A2360" s="6" t="s">
        <v>51</v>
      </c>
      <c r="B2360" s="7" t="s">
        <v>278</v>
      </c>
      <c r="C2360" s="7" t="s">
        <v>278</v>
      </c>
      <c r="D2360" s="7" t="s">
        <v>432</v>
      </c>
      <c r="E2360" s="6" t="s">
        <v>433</v>
      </c>
      <c r="F2360" s="8"/>
      <c r="G2360" s="8"/>
      <c r="H2360" s="8"/>
    </row>
    <row r="2361" spans="1:8">
      <c r="A2361" s="6" t="s">
        <v>51</v>
      </c>
      <c r="B2361" s="7" t="s">
        <v>149</v>
      </c>
      <c r="C2361" s="7" t="s">
        <v>149</v>
      </c>
      <c r="D2361" s="7" t="s">
        <v>461</v>
      </c>
      <c r="E2361" s="6" t="s">
        <v>462</v>
      </c>
      <c r="F2361" s="8" t="s">
        <v>7021</v>
      </c>
      <c r="G2361" s="8" t="s">
        <v>6953</v>
      </c>
      <c r="H2361" s="8" t="s">
        <v>7236</v>
      </c>
    </row>
    <row r="2362" spans="1:8">
      <c r="A2362" s="6" t="s">
        <v>51</v>
      </c>
      <c r="B2362" s="7" t="s">
        <v>149</v>
      </c>
      <c r="C2362" s="7" t="s">
        <v>149</v>
      </c>
      <c r="D2362" s="7" t="s">
        <v>463</v>
      </c>
      <c r="E2362" s="6" t="s">
        <v>464</v>
      </c>
      <c r="F2362" s="8"/>
      <c r="G2362" s="8"/>
      <c r="H2362" s="8"/>
    </row>
    <row r="2363" spans="1:8">
      <c r="A2363" s="6" t="s">
        <v>51</v>
      </c>
      <c r="B2363" s="7" t="s">
        <v>149</v>
      </c>
      <c r="C2363" s="7" t="s">
        <v>149</v>
      </c>
      <c r="D2363" s="7" t="s">
        <v>465</v>
      </c>
      <c r="E2363" s="6" t="s">
        <v>466</v>
      </c>
      <c r="F2363" s="8"/>
      <c r="G2363" s="8"/>
      <c r="H2363" s="8"/>
    </row>
    <row r="2364" spans="1:8">
      <c r="A2364" s="6" t="s">
        <v>51</v>
      </c>
      <c r="B2364" s="7" t="s">
        <v>149</v>
      </c>
      <c r="C2364" s="7" t="s">
        <v>149</v>
      </c>
      <c r="D2364" s="7" t="s">
        <v>467</v>
      </c>
      <c r="E2364" s="6" t="s">
        <v>468</v>
      </c>
      <c r="F2364" s="8" t="s">
        <v>7021</v>
      </c>
      <c r="G2364" s="8" t="s">
        <v>6953</v>
      </c>
      <c r="H2364" s="8" t="s">
        <v>7236</v>
      </c>
    </row>
    <row r="2365" spans="1:8">
      <c r="A2365" s="6" t="s">
        <v>51</v>
      </c>
      <c r="B2365" s="7" t="s">
        <v>149</v>
      </c>
      <c r="C2365" s="7" t="s">
        <v>149</v>
      </c>
      <c r="D2365" s="7" t="s">
        <v>469</v>
      </c>
      <c r="E2365" s="6" t="s">
        <v>470</v>
      </c>
      <c r="F2365" s="8" t="s">
        <v>7021</v>
      </c>
      <c r="G2365" s="8" t="s">
        <v>6953</v>
      </c>
      <c r="H2365" s="8" t="s">
        <v>7236</v>
      </c>
    </row>
    <row r="2366" spans="1:8">
      <c r="A2366" s="6" t="s">
        <v>51</v>
      </c>
      <c r="B2366" s="7" t="s">
        <v>149</v>
      </c>
      <c r="C2366" s="7" t="s">
        <v>149</v>
      </c>
      <c r="D2366" s="7" t="s">
        <v>471</v>
      </c>
      <c r="E2366" s="6" t="s">
        <v>472</v>
      </c>
      <c r="F2366" s="8" t="s">
        <v>7021</v>
      </c>
      <c r="G2366" s="8" t="s">
        <v>6953</v>
      </c>
      <c r="H2366" s="8" t="s">
        <v>7236</v>
      </c>
    </row>
    <row r="2367" spans="1:8">
      <c r="A2367" s="6" t="s">
        <v>51</v>
      </c>
      <c r="B2367" s="7" t="s">
        <v>491</v>
      </c>
      <c r="C2367" s="7" t="s">
        <v>491</v>
      </c>
      <c r="D2367" s="7" t="s">
        <v>492</v>
      </c>
      <c r="E2367" s="6" t="s">
        <v>222</v>
      </c>
      <c r="F2367" s="8"/>
      <c r="G2367" s="8"/>
      <c r="H2367" s="8"/>
    </row>
    <row r="2368" spans="1:8">
      <c r="A2368" s="6" t="s">
        <v>51</v>
      </c>
      <c r="B2368" s="7" t="s">
        <v>620</v>
      </c>
      <c r="C2368" s="7" t="s">
        <v>491</v>
      </c>
      <c r="D2368" s="7" t="s">
        <v>621</v>
      </c>
      <c r="E2368" s="6" t="s">
        <v>622</v>
      </c>
      <c r="F2368" s="8"/>
      <c r="G2368" s="8"/>
      <c r="H2368" s="8"/>
    </row>
    <row r="2369" spans="1:8">
      <c r="A2369" s="6" t="s">
        <v>51</v>
      </c>
      <c r="B2369" s="7" t="s">
        <v>647</v>
      </c>
      <c r="C2369" s="7" t="s">
        <v>647</v>
      </c>
      <c r="D2369" s="7" t="s">
        <v>648</v>
      </c>
      <c r="E2369" s="6" t="s">
        <v>649</v>
      </c>
      <c r="F2369" s="8"/>
      <c r="G2369" s="8"/>
      <c r="H2369" s="8"/>
    </row>
    <row r="2370" spans="1:8">
      <c r="A2370" s="6" t="s">
        <v>51</v>
      </c>
      <c r="B2370" s="7" t="s">
        <v>647</v>
      </c>
      <c r="C2370" s="7" t="s">
        <v>647</v>
      </c>
      <c r="D2370" s="7" t="s">
        <v>716</v>
      </c>
      <c r="E2370" s="6" t="s">
        <v>717</v>
      </c>
      <c r="F2370" s="8"/>
      <c r="G2370" s="8"/>
      <c r="H2370" s="8"/>
    </row>
    <row r="2371" spans="1:8">
      <c r="A2371" s="6" t="s">
        <v>51</v>
      </c>
      <c r="B2371" s="7" t="s">
        <v>78</v>
      </c>
      <c r="C2371" s="7" t="s">
        <v>78</v>
      </c>
      <c r="D2371" s="7" t="s">
        <v>824</v>
      </c>
      <c r="E2371" s="6" t="s">
        <v>825</v>
      </c>
      <c r="F2371" s="8"/>
      <c r="G2371" s="8"/>
      <c r="H2371" s="8"/>
    </row>
    <row r="2372" spans="1:8">
      <c r="A2372" s="6" t="s">
        <v>51</v>
      </c>
      <c r="B2372" s="7" t="s">
        <v>458</v>
      </c>
      <c r="C2372" s="7" t="s">
        <v>1041</v>
      </c>
      <c r="D2372" s="7" t="s">
        <v>1042</v>
      </c>
      <c r="E2372" s="6" t="s">
        <v>1043</v>
      </c>
      <c r="F2372" s="8"/>
      <c r="G2372" s="8"/>
      <c r="H2372" s="8"/>
    </row>
    <row r="2373" spans="1:8">
      <c r="A2373" s="6" t="s">
        <v>51</v>
      </c>
      <c r="B2373" s="7" t="s">
        <v>898</v>
      </c>
      <c r="C2373" s="7" t="s">
        <v>898</v>
      </c>
      <c r="D2373" s="7" t="s">
        <v>1265</v>
      </c>
      <c r="E2373" s="6" t="s">
        <v>1266</v>
      </c>
      <c r="F2373" s="8"/>
      <c r="G2373" s="8"/>
      <c r="H2373" s="8"/>
    </row>
    <row r="2374" spans="1:8">
      <c r="A2374" s="6" t="s">
        <v>51</v>
      </c>
      <c r="B2374" s="7" t="s">
        <v>1308</v>
      </c>
      <c r="C2374" s="7" t="s">
        <v>1308</v>
      </c>
      <c r="D2374" s="7" t="s">
        <v>1309</v>
      </c>
      <c r="E2374" s="6" t="s">
        <v>1310</v>
      </c>
      <c r="F2374" s="8"/>
      <c r="G2374" s="8"/>
      <c r="H2374" s="8"/>
    </row>
    <row r="2375" spans="1:8">
      <c r="A2375" s="6" t="s">
        <v>51</v>
      </c>
      <c r="B2375" s="7" t="s">
        <v>74</v>
      </c>
      <c r="C2375" s="7" t="s">
        <v>74</v>
      </c>
      <c r="D2375" s="7" t="s">
        <v>1326</v>
      </c>
      <c r="E2375" s="6" t="s">
        <v>1327</v>
      </c>
      <c r="F2375" s="8"/>
      <c r="G2375" s="8"/>
      <c r="H2375" s="8"/>
    </row>
    <row r="2376" spans="1:8">
      <c r="A2376" s="6" t="s">
        <v>51</v>
      </c>
      <c r="B2376" s="7" t="s">
        <v>74</v>
      </c>
      <c r="C2376" s="7" t="s">
        <v>74</v>
      </c>
      <c r="D2376" s="7" t="s">
        <v>1328</v>
      </c>
      <c r="E2376" s="6" t="s">
        <v>1329</v>
      </c>
      <c r="F2376" s="8"/>
      <c r="G2376" s="8"/>
      <c r="H2376" s="8"/>
    </row>
    <row r="2377" spans="1:8">
      <c r="A2377" s="6" t="s">
        <v>51</v>
      </c>
      <c r="B2377" s="7" t="s">
        <v>74</v>
      </c>
      <c r="C2377" s="7" t="s">
        <v>146</v>
      </c>
      <c r="D2377" s="7" t="s">
        <v>1330</v>
      </c>
      <c r="E2377" s="6" t="s">
        <v>1331</v>
      </c>
      <c r="F2377" s="8"/>
      <c r="G2377" s="8"/>
      <c r="H2377" s="8"/>
    </row>
    <row r="2378" spans="1:8">
      <c r="A2378" s="6" t="s">
        <v>51</v>
      </c>
      <c r="B2378" s="7" t="s">
        <v>647</v>
      </c>
      <c r="C2378" s="7" t="s">
        <v>647</v>
      </c>
      <c r="D2378" s="7" t="s">
        <v>1350</v>
      </c>
      <c r="E2378" s="6" t="s">
        <v>1351</v>
      </c>
      <c r="F2378" s="8"/>
      <c r="G2378" s="8"/>
      <c r="H2378" s="8"/>
    </row>
    <row r="2379" spans="1:8">
      <c r="A2379" s="6" t="s">
        <v>51</v>
      </c>
      <c r="B2379" s="7" t="s">
        <v>78</v>
      </c>
      <c r="C2379" s="7" t="s">
        <v>78</v>
      </c>
      <c r="D2379" s="7" t="s">
        <v>1577</v>
      </c>
      <c r="E2379" s="6" t="s">
        <v>1578</v>
      </c>
      <c r="F2379" s="8"/>
      <c r="G2379" s="8"/>
      <c r="H2379" s="8"/>
    </row>
    <row r="2380" spans="1:8">
      <c r="A2380" s="6" t="s">
        <v>51</v>
      </c>
      <c r="B2380" s="7" t="s">
        <v>78</v>
      </c>
      <c r="C2380" s="7" t="s">
        <v>78</v>
      </c>
      <c r="D2380" s="7" t="s">
        <v>1749</v>
      </c>
      <c r="E2380" s="6" t="s">
        <v>1750</v>
      </c>
      <c r="F2380" s="8"/>
      <c r="G2380" s="8"/>
      <c r="H2380" s="8"/>
    </row>
    <row r="2381" spans="1:8">
      <c r="A2381" s="6" t="s">
        <v>51</v>
      </c>
      <c r="B2381" s="7" t="s">
        <v>898</v>
      </c>
      <c r="C2381" s="7" t="s">
        <v>365</v>
      </c>
      <c r="D2381" s="7" t="s">
        <v>1751</v>
      </c>
      <c r="E2381" s="6" t="s">
        <v>1752</v>
      </c>
      <c r="F2381" s="8"/>
      <c r="G2381" s="8"/>
      <c r="H2381" s="8"/>
    </row>
    <row r="2382" spans="1:8">
      <c r="A2382" s="6" t="s">
        <v>51</v>
      </c>
      <c r="B2382" s="7" t="s">
        <v>898</v>
      </c>
      <c r="C2382" s="7" t="s">
        <v>898</v>
      </c>
      <c r="D2382" s="7" t="s">
        <v>1899</v>
      </c>
      <c r="E2382" s="6" t="s">
        <v>1900</v>
      </c>
      <c r="F2382" s="8" t="s">
        <v>6939</v>
      </c>
      <c r="G2382" s="8" t="s">
        <v>6929</v>
      </c>
      <c r="H2382" s="8" t="s">
        <v>6967</v>
      </c>
    </row>
    <row r="2383" spans="1:8">
      <c r="A2383" s="6" t="s">
        <v>51</v>
      </c>
      <c r="B2383" s="7" t="s">
        <v>898</v>
      </c>
      <c r="C2383" s="7" t="s">
        <v>898</v>
      </c>
      <c r="D2383" s="7" t="s">
        <v>1907</v>
      </c>
      <c r="E2383" s="6" t="s">
        <v>1908</v>
      </c>
      <c r="F2383" s="8" t="s">
        <v>6939</v>
      </c>
      <c r="G2383" s="8" t="s">
        <v>6929</v>
      </c>
      <c r="H2383" s="8" t="s">
        <v>6967</v>
      </c>
    </row>
    <row r="2384" spans="1:8">
      <c r="A2384" s="6" t="s">
        <v>51</v>
      </c>
      <c r="B2384" s="7" t="s">
        <v>350</v>
      </c>
      <c r="C2384" s="7" t="s">
        <v>350</v>
      </c>
      <c r="D2384" s="7" t="s">
        <v>1933</v>
      </c>
      <c r="E2384" s="6" t="s">
        <v>1934</v>
      </c>
      <c r="F2384" s="8"/>
      <c r="G2384" s="8"/>
      <c r="H2384" s="8"/>
    </row>
    <row r="2385" spans="1:8">
      <c r="A2385" s="6" t="s">
        <v>51</v>
      </c>
      <c r="B2385" s="7" t="s">
        <v>5441</v>
      </c>
      <c r="C2385" s="7" t="s">
        <v>5441</v>
      </c>
      <c r="D2385" s="7" t="s">
        <v>5442</v>
      </c>
      <c r="E2385" s="6" t="s">
        <v>5443</v>
      </c>
      <c r="F2385" s="8"/>
      <c r="G2385" s="8"/>
      <c r="H2385" s="8"/>
    </row>
    <row r="2386" spans="1:8">
      <c r="A2386" s="6" t="s">
        <v>51</v>
      </c>
      <c r="B2386" s="7" t="s">
        <v>5444</v>
      </c>
      <c r="C2386" s="7" t="s">
        <v>5444</v>
      </c>
      <c r="D2386" s="7" t="s">
        <v>5445</v>
      </c>
      <c r="E2386" s="6" t="s">
        <v>5446</v>
      </c>
      <c r="F2386" s="8"/>
      <c r="G2386" s="8"/>
      <c r="H2386" s="8"/>
    </row>
    <row r="2387" spans="1:8">
      <c r="A2387" s="6" t="s">
        <v>51</v>
      </c>
      <c r="B2387" s="7" t="s">
        <v>5447</v>
      </c>
      <c r="C2387" s="7" t="s">
        <v>5447</v>
      </c>
      <c r="D2387" s="7" t="s">
        <v>5448</v>
      </c>
      <c r="E2387" s="6" t="s">
        <v>5449</v>
      </c>
      <c r="F2387" s="8"/>
      <c r="G2387" s="8"/>
      <c r="H2387" s="8"/>
    </row>
    <row r="2388" spans="1:8">
      <c r="A2388" s="6" t="s">
        <v>51</v>
      </c>
      <c r="B2388" s="7" t="s">
        <v>898</v>
      </c>
      <c r="C2388" s="7" t="s">
        <v>898</v>
      </c>
      <c r="D2388" s="7" t="s">
        <v>5454</v>
      </c>
      <c r="E2388" s="6" t="s">
        <v>5455</v>
      </c>
      <c r="F2388" s="8"/>
      <c r="G2388" s="8"/>
      <c r="H2388" s="8"/>
    </row>
    <row r="2389" spans="1:8">
      <c r="A2389" s="6" t="s">
        <v>51</v>
      </c>
      <c r="B2389" s="7" t="s">
        <v>898</v>
      </c>
      <c r="C2389" s="7" t="s">
        <v>898</v>
      </c>
      <c r="D2389" s="7" t="s">
        <v>5456</v>
      </c>
      <c r="E2389" s="6" t="s">
        <v>5457</v>
      </c>
      <c r="F2389" s="8"/>
      <c r="G2389" s="8"/>
      <c r="H2389" s="8"/>
    </row>
    <row r="2390" spans="1:8">
      <c r="A2390" s="6" t="s">
        <v>51</v>
      </c>
      <c r="B2390" s="7" t="s">
        <v>898</v>
      </c>
      <c r="C2390" s="7" t="s">
        <v>898</v>
      </c>
      <c r="D2390" s="7" t="s">
        <v>5458</v>
      </c>
      <c r="E2390" s="6" t="s">
        <v>5459</v>
      </c>
      <c r="F2390" s="8"/>
      <c r="G2390" s="8"/>
      <c r="H2390" s="8"/>
    </row>
    <row r="2391" spans="1:8">
      <c r="A2391" s="6" t="s">
        <v>51</v>
      </c>
      <c r="B2391" s="7" t="s">
        <v>898</v>
      </c>
      <c r="C2391" s="7" t="s">
        <v>898</v>
      </c>
      <c r="D2391" s="7" t="s">
        <v>5460</v>
      </c>
      <c r="E2391" s="6" t="s">
        <v>5461</v>
      </c>
      <c r="F2391" s="8"/>
      <c r="G2391" s="8"/>
      <c r="H2391" s="8"/>
    </row>
    <row r="2392" spans="1:8">
      <c r="A2392" s="6" t="s">
        <v>51</v>
      </c>
      <c r="B2392" s="7" t="s">
        <v>898</v>
      </c>
      <c r="C2392" s="7" t="s">
        <v>898</v>
      </c>
      <c r="D2392" s="7" t="s">
        <v>5462</v>
      </c>
      <c r="E2392" s="6" t="s">
        <v>5463</v>
      </c>
      <c r="F2392" s="8"/>
      <c r="G2392" s="8"/>
      <c r="H2392" s="8"/>
    </row>
    <row r="2393" spans="1:8">
      <c r="A2393" s="6" t="s">
        <v>51</v>
      </c>
      <c r="B2393" s="7" t="s">
        <v>898</v>
      </c>
      <c r="C2393" s="7" t="s">
        <v>898</v>
      </c>
      <c r="D2393" s="7" t="s">
        <v>5464</v>
      </c>
      <c r="E2393" s="6" t="s">
        <v>5465</v>
      </c>
      <c r="F2393" s="8"/>
      <c r="G2393" s="8"/>
      <c r="H2393" s="8"/>
    </row>
    <row r="2394" spans="1:8">
      <c r="A2394" s="6" t="s">
        <v>51</v>
      </c>
      <c r="B2394" s="7" t="s">
        <v>4716</v>
      </c>
      <c r="C2394" s="7" t="s">
        <v>3037</v>
      </c>
      <c r="D2394" s="7" t="s">
        <v>5466</v>
      </c>
      <c r="E2394" s="6" t="s">
        <v>273</v>
      </c>
      <c r="F2394" s="8"/>
      <c r="G2394" s="8"/>
      <c r="H2394" s="8"/>
    </row>
    <row r="2395" spans="1:8">
      <c r="A2395" s="6" t="s">
        <v>51</v>
      </c>
      <c r="B2395" s="7" t="s">
        <v>3037</v>
      </c>
      <c r="C2395" s="7" t="s">
        <v>3037</v>
      </c>
      <c r="D2395" s="7" t="s">
        <v>5467</v>
      </c>
      <c r="E2395" s="6" t="s">
        <v>3623</v>
      </c>
      <c r="F2395" s="8"/>
      <c r="G2395" s="8"/>
      <c r="H2395" s="8"/>
    </row>
    <row r="2396" spans="1:8">
      <c r="A2396" s="6" t="s">
        <v>51</v>
      </c>
      <c r="B2396" s="7" t="s">
        <v>458</v>
      </c>
      <c r="C2396" s="7" t="s">
        <v>458</v>
      </c>
      <c r="D2396" s="7" t="s">
        <v>5468</v>
      </c>
      <c r="E2396" s="6" t="s">
        <v>5469</v>
      </c>
      <c r="F2396" s="8"/>
      <c r="G2396" s="8"/>
      <c r="H2396" s="8"/>
    </row>
    <row r="2397" spans="1:8">
      <c r="A2397" s="6" t="s">
        <v>51</v>
      </c>
      <c r="B2397" s="7" t="s">
        <v>458</v>
      </c>
      <c r="C2397" s="7" t="s">
        <v>458</v>
      </c>
      <c r="D2397" s="7" t="s">
        <v>5470</v>
      </c>
      <c r="E2397" s="6" t="s">
        <v>5471</v>
      </c>
      <c r="F2397" s="8"/>
      <c r="G2397" s="8"/>
      <c r="H2397" s="8"/>
    </row>
    <row r="2398" spans="1:8">
      <c r="A2398" s="6" t="s">
        <v>51</v>
      </c>
      <c r="B2398" s="7" t="s">
        <v>458</v>
      </c>
      <c r="C2398" s="7" t="s">
        <v>458</v>
      </c>
      <c r="D2398" s="7" t="s">
        <v>5472</v>
      </c>
      <c r="E2398" s="6" t="s">
        <v>5473</v>
      </c>
      <c r="F2398" s="8"/>
      <c r="G2398" s="8"/>
      <c r="H2398" s="8"/>
    </row>
    <row r="2399" spans="1:8">
      <c r="A2399" s="6" t="s">
        <v>51</v>
      </c>
      <c r="B2399" s="7" t="s">
        <v>5474</v>
      </c>
      <c r="C2399" s="7" t="s">
        <v>647</v>
      </c>
      <c r="D2399" s="7" t="s">
        <v>5475</v>
      </c>
      <c r="E2399" s="6" t="s">
        <v>5249</v>
      </c>
      <c r="F2399" s="8"/>
      <c r="G2399" s="8"/>
      <c r="H2399" s="8"/>
    </row>
    <row r="2400" spans="1:8">
      <c r="A2400" s="6" t="s">
        <v>51</v>
      </c>
      <c r="B2400" s="7" t="s">
        <v>5474</v>
      </c>
      <c r="C2400" s="7" t="s">
        <v>647</v>
      </c>
      <c r="D2400" s="7" t="s">
        <v>5476</v>
      </c>
      <c r="E2400" s="6" t="s">
        <v>5477</v>
      </c>
      <c r="F2400" s="8"/>
      <c r="G2400" s="8"/>
      <c r="H2400" s="8"/>
    </row>
    <row r="2401" spans="1:8">
      <c r="A2401" s="6" t="s">
        <v>51</v>
      </c>
      <c r="B2401" s="7" t="s">
        <v>5474</v>
      </c>
      <c r="C2401" s="7" t="s">
        <v>647</v>
      </c>
      <c r="D2401" s="7" t="s">
        <v>5478</v>
      </c>
      <c r="E2401" s="6" t="s">
        <v>5479</v>
      </c>
      <c r="F2401" s="8"/>
      <c r="G2401" s="8"/>
      <c r="H2401" s="8"/>
    </row>
    <row r="2402" spans="1:8">
      <c r="A2402" s="6" t="s">
        <v>51</v>
      </c>
      <c r="B2402" s="7" t="s">
        <v>5474</v>
      </c>
      <c r="C2402" s="7" t="s">
        <v>647</v>
      </c>
      <c r="D2402" s="7" t="s">
        <v>5480</v>
      </c>
      <c r="E2402" s="6" t="s">
        <v>5481</v>
      </c>
      <c r="F2402" s="8"/>
      <c r="G2402" s="8"/>
      <c r="H2402" s="8"/>
    </row>
    <row r="2403" spans="1:8">
      <c r="A2403" s="6" t="s">
        <v>51</v>
      </c>
      <c r="B2403" s="7" t="s">
        <v>5482</v>
      </c>
      <c r="C2403" s="7" t="s">
        <v>3037</v>
      </c>
      <c r="D2403" s="7" t="s">
        <v>5483</v>
      </c>
      <c r="E2403" s="6" t="s">
        <v>5484</v>
      </c>
      <c r="F2403" s="8" t="s">
        <v>6939</v>
      </c>
      <c r="G2403" s="8" t="s">
        <v>6961</v>
      </c>
      <c r="H2403" s="8" t="s">
        <v>6951</v>
      </c>
    </row>
    <row r="2404" spans="1:8">
      <c r="A2404" s="6" t="s">
        <v>51</v>
      </c>
      <c r="B2404" s="7" t="s">
        <v>5482</v>
      </c>
      <c r="C2404" s="7" t="s">
        <v>3037</v>
      </c>
      <c r="D2404" s="7" t="s">
        <v>5485</v>
      </c>
      <c r="E2404" s="6" t="s">
        <v>273</v>
      </c>
      <c r="F2404" s="8" t="s">
        <v>6939</v>
      </c>
      <c r="G2404" s="8" t="s">
        <v>6961</v>
      </c>
      <c r="H2404" s="8" t="s">
        <v>6951</v>
      </c>
    </row>
    <row r="2405" spans="1:8">
      <c r="A2405" s="6" t="s">
        <v>51</v>
      </c>
      <c r="B2405" s="7" t="s">
        <v>5482</v>
      </c>
      <c r="C2405" s="7" t="s">
        <v>3037</v>
      </c>
      <c r="D2405" s="7" t="s">
        <v>5486</v>
      </c>
      <c r="E2405" s="6" t="s">
        <v>3733</v>
      </c>
      <c r="F2405" s="8" t="s">
        <v>6939</v>
      </c>
      <c r="G2405" s="8" t="s">
        <v>6961</v>
      </c>
      <c r="H2405" s="8" t="s">
        <v>6951</v>
      </c>
    </row>
    <row r="2406" spans="1:8">
      <c r="A2406" s="6" t="s">
        <v>51</v>
      </c>
      <c r="B2406" s="7" t="s">
        <v>5482</v>
      </c>
      <c r="C2406" s="7" t="s">
        <v>458</v>
      </c>
      <c r="D2406" s="7" t="s">
        <v>5487</v>
      </c>
      <c r="E2406" s="6" t="s">
        <v>4490</v>
      </c>
      <c r="F2406" s="8" t="s">
        <v>6939</v>
      </c>
      <c r="G2406" s="8" t="s">
        <v>6961</v>
      </c>
      <c r="H2406" s="8" t="s">
        <v>6951</v>
      </c>
    </row>
    <row r="2407" spans="1:8">
      <c r="A2407" s="6" t="s">
        <v>51</v>
      </c>
      <c r="B2407" s="7" t="s">
        <v>2783</v>
      </c>
      <c r="C2407" s="7" t="s">
        <v>3032</v>
      </c>
      <c r="D2407" s="7" t="s">
        <v>5488</v>
      </c>
      <c r="E2407" s="6" t="s">
        <v>51</v>
      </c>
      <c r="F2407" s="8"/>
      <c r="G2407" s="8"/>
      <c r="H2407" s="8"/>
    </row>
    <row r="2408" spans="1:8">
      <c r="A2408" s="6" t="s">
        <v>51</v>
      </c>
      <c r="B2408" s="7" t="s">
        <v>96</v>
      </c>
      <c r="C2408" s="7" t="s">
        <v>1308</v>
      </c>
      <c r="D2408" s="7" t="s">
        <v>5489</v>
      </c>
      <c r="E2408" s="6" t="s">
        <v>5490</v>
      </c>
      <c r="F2408" s="8"/>
      <c r="G2408" s="8"/>
      <c r="H2408" s="8"/>
    </row>
    <row r="2409" spans="1:8">
      <c r="A2409" s="6" t="s">
        <v>156</v>
      </c>
      <c r="B2409" s="7" t="s">
        <v>157</v>
      </c>
      <c r="C2409" s="7" t="s">
        <v>157</v>
      </c>
      <c r="D2409" s="7" t="s">
        <v>158</v>
      </c>
      <c r="E2409" s="6" t="s">
        <v>159</v>
      </c>
      <c r="F2409" s="8"/>
      <c r="G2409" s="8"/>
      <c r="H2409" s="8"/>
    </row>
    <row r="2410" spans="1:8">
      <c r="A2410" s="6" t="s">
        <v>156</v>
      </c>
      <c r="B2410" s="7" t="s">
        <v>69</v>
      </c>
      <c r="C2410" s="7" t="s">
        <v>796</v>
      </c>
      <c r="D2410" s="7" t="s">
        <v>1283</v>
      </c>
      <c r="E2410" s="6" t="s">
        <v>1284</v>
      </c>
      <c r="F2410" s="8"/>
      <c r="G2410" s="8"/>
      <c r="H2410" s="8"/>
    </row>
    <row r="2411" spans="1:8">
      <c r="A2411" s="6" t="s">
        <v>156</v>
      </c>
      <c r="B2411" s="7" t="s">
        <v>69</v>
      </c>
      <c r="C2411" s="7" t="s">
        <v>3452</v>
      </c>
      <c r="D2411" s="7" t="s">
        <v>3453</v>
      </c>
      <c r="E2411" s="6" t="s">
        <v>3454</v>
      </c>
      <c r="F2411" s="8"/>
      <c r="G2411" s="8"/>
      <c r="H2411" s="8"/>
    </row>
    <row r="2412" spans="1:8">
      <c r="A2412" s="6" t="s">
        <v>156</v>
      </c>
      <c r="B2412" s="7" t="s">
        <v>69</v>
      </c>
      <c r="C2412" s="7" t="s">
        <v>3452</v>
      </c>
      <c r="D2412" s="7" t="s">
        <v>3455</v>
      </c>
      <c r="E2412" s="6" t="s">
        <v>3456</v>
      </c>
      <c r="F2412" s="8"/>
      <c r="G2412" s="8"/>
      <c r="H2412" s="8"/>
    </row>
    <row r="2413" spans="1:8">
      <c r="A2413" s="6" t="s">
        <v>156</v>
      </c>
      <c r="B2413" s="7" t="s">
        <v>9</v>
      </c>
      <c r="C2413" s="7" t="s">
        <v>1131</v>
      </c>
      <c r="D2413" s="7" t="s">
        <v>3457</v>
      </c>
      <c r="E2413" s="6" t="s">
        <v>3458</v>
      </c>
      <c r="F2413" s="8"/>
      <c r="G2413" s="8"/>
      <c r="H2413" s="8"/>
    </row>
    <row r="2414" spans="1:8">
      <c r="A2414" s="6" t="s">
        <v>156</v>
      </c>
      <c r="B2414" s="7" t="s">
        <v>134</v>
      </c>
      <c r="C2414" s="7" t="s">
        <v>3459</v>
      </c>
      <c r="D2414" s="7" t="s">
        <v>3460</v>
      </c>
      <c r="E2414" s="6" t="s">
        <v>3461</v>
      </c>
      <c r="F2414" s="8"/>
      <c r="G2414" s="8"/>
      <c r="H2414" s="8"/>
    </row>
    <row r="2415" spans="1:8">
      <c r="A2415" s="6" t="s">
        <v>156</v>
      </c>
      <c r="B2415" s="7" t="s">
        <v>3462</v>
      </c>
      <c r="C2415" s="7" t="s">
        <v>3463</v>
      </c>
      <c r="D2415" s="7" t="s">
        <v>3464</v>
      </c>
      <c r="E2415" s="6" t="s">
        <v>3465</v>
      </c>
      <c r="F2415" s="8"/>
      <c r="G2415" s="8"/>
      <c r="H2415" s="8"/>
    </row>
    <row r="2416" spans="1:8">
      <c r="A2416" s="6" t="s">
        <v>156</v>
      </c>
      <c r="B2416" s="7" t="s">
        <v>69</v>
      </c>
      <c r="C2416" s="7" t="s">
        <v>3452</v>
      </c>
      <c r="D2416" s="7" t="s">
        <v>3466</v>
      </c>
      <c r="E2416" s="6" t="s">
        <v>3467</v>
      </c>
      <c r="F2416" s="8"/>
      <c r="G2416" s="8"/>
      <c r="H2416" s="8"/>
    </row>
    <row r="2417" spans="1:8">
      <c r="A2417" s="6" t="s">
        <v>156</v>
      </c>
      <c r="B2417" s="7" t="s">
        <v>69</v>
      </c>
      <c r="C2417" s="7" t="s">
        <v>3452</v>
      </c>
      <c r="D2417" s="7" t="s">
        <v>3468</v>
      </c>
      <c r="E2417" s="6" t="s">
        <v>3469</v>
      </c>
      <c r="F2417" s="8"/>
      <c r="G2417" s="8"/>
      <c r="H2417" s="8"/>
    </row>
    <row r="2418" spans="1:8">
      <c r="A2418" s="6" t="s">
        <v>156</v>
      </c>
      <c r="B2418" s="7" t="s">
        <v>69</v>
      </c>
      <c r="C2418" s="7" t="s">
        <v>48</v>
      </c>
      <c r="D2418" s="7" t="s">
        <v>3470</v>
      </c>
      <c r="E2418" s="6" t="s">
        <v>3471</v>
      </c>
      <c r="F2418" s="8" t="s">
        <v>6931</v>
      </c>
      <c r="G2418" s="8" t="s">
        <v>6999</v>
      </c>
      <c r="H2418" s="8" t="s">
        <v>7026</v>
      </c>
    </row>
    <row r="2419" spans="1:8">
      <c r="A2419" s="6" t="s">
        <v>156</v>
      </c>
      <c r="B2419" s="7" t="s">
        <v>69</v>
      </c>
      <c r="C2419" s="7" t="s">
        <v>48</v>
      </c>
      <c r="D2419" s="7" t="s">
        <v>3473</v>
      </c>
      <c r="E2419" s="6" t="s">
        <v>3474</v>
      </c>
      <c r="F2419" s="8" t="s">
        <v>6931</v>
      </c>
      <c r="G2419" s="8" t="s">
        <v>6999</v>
      </c>
      <c r="H2419" s="8" t="s">
        <v>7026</v>
      </c>
    </row>
    <row r="2420" spans="1:8">
      <c r="A2420" s="6" t="s">
        <v>156</v>
      </c>
      <c r="B2420" s="7" t="s">
        <v>69</v>
      </c>
      <c r="C2420" s="7" t="s">
        <v>48</v>
      </c>
      <c r="D2420" s="7" t="s">
        <v>3475</v>
      </c>
      <c r="E2420" s="6" t="s">
        <v>3476</v>
      </c>
      <c r="F2420" s="8" t="s">
        <v>6931</v>
      </c>
      <c r="G2420" s="8" t="s">
        <v>6999</v>
      </c>
      <c r="H2420" s="8" t="s">
        <v>7026</v>
      </c>
    </row>
    <row r="2421" spans="1:8">
      <c r="A2421" s="6" t="s">
        <v>156</v>
      </c>
      <c r="B2421" s="7" t="s">
        <v>69</v>
      </c>
      <c r="C2421" s="7" t="s">
        <v>3343</v>
      </c>
      <c r="D2421" s="7" t="s">
        <v>3477</v>
      </c>
      <c r="E2421" s="6" t="s">
        <v>3478</v>
      </c>
      <c r="F2421" s="8"/>
      <c r="G2421" s="8"/>
      <c r="H2421" s="8"/>
    </row>
    <row r="2422" spans="1:8">
      <c r="A2422" s="6" t="s">
        <v>156</v>
      </c>
      <c r="B2422" s="7" t="s">
        <v>134</v>
      </c>
      <c r="C2422" s="7" t="s">
        <v>3479</v>
      </c>
      <c r="D2422" s="7" t="s">
        <v>3480</v>
      </c>
      <c r="E2422" s="6" t="s">
        <v>3481</v>
      </c>
      <c r="F2422" s="8"/>
      <c r="G2422" s="8"/>
      <c r="H2422" s="8"/>
    </row>
    <row r="2423" spans="1:8">
      <c r="A2423" s="6" t="s">
        <v>156</v>
      </c>
      <c r="B2423" s="7" t="s">
        <v>134</v>
      </c>
      <c r="C2423" s="7" t="s">
        <v>789</v>
      </c>
      <c r="D2423" s="7" t="s">
        <v>3482</v>
      </c>
      <c r="E2423" s="6" t="s">
        <v>3483</v>
      </c>
      <c r="F2423" s="8"/>
      <c r="G2423" s="8"/>
      <c r="H2423" s="8"/>
    </row>
    <row r="2424" spans="1:8">
      <c r="A2424" s="6" t="s">
        <v>156</v>
      </c>
      <c r="B2424" s="7" t="s">
        <v>69</v>
      </c>
      <c r="C2424" s="7" t="s">
        <v>3484</v>
      </c>
      <c r="D2424" s="7" t="s">
        <v>3485</v>
      </c>
      <c r="E2424" s="6" t="s">
        <v>3486</v>
      </c>
      <c r="F2424" s="8"/>
      <c r="G2424" s="8"/>
      <c r="H2424" s="8"/>
    </row>
    <row r="2425" spans="1:8">
      <c r="A2425" s="6" t="s">
        <v>156</v>
      </c>
      <c r="B2425" s="7" t="s">
        <v>69</v>
      </c>
      <c r="C2425" s="7" t="s">
        <v>566</v>
      </c>
      <c r="D2425" s="7" t="s">
        <v>3487</v>
      </c>
      <c r="E2425" s="6" t="s">
        <v>3488</v>
      </c>
      <c r="F2425" s="8" t="s">
        <v>6931</v>
      </c>
      <c r="G2425" s="8" t="s">
        <v>6953</v>
      </c>
      <c r="H2425" s="8" t="s">
        <v>6951</v>
      </c>
    </row>
    <row r="2426" spans="1:8">
      <c r="A2426" s="6" t="s">
        <v>156</v>
      </c>
      <c r="B2426" s="7" t="s">
        <v>69</v>
      </c>
      <c r="C2426" s="7" t="s">
        <v>796</v>
      </c>
      <c r="D2426" s="7" t="s">
        <v>3489</v>
      </c>
      <c r="E2426" s="6" t="s">
        <v>3490</v>
      </c>
      <c r="F2426" s="8" t="s">
        <v>6931</v>
      </c>
      <c r="G2426" s="8" t="s">
        <v>6953</v>
      </c>
      <c r="H2426" s="8" t="s">
        <v>6951</v>
      </c>
    </row>
    <row r="2427" spans="1:8">
      <c r="A2427" s="6" t="s">
        <v>156</v>
      </c>
      <c r="B2427" s="7" t="s">
        <v>69</v>
      </c>
      <c r="C2427" s="7" t="s">
        <v>566</v>
      </c>
      <c r="D2427" s="7" t="s">
        <v>3491</v>
      </c>
      <c r="E2427" s="6" t="s">
        <v>3492</v>
      </c>
      <c r="F2427" s="8"/>
      <c r="G2427" s="8"/>
      <c r="H2427" s="8"/>
    </row>
    <row r="2428" spans="1:8">
      <c r="A2428" s="6" t="s">
        <v>156</v>
      </c>
      <c r="B2428" s="7" t="s">
        <v>69</v>
      </c>
      <c r="C2428" s="7" t="s">
        <v>3452</v>
      </c>
      <c r="D2428" s="7" t="s">
        <v>3493</v>
      </c>
      <c r="E2428" s="6" t="s">
        <v>3469</v>
      </c>
      <c r="F2428" s="8"/>
      <c r="G2428" s="8"/>
      <c r="H2428" s="8"/>
    </row>
    <row r="2429" spans="1:8">
      <c r="A2429" s="6" t="s">
        <v>156</v>
      </c>
      <c r="B2429" s="7" t="s">
        <v>69</v>
      </c>
      <c r="C2429" s="7" t="s">
        <v>566</v>
      </c>
      <c r="D2429" s="7" t="s">
        <v>3494</v>
      </c>
      <c r="E2429" s="6" t="s">
        <v>3495</v>
      </c>
      <c r="F2429" s="8" t="s">
        <v>6931</v>
      </c>
      <c r="G2429" s="8" t="s">
        <v>6953</v>
      </c>
      <c r="H2429" s="8" t="s">
        <v>6951</v>
      </c>
    </row>
    <row r="2430" spans="1:8">
      <c r="A2430" s="6" t="s">
        <v>156</v>
      </c>
      <c r="B2430" s="7" t="s">
        <v>134</v>
      </c>
      <c r="C2430" s="7" t="s">
        <v>134</v>
      </c>
      <c r="D2430" s="7" t="s">
        <v>3496</v>
      </c>
      <c r="E2430" s="6" t="s">
        <v>3029</v>
      </c>
      <c r="F2430" s="8"/>
      <c r="G2430" s="8"/>
      <c r="H2430" s="8"/>
    </row>
    <row r="2431" spans="1:8">
      <c r="A2431" s="6" t="s">
        <v>156</v>
      </c>
      <c r="B2431" s="7" t="s">
        <v>3497</v>
      </c>
      <c r="C2431" s="7" t="s">
        <v>3498</v>
      </c>
      <c r="D2431" s="7" t="s">
        <v>3499</v>
      </c>
      <c r="E2431" s="6" t="s">
        <v>62</v>
      </c>
      <c r="F2431" s="8"/>
      <c r="G2431" s="8"/>
      <c r="H2431" s="8"/>
    </row>
    <row r="2432" spans="1:8">
      <c r="A2432" s="6" t="s">
        <v>156</v>
      </c>
      <c r="B2432" s="7" t="s">
        <v>1434</v>
      </c>
      <c r="C2432" s="7" t="s">
        <v>3300</v>
      </c>
      <c r="D2432" s="7" t="s">
        <v>5450</v>
      </c>
      <c r="E2432" s="6" t="s">
        <v>5451</v>
      </c>
      <c r="F2432" s="8"/>
      <c r="G2432" s="8"/>
      <c r="H2432" s="8"/>
    </row>
    <row r="2433" spans="1:8">
      <c r="A2433" s="6" t="s">
        <v>156</v>
      </c>
      <c r="B2433" s="7" t="s">
        <v>1434</v>
      </c>
      <c r="C2433" s="7" t="s">
        <v>3300</v>
      </c>
      <c r="D2433" s="7" t="s">
        <v>5452</v>
      </c>
      <c r="E2433" s="6" t="s">
        <v>5453</v>
      </c>
      <c r="F2433" s="8"/>
      <c r="G2433" s="8"/>
      <c r="H2433" s="8"/>
    </row>
    <row r="2434" spans="1:8">
      <c r="A2434" s="6" t="s">
        <v>156</v>
      </c>
      <c r="B2434" s="7" t="s">
        <v>1434</v>
      </c>
      <c r="C2434" s="7" t="s">
        <v>3300</v>
      </c>
      <c r="D2434" s="7" t="s">
        <v>5491</v>
      </c>
      <c r="E2434" s="6" t="s">
        <v>5492</v>
      </c>
      <c r="F2434" s="8" t="s">
        <v>6931</v>
      </c>
      <c r="G2434" s="8" t="s">
        <v>6929</v>
      </c>
      <c r="H2434" s="8" t="s">
        <v>7026</v>
      </c>
    </row>
    <row r="2435" spans="1:8">
      <c r="A2435" s="6" t="s">
        <v>1713</v>
      </c>
      <c r="B2435" s="7" t="s">
        <v>675</v>
      </c>
      <c r="C2435" s="7" t="s">
        <v>675</v>
      </c>
      <c r="D2435" s="7" t="s">
        <v>1714</v>
      </c>
      <c r="E2435" s="6" t="s">
        <v>1715</v>
      </c>
      <c r="F2435" s="8"/>
      <c r="G2435" s="8"/>
      <c r="H2435" s="8"/>
    </row>
    <row r="2436" spans="1:8">
      <c r="A2436" s="6" t="s">
        <v>1713</v>
      </c>
      <c r="B2436" s="7" t="s">
        <v>149</v>
      </c>
      <c r="C2436" s="7" t="s">
        <v>675</v>
      </c>
      <c r="D2436" s="7" t="s">
        <v>4693</v>
      </c>
      <c r="E2436" s="6" t="s">
        <v>167</v>
      </c>
      <c r="F2436" s="8"/>
      <c r="G2436" s="8"/>
      <c r="H2436" s="8"/>
    </row>
    <row r="2437" spans="1:8">
      <c r="A2437" s="6" t="s">
        <v>1894</v>
      </c>
      <c r="B2437" s="7" t="s">
        <v>9</v>
      </c>
      <c r="C2437" s="7" t="s">
        <v>69</v>
      </c>
      <c r="D2437" s="7" t="s">
        <v>1895</v>
      </c>
      <c r="E2437" s="6" t="s">
        <v>1896</v>
      </c>
      <c r="F2437" s="8"/>
      <c r="G2437" s="8"/>
      <c r="H2437" s="8"/>
    </row>
    <row r="2438" spans="1:8">
      <c r="A2438" s="6" t="s">
        <v>1894</v>
      </c>
      <c r="B2438" s="7" t="s">
        <v>9</v>
      </c>
      <c r="C2438" s="7" t="s">
        <v>69</v>
      </c>
      <c r="D2438" s="7" t="s">
        <v>1935</v>
      </c>
      <c r="E2438" s="6" t="s">
        <v>1936</v>
      </c>
      <c r="F2438" s="8"/>
      <c r="G2438" s="8"/>
      <c r="H2438" s="8"/>
    </row>
    <row r="2439" spans="1:8">
      <c r="A2439" s="6" t="s">
        <v>1894</v>
      </c>
      <c r="B2439" s="7" t="s">
        <v>9</v>
      </c>
      <c r="C2439" s="7" t="s">
        <v>2259</v>
      </c>
      <c r="D2439" s="7" t="s">
        <v>2260</v>
      </c>
      <c r="E2439" s="6" t="s">
        <v>2261</v>
      </c>
      <c r="F2439" s="8"/>
      <c r="G2439" s="8"/>
      <c r="H2439" s="8"/>
    </row>
    <row r="2440" spans="1:8">
      <c r="A2440" s="6" t="s">
        <v>1894</v>
      </c>
      <c r="B2440" s="7" t="s">
        <v>9</v>
      </c>
      <c r="C2440" s="7" t="s">
        <v>2262</v>
      </c>
      <c r="D2440" s="7" t="s">
        <v>2263</v>
      </c>
      <c r="E2440" s="6" t="s">
        <v>2264</v>
      </c>
      <c r="F2440" s="8" t="s">
        <v>3334</v>
      </c>
      <c r="G2440" s="8" t="s">
        <v>6929</v>
      </c>
      <c r="H2440" s="8" t="s">
        <v>6927</v>
      </c>
    </row>
    <row r="2441" spans="1:8">
      <c r="A2441" s="6" t="s">
        <v>1894</v>
      </c>
      <c r="B2441" s="7" t="s">
        <v>9</v>
      </c>
      <c r="C2441" s="7" t="s">
        <v>116</v>
      </c>
      <c r="D2441" s="7" t="s">
        <v>2265</v>
      </c>
      <c r="E2441" s="6" t="s">
        <v>2266</v>
      </c>
      <c r="F2441" s="8"/>
      <c r="G2441" s="8"/>
      <c r="H2441" s="8"/>
    </row>
    <row r="2442" spans="1:8">
      <c r="A2442" s="6" t="s">
        <v>1894</v>
      </c>
      <c r="B2442" s="7" t="s">
        <v>9</v>
      </c>
      <c r="C2442" s="7" t="s">
        <v>9</v>
      </c>
      <c r="D2442" s="7" t="s">
        <v>2267</v>
      </c>
      <c r="E2442" s="6" t="s">
        <v>2268</v>
      </c>
      <c r="F2442" s="8"/>
      <c r="G2442" s="8"/>
      <c r="H2442" s="8"/>
    </row>
    <row r="2443" spans="1:8">
      <c r="A2443" s="6" t="s">
        <v>1894</v>
      </c>
      <c r="B2443" s="7" t="s">
        <v>9</v>
      </c>
      <c r="C2443" s="7" t="s">
        <v>69</v>
      </c>
      <c r="D2443" s="7" t="s">
        <v>2269</v>
      </c>
      <c r="E2443" s="6" t="s">
        <v>273</v>
      </c>
      <c r="F2443" s="8"/>
      <c r="G2443" s="8"/>
      <c r="H2443" s="8"/>
    </row>
    <row r="2444" spans="1:8">
      <c r="A2444" s="6" t="s">
        <v>1894</v>
      </c>
      <c r="B2444" s="7" t="s">
        <v>9</v>
      </c>
      <c r="C2444" s="7" t="s">
        <v>69</v>
      </c>
      <c r="D2444" s="7" t="s">
        <v>2270</v>
      </c>
      <c r="E2444" s="6" t="s">
        <v>2271</v>
      </c>
      <c r="F2444" s="8"/>
      <c r="G2444" s="8"/>
      <c r="H2444" s="8"/>
    </row>
    <row r="2445" spans="1:8">
      <c r="A2445" s="6" t="s">
        <v>1894</v>
      </c>
      <c r="B2445" s="7" t="s">
        <v>9</v>
      </c>
      <c r="C2445" s="7" t="s">
        <v>69</v>
      </c>
      <c r="D2445" s="7" t="s">
        <v>2272</v>
      </c>
      <c r="E2445" s="6" t="s">
        <v>547</v>
      </c>
      <c r="F2445" s="8"/>
      <c r="G2445" s="8"/>
      <c r="H2445" s="8"/>
    </row>
    <row r="2446" spans="1:8">
      <c r="A2446" s="6" t="s">
        <v>1894</v>
      </c>
      <c r="B2446" s="7" t="s">
        <v>9</v>
      </c>
      <c r="C2446" s="7" t="s">
        <v>69</v>
      </c>
      <c r="D2446" s="7" t="s">
        <v>2273</v>
      </c>
      <c r="E2446" s="6" t="s">
        <v>2274</v>
      </c>
      <c r="F2446" s="8"/>
      <c r="G2446" s="8"/>
      <c r="H2446" s="8"/>
    </row>
    <row r="2447" spans="1:8">
      <c r="A2447" s="6" t="s">
        <v>1894</v>
      </c>
      <c r="B2447" s="7" t="s">
        <v>9</v>
      </c>
      <c r="C2447" s="7" t="s">
        <v>69</v>
      </c>
      <c r="D2447" s="7" t="s">
        <v>2275</v>
      </c>
      <c r="E2447" s="6" t="s">
        <v>2276</v>
      </c>
      <c r="F2447" s="8"/>
      <c r="G2447" s="8"/>
      <c r="H2447" s="8"/>
    </row>
    <row r="2448" spans="1:8">
      <c r="A2448" s="6" t="s">
        <v>1894</v>
      </c>
      <c r="B2448" s="7" t="s">
        <v>9</v>
      </c>
      <c r="C2448" s="7" t="s">
        <v>69</v>
      </c>
      <c r="D2448" s="7" t="s">
        <v>2277</v>
      </c>
      <c r="E2448" s="6" t="s">
        <v>2278</v>
      </c>
      <c r="F2448" s="8"/>
      <c r="G2448" s="8"/>
      <c r="H2448" s="8"/>
    </row>
    <row r="2449" spans="1:8">
      <c r="A2449" s="6" t="s">
        <v>1894</v>
      </c>
      <c r="B2449" s="7" t="s">
        <v>9</v>
      </c>
      <c r="C2449" s="7" t="s">
        <v>2279</v>
      </c>
      <c r="D2449" s="7" t="s">
        <v>2280</v>
      </c>
      <c r="E2449" s="6" t="s">
        <v>273</v>
      </c>
      <c r="F2449" s="8"/>
      <c r="G2449" s="8"/>
      <c r="H2449" s="8"/>
    </row>
    <row r="2450" spans="1:8">
      <c r="A2450" s="6" t="s">
        <v>1894</v>
      </c>
      <c r="B2450" s="7" t="s">
        <v>9</v>
      </c>
      <c r="C2450" s="7" t="s">
        <v>2259</v>
      </c>
      <c r="D2450" s="7" t="s">
        <v>2281</v>
      </c>
      <c r="E2450" s="6" t="s">
        <v>2282</v>
      </c>
      <c r="F2450" s="8"/>
      <c r="G2450" s="8"/>
      <c r="H2450" s="8"/>
    </row>
    <row r="2451" spans="1:8">
      <c r="A2451" s="6" t="s">
        <v>1894</v>
      </c>
      <c r="B2451" s="7" t="s">
        <v>9</v>
      </c>
      <c r="C2451" s="7" t="s">
        <v>69</v>
      </c>
      <c r="D2451" s="7" t="s">
        <v>2283</v>
      </c>
      <c r="E2451" s="6" t="s">
        <v>2284</v>
      </c>
      <c r="F2451" s="8"/>
      <c r="G2451" s="8"/>
      <c r="H2451" s="8"/>
    </row>
    <row r="2452" spans="1:8">
      <c r="A2452" s="6" t="s">
        <v>1894</v>
      </c>
      <c r="B2452" s="7" t="s">
        <v>9</v>
      </c>
      <c r="C2452" s="7" t="s">
        <v>69</v>
      </c>
      <c r="D2452" s="7" t="s">
        <v>2285</v>
      </c>
      <c r="E2452" s="6" t="s">
        <v>2286</v>
      </c>
      <c r="F2452" s="8"/>
      <c r="G2452" s="8"/>
      <c r="H2452" s="8"/>
    </row>
    <row r="2453" spans="1:8">
      <c r="A2453" s="6" t="s">
        <v>1894</v>
      </c>
      <c r="B2453" s="7" t="s">
        <v>9</v>
      </c>
      <c r="C2453" s="7" t="s">
        <v>951</v>
      </c>
      <c r="D2453" s="7" t="s">
        <v>2287</v>
      </c>
      <c r="E2453" s="6" t="s">
        <v>2288</v>
      </c>
      <c r="F2453" s="8" t="s">
        <v>7129</v>
      </c>
      <c r="G2453" s="8" t="s">
        <v>6929</v>
      </c>
      <c r="H2453" s="8" t="s">
        <v>7237</v>
      </c>
    </row>
    <row r="2454" spans="1:8">
      <c r="A2454" s="6" t="s">
        <v>1894</v>
      </c>
      <c r="B2454" s="7" t="s">
        <v>9</v>
      </c>
      <c r="C2454" s="7" t="s">
        <v>69</v>
      </c>
      <c r="D2454" s="7" t="s">
        <v>2289</v>
      </c>
      <c r="E2454" s="6" t="s">
        <v>2290</v>
      </c>
      <c r="F2454" s="8"/>
      <c r="G2454" s="8"/>
      <c r="H2454" s="8"/>
    </row>
    <row r="2455" spans="1:8">
      <c r="A2455" s="6" t="s">
        <v>1894</v>
      </c>
      <c r="B2455" s="7" t="s">
        <v>9</v>
      </c>
      <c r="C2455" s="7" t="s">
        <v>951</v>
      </c>
      <c r="D2455" s="7" t="s">
        <v>2291</v>
      </c>
      <c r="E2455" s="6" t="s">
        <v>2127</v>
      </c>
      <c r="F2455" s="8" t="s">
        <v>6931</v>
      </c>
      <c r="G2455" s="8" t="s">
        <v>6929</v>
      </c>
      <c r="H2455" s="8" t="s">
        <v>6954</v>
      </c>
    </row>
    <row r="2456" spans="1:8">
      <c r="A2456" s="6" t="s">
        <v>1894</v>
      </c>
      <c r="B2456" s="7" t="s">
        <v>9</v>
      </c>
      <c r="C2456" s="7" t="s">
        <v>508</v>
      </c>
      <c r="D2456" s="7" t="s">
        <v>2292</v>
      </c>
      <c r="E2456" s="6" t="s">
        <v>2284</v>
      </c>
      <c r="F2456" s="8"/>
      <c r="G2456" s="8"/>
      <c r="H2456" s="8"/>
    </row>
    <row r="2457" spans="1:8">
      <c r="A2457" s="6" t="s">
        <v>1894</v>
      </c>
      <c r="B2457" s="7" t="s">
        <v>9</v>
      </c>
      <c r="C2457" s="7" t="s">
        <v>2259</v>
      </c>
      <c r="D2457" s="7" t="s">
        <v>2293</v>
      </c>
      <c r="E2457" s="6" t="s">
        <v>1356</v>
      </c>
      <c r="F2457" s="8"/>
      <c r="G2457" s="8"/>
      <c r="H2457" s="8"/>
    </row>
    <row r="2458" spans="1:8">
      <c r="A2458" s="6" t="s">
        <v>2120</v>
      </c>
      <c r="B2458" s="7" t="s">
        <v>1512</v>
      </c>
      <c r="C2458" s="7" t="s">
        <v>264</v>
      </c>
      <c r="D2458" s="7" t="s">
        <v>2121</v>
      </c>
      <c r="E2458" s="6" t="s">
        <v>2122</v>
      </c>
      <c r="F2458" s="8"/>
      <c r="G2458" s="8"/>
      <c r="H2458" s="8"/>
    </row>
    <row r="2459" spans="1:8">
      <c r="A2459" s="6" t="s">
        <v>2120</v>
      </c>
      <c r="B2459" s="7" t="s">
        <v>1512</v>
      </c>
      <c r="C2459" s="7" t="s">
        <v>78</v>
      </c>
      <c r="D2459" s="7" t="s">
        <v>2123</v>
      </c>
      <c r="E2459" s="6" t="s">
        <v>2124</v>
      </c>
      <c r="F2459" s="8"/>
      <c r="G2459" s="8"/>
      <c r="H2459" s="8"/>
    </row>
    <row r="2460" spans="1:8">
      <c r="A2460" s="6" t="s">
        <v>2341</v>
      </c>
      <c r="B2460" s="7" t="s">
        <v>1411</v>
      </c>
      <c r="C2460" s="7" t="s">
        <v>9</v>
      </c>
      <c r="D2460" s="7" t="s">
        <v>2342</v>
      </c>
      <c r="E2460" s="6" t="s">
        <v>2343</v>
      </c>
      <c r="F2460" s="8"/>
      <c r="G2460" s="8"/>
      <c r="H2460" s="8"/>
    </row>
    <row r="2461" spans="1:8">
      <c r="A2461" s="6" t="s">
        <v>3333</v>
      </c>
      <c r="B2461" s="7" t="s">
        <v>3334</v>
      </c>
      <c r="C2461" s="7" t="s">
        <v>9</v>
      </c>
      <c r="D2461" s="7" t="s">
        <v>3335</v>
      </c>
      <c r="E2461" s="6" t="s">
        <v>3336</v>
      </c>
      <c r="F2461" s="8" t="s">
        <v>3334</v>
      </c>
      <c r="G2461" s="8" t="s">
        <v>6929</v>
      </c>
      <c r="H2461" s="8" t="s">
        <v>6951</v>
      </c>
    </row>
    <row r="2462" spans="1:8">
      <c r="A2462" s="6" t="s">
        <v>3333</v>
      </c>
      <c r="B2462" s="7" t="s">
        <v>78</v>
      </c>
      <c r="C2462" s="7" t="s">
        <v>9</v>
      </c>
      <c r="D2462" s="7" t="s">
        <v>3337</v>
      </c>
      <c r="E2462" s="6" t="s">
        <v>3338</v>
      </c>
      <c r="F2462" s="8"/>
      <c r="G2462" s="8"/>
      <c r="H2462" s="8"/>
    </row>
    <row r="2463" spans="1:8">
      <c r="A2463" s="6" t="s">
        <v>3333</v>
      </c>
      <c r="B2463" s="7" t="s">
        <v>78</v>
      </c>
      <c r="C2463" s="7" t="s">
        <v>9</v>
      </c>
      <c r="D2463" s="7" t="s">
        <v>3339</v>
      </c>
      <c r="E2463" s="6" t="s">
        <v>3340</v>
      </c>
      <c r="F2463" s="8"/>
      <c r="G2463" s="8"/>
      <c r="H2463" s="8"/>
    </row>
    <row r="2464" spans="1:8">
      <c r="A2464" s="6" t="s">
        <v>3333</v>
      </c>
      <c r="B2464" s="7" t="s">
        <v>1834</v>
      </c>
      <c r="C2464" s="7" t="s">
        <v>1431</v>
      </c>
      <c r="D2464" s="7" t="s">
        <v>3341</v>
      </c>
      <c r="E2464" s="6" t="s">
        <v>3342</v>
      </c>
      <c r="F2464" s="8"/>
      <c r="G2464" s="8"/>
      <c r="H2464" s="8"/>
    </row>
    <row r="2465" spans="1:8">
      <c r="A2465" s="6" t="s">
        <v>2211</v>
      </c>
      <c r="B2465" s="7" t="s">
        <v>9</v>
      </c>
      <c r="C2465" s="7" t="s">
        <v>264</v>
      </c>
      <c r="D2465" s="7" t="s">
        <v>2212</v>
      </c>
      <c r="E2465" s="6" t="s">
        <v>547</v>
      </c>
      <c r="F2465" s="8" t="s">
        <v>6931</v>
      </c>
      <c r="G2465" s="8" t="s">
        <v>6953</v>
      </c>
      <c r="H2465" s="8" t="s">
        <v>7240</v>
      </c>
    </row>
    <row r="2466" spans="1:8">
      <c r="A2466" s="6" t="s">
        <v>1861</v>
      </c>
      <c r="B2466" s="7" t="s">
        <v>78</v>
      </c>
      <c r="C2466" s="7" t="s">
        <v>78</v>
      </c>
      <c r="D2466" s="7" t="s">
        <v>1862</v>
      </c>
      <c r="E2466" s="6" t="s">
        <v>1863</v>
      </c>
      <c r="F2466" s="8"/>
      <c r="G2466" s="8"/>
      <c r="H2466" s="8"/>
    </row>
    <row r="2467" spans="1:8">
      <c r="A2467" s="6" t="s">
        <v>1861</v>
      </c>
      <c r="B2467" s="7" t="s">
        <v>78</v>
      </c>
      <c r="C2467" s="7" t="s">
        <v>78</v>
      </c>
      <c r="D2467" s="7" t="s">
        <v>5002</v>
      </c>
      <c r="E2467" s="6" t="s">
        <v>5003</v>
      </c>
      <c r="F2467" s="8"/>
      <c r="G2467" s="8"/>
      <c r="H2467" s="8"/>
    </row>
    <row r="2468" spans="1:8">
      <c r="A2468" s="6" t="s">
        <v>281</v>
      </c>
      <c r="B2468" s="7" t="s">
        <v>9</v>
      </c>
      <c r="C2468" s="7" t="s">
        <v>9</v>
      </c>
      <c r="D2468" s="7" t="s">
        <v>282</v>
      </c>
      <c r="E2468" s="6" t="s">
        <v>283</v>
      </c>
      <c r="F2468" s="8"/>
      <c r="G2468" s="8"/>
      <c r="H2468" s="8"/>
    </row>
    <row r="2469" spans="1:8">
      <c r="A2469" s="6" t="s">
        <v>235</v>
      </c>
      <c r="B2469" s="7" t="s">
        <v>236</v>
      </c>
      <c r="C2469" s="7" t="s">
        <v>236</v>
      </c>
      <c r="D2469" s="7" t="s">
        <v>237</v>
      </c>
      <c r="E2469" s="6" t="s">
        <v>238</v>
      </c>
      <c r="F2469" s="8" t="s">
        <v>6931</v>
      </c>
      <c r="G2469" s="8" t="s">
        <v>7011</v>
      </c>
      <c r="H2469" s="8" t="s">
        <v>7243</v>
      </c>
    </row>
    <row r="2470" spans="1:8">
      <c r="A2470" s="6" t="s">
        <v>235</v>
      </c>
      <c r="B2470" s="7" t="s">
        <v>331</v>
      </c>
      <c r="C2470" s="7" t="s">
        <v>331</v>
      </c>
      <c r="D2470" s="7" t="s">
        <v>332</v>
      </c>
      <c r="E2470" s="6" t="s">
        <v>333</v>
      </c>
      <c r="F2470" s="8"/>
      <c r="G2470" s="8"/>
      <c r="H2470" s="8"/>
    </row>
    <row r="2471" spans="1:8">
      <c r="A2471" s="6" t="s">
        <v>235</v>
      </c>
      <c r="B2471" s="7" t="s">
        <v>377</v>
      </c>
      <c r="C2471" s="7" t="s">
        <v>377</v>
      </c>
      <c r="D2471" s="7" t="s">
        <v>378</v>
      </c>
      <c r="E2471" s="6" t="s">
        <v>379</v>
      </c>
      <c r="F2471" s="8"/>
      <c r="G2471" s="8"/>
      <c r="H2471" s="8"/>
    </row>
    <row r="2472" spans="1:8">
      <c r="A2472" s="6" t="s">
        <v>235</v>
      </c>
      <c r="B2472" s="7" t="s">
        <v>331</v>
      </c>
      <c r="C2472" s="7" t="s">
        <v>331</v>
      </c>
      <c r="D2472" s="7" t="s">
        <v>380</v>
      </c>
      <c r="E2472" s="6" t="s">
        <v>381</v>
      </c>
      <c r="F2472" s="8"/>
      <c r="G2472" s="8"/>
      <c r="H2472" s="8"/>
    </row>
    <row r="2473" spans="1:8">
      <c r="A2473" s="6" t="s">
        <v>235</v>
      </c>
      <c r="B2473" s="7" t="s">
        <v>331</v>
      </c>
      <c r="C2473" s="7" t="s">
        <v>331</v>
      </c>
      <c r="D2473" s="7" t="s">
        <v>480</v>
      </c>
      <c r="E2473" s="6" t="s">
        <v>481</v>
      </c>
      <c r="F2473" s="8"/>
      <c r="G2473" s="8"/>
      <c r="H2473" s="8"/>
    </row>
    <row r="2474" spans="1:8">
      <c r="A2474" s="6" t="s">
        <v>235</v>
      </c>
      <c r="B2474" s="7" t="s">
        <v>700</v>
      </c>
      <c r="C2474" s="7" t="s">
        <v>700</v>
      </c>
      <c r="D2474" s="7" t="s">
        <v>701</v>
      </c>
      <c r="E2474" s="6" t="s">
        <v>702</v>
      </c>
      <c r="F2474" s="8" t="s">
        <v>3334</v>
      </c>
      <c r="G2474" s="8" t="s">
        <v>6953</v>
      </c>
      <c r="H2474" s="8" t="s">
        <v>6951</v>
      </c>
    </row>
    <row r="2475" spans="1:8">
      <c r="A2475" s="6" t="s">
        <v>235</v>
      </c>
      <c r="B2475" s="7" t="s">
        <v>700</v>
      </c>
      <c r="C2475" s="7" t="s">
        <v>700</v>
      </c>
      <c r="D2475" s="7" t="s">
        <v>1449</v>
      </c>
      <c r="E2475" s="6" t="s">
        <v>1450</v>
      </c>
      <c r="F2475" s="8" t="s">
        <v>3334</v>
      </c>
      <c r="G2475" s="8" t="s">
        <v>6953</v>
      </c>
      <c r="H2475" s="8" t="s">
        <v>6951</v>
      </c>
    </row>
    <row r="2476" spans="1:8">
      <c r="A2476" s="6" t="s">
        <v>235</v>
      </c>
      <c r="B2476" s="7" t="s">
        <v>1668</v>
      </c>
      <c r="C2476" s="7" t="s">
        <v>1668</v>
      </c>
      <c r="D2476" s="7" t="s">
        <v>1669</v>
      </c>
      <c r="E2476" s="6" t="s">
        <v>1670</v>
      </c>
      <c r="F2476" s="8" t="s">
        <v>3334</v>
      </c>
      <c r="G2476" s="8" t="s">
        <v>6929</v>
      </c>
      <c r="H2476" s="8" t="s">
        <v>7246</v>
      </c>
    </row>
    <row r="2477" spans="1:8">
      <c r="A2477" s="6" t="s">
        <v>235</v>
      </c>
      <c r="B2477" s="7" t="s">
        <v>6136</v>
      </c>
      <c r="C2477" s="7" t="s">
        <v>6136</v>
      </c>
      <c r="D2477" s="7" t="s">
        <v>6137</v>
      </c>
      <c r="E2477" s="6" t="s">
        <v>6138</v>
      </c>
      <c r="F2477" s="8"/>
      <c r="G2477" s="8"/>
      <c r="H2477" s="8"/>
    </row>
    <row r="2478" spans="1:8">
      <c r="A2478" s="6" t="s">
        <v>235</v>
      </c>
      <c r="B2478" s="7" t="s">
        <v>6139</v>
      </c>
      <c r="C2478" s="7" t="s">
        <v>6140</v>
      </c>
      <c r="D2478" s="7" t="s">
        <v>6141</v>
      </c>
      <c r="E2478" s="6" t="s">
        <v>6142</v>
      </c>
      <c r="F2478" s="8"/>
      <c r="G2478" s="8"/>
      <c r="H2478" s="8"/>
    </row>
    <row r="2479" spans="1:8">
      <c r="A2479" s="6" t="s">
        <v>235</v>
      </c>
      <c r="B2479" s="7" t="s">
        <v>6143</v>
      </c>
      <c r="C2479" s="7" t="s">
        <v>3214</v>
      </c>
      <c r="D2479" s="7" t="s">
        <v>6144</v>
      </c>
      <c r="E2479" s="6" t="s">
        <v>2331</v>
      </c>
      <c r="F2479" s="8"/>
      <c r="G2479" s="8"/>
      <c r="H2479" s="8"/>
    </row>
    <row r="2480" spans="1:8">
      <c r="A2480" s="6" t="s">
        <v>235</v>
      </c>
      <c r="B2480" s="7" t="s">
        <v>6145</v>
      </c>
      <c r="C2480" s="7" t="s">
        <v>6145</v>
      </c>
      <c r="D2480" s="7" t="s">
        <v>6146</v>
      </c>
      <c r="E2480" s="6" t="s">
        <v>3623</v>
      </c>
      <c r="F2480" s="8" t="s">
        <v>6939</v>
      </c>
      <c r="G2480" s="8" t="s">
        <v>6929</v>
      </c>
      <c r="H2480" s="8" t="s">
        <v>7241</v>
      </c>
    </row>
    <row r="2481" spans="1:8">
      <c r="A2481" s="6" t="s">
        <v>235</v>
      </c>
      <c r="B2481" s="7" t="s">
        <v>6145</v>
      </c>
      <c r="C2481" s="7" t="s">
        <v>6145</v>
      </c>
      <c r="D2481" s="7" t="s">
        <v>6147</v>
      </c>
      <c r="E2481" s="6" t="s">
        <v>6148</v>
      </c>
      <c r="F2481" s="8" t="s">
        <v>6939</v>
      </c>
      <c r="G2481" s="8" t="s">
        <v>6929</v>
      </c>
      <c r="H2481" s="8" t="s">
        <v>7241</v>
      </c>
    </row>
    <row r="2482" spans="1:8">
      <c r="A2482" s="6" t="s">
        <v>235</v>
      </c>
      <c r="B2482" s="7" t="s">
        <v>6145</v>
      </c>
      <c r="C2482" s="7" t="s">
        <v>6145</v>
      </c>
      <c r="D2482" s="7" t="s">
        <v>6149</v>
      </c>
      <c r="E2482" s="6" t="s">
        <v>6150</v>
      </c>
      <c r="F2482" s="8" t="s">
        <v>6939</v>
      </c>
      <c r="G2482" s="8" t="s">
        <v>6929</v>
      </c>
      <c r="H2482" s="8" t="s">
        <v>7241</v>
      </c>
    </row>
    <row r="2483" spans="1:8">
      <c r="A2483" s="6" t="s">
        <v>235</v>
      </c>
      <c r="B2483" s="7" t="s">
        <v>6151</v>
      </c>
      <c r="C2483" s="7" t="s">
        <v>6151</v>
      </c>
      <c r="D2483" s="7" t="s">
        <v>6152</v>
      </c>
      <c r="E2483" s="6" t="s">
        <v>6153</v>
      </c>
      <c r="F2483" s="8" t="s">
        <v>7030</v>
      </c>
      <c r="G2483" s="8" t="s">
        <v>6929</v>
      </c>
      <c r="H2483" s="8" t="s">
        <v>7042</v>
      </c>
    </row>
    <row r="2484" spans="1:8">
      <c r="A2484" s="6" t="s">
        <v>235</v>
      </c>
      <c r="B2484" s="7" t="s">
        <v>6154</v>
      </c>
      <c r="C2484" s="7" t="s">
        <v>6154</v>
      </c>
      <c r="D2484" s="7" t="s">
        <v>6155</v>
      </c>
      <c r="E2484" s="6" t="s">
        <v>6156</v>
      </c>
      <c r="F2484" s="8" t="s">
        <v>7245</v>
      </c>
      <c r="G2484" s="8" t="s">
        <v>6999</v>
      </c>
      <c r="H2484" s="8" t="s">
        <v>7202</v>
      </c>
    </row>
    <row r="2485" spans="1:8">
      <c r="A2485" s="6" t="s">
        <v>235</v>
      </c>
      <c r="B2485" s="7" t="s">
        <v>6157</v>
      </c>
      <c r="C2485" s="7" t="s">
        <v>6157</v>
      </c>
      <c r="D2485" s="7" t="s">
        <v>6158</v>
      </c>
      <c r="E2485" s="6" t="s">
        <v>6159</v>
      </c>
      <c r="F2485" s="8"/>
      <c r="G2485" s="8"/>
      <c r="H2485" s="8"/>
    </row>
    <row r="2486" spans="1:8">
      <c r="A2486" s="6" t="s">
        <v>235</v>
      </c>
      <c r="B2486" s="7" t="s">
        <v>6157</v>
      </c>
      <c r="C2486" s="7" t="s">
        <v>6160</v>
      </c>
      <c r="D2486" s="7" t="s">
        <v>6161</v>
      </c>
      <c r="E2486" s="6" t="s">
        <v>6162</v>
      </c>
      <c r="F2486" s="8"/>
      <c r="G2486" s="8"/>
      <c r="H2486" s="8"/>
    </row>
    <row r="2487" spans="1:8">
      <c r="A2487" s="6" t="s">
        <v>235</v>
      </c>
      <c r="B2487" s="7" t="s">
        <v>6157</v>
      </c>
      <c r="C2487" s="7" t="s">
        <v>6160</v>
      </c>
      <c r="D2487" s="7" t="s">
        <v>6163</v>
      </c>
      <c r="E2487" s="6" t="s">
        <v>6164</v>
      </c>
      <c r="F2487" s="8"/>
      <c r="G2487" s="8"/>
      <c r="H2487" s="8"/>
    </row>
    <row r="2488" spans="1:8">
      <c r="A2488" s="6" t="s">
        <v>235</v>
      </c>
      <c r="B2488" s="7" t="s">
        <v>6157</v>
      </c>
      <c r="C2488" s="7" t="s">
        <v>6160</v>
      </c>
      <c r="D2488" s="7" t="s">
        <v>6165</v>
      </c>
      <c r="E2488" s="6" t="s">
        <v>6166</v>
      </c>
      <c r="F2488" s="8"/>
      <c r="G2488" s="8"/>
      <c r="H2488" s="8"/>
    </row>
    <row r="2489" spans="1:8">
      <c r="A2489" s="6" t="s">
        <v>235</v>
      </c>
      <c r="B2489" s="7" t="s">
        <v>6157</v>
      </c>
      <c r="C2489" s="7" t="s">
        <v>6160</v>
      </c>
      <c r="D2489" s="7" t="s">
        <v>6167</v>
      </c>
      <c r="E2489" s="6" t="s">
        <v>6168</v>
      </c>
      <c r="F2489" s="8"/>
      <c r="G2489" s="8"/>
      <c r="H2489" s="8"/>
    </row>
    <row r="2490" spans="1:8">
      <c r="A2490" s="6" t="s">
        <v>235</v>
      </c>
      <c r="B2490" s="7" t="s">
        <v>6169</v>
      </c>
      <c r="C2490" s="7" t="s">
        <v>6170</v>
      </c>
      <c r="D2490" s="7" t="s">
        <v>6171</v>
      </c>
      <c r="E2490" s="6" t="s">
        <v>6172</v>
      </c>
      <c r="F2490" s="8"/>
      <c r="G2490" s="8"/>
      <c r="H2490" s="8"/>
    </row>
    <row r="2491" spans="1:8">
      <c r="A2491" s="6" t="s">
        <v>235</v>
      </c>
      <c r="B2491" s="7" t="s">
        <v>6173</v>
      </c>
      <c r="C2491" s="7" t="s">
        <v>6173</v>
      </c>
      <c r="D2491" s="7" t="s">
        <v>6174</v>
      </c>
      <c r="E2491" s="6" t="s">
        <v>6175</v>
      </c>
      <c r="F2491" s="8" t="s">
        <v>6957</v>
      </c>
      <c r="G2491" s="8" t="s">
        <v>6929</v>
      </c>
      <c r="H2491" s="8" t="s">
        <v>7060</v>
      </c>
    </row>
    <row r="2492" spans="1:8">
      <c r="A2492" s="6" t="s">
        <v>235</v>
      </c>
      <c r="B2492" s="7" t="s">
        <v>6173</v>
      </c>
      <c r="C2492" s="7" t="s">
        <v>6173</v>
      </c>
      <c r="D2492" s="7" t="s">
        <v>6176</v>
      </c>
      <c r="E2492" s="6" t="s">
        <v>6177</v>
      </c>
      <c r="F2492" s="8" t="s">
        <v>6957</v>
      </c>
      <c r="G2492" s="8" t="s">
        <v>6929</v>
      </c>
      <c r="H2492" s="8" t="s">
        <v>7060</v>
      </c>
    </row>
    <row r="2493" spans="1:8">
      <c r="A2493" s="6" t="s">
        <v>235</v>
      </c>
      <c r="B2493" s="7" t="s">
        <v>6173</v>
      </c>
      <c r="C2493" s="7" t="s">
        <v>6173</v>
      </c>
      <c r="D2493" s="7" t="s">
        <v>6178</v>
      </c>
      <c r="E2493" s="6" t="s">
        <v>6179</v>
      </c>
      <c r="F2493" s="8" t="s">
        <v>6957</v>
      </c>
      <c r="G2493" s="8" t="s">
        <v>6929</v>
      </c>
      <c r="H2493" s="8" t="s">
        <v>7060</v>
      </c>
    </row>
    <row r="2494" spans="1:8">
      <c r="A2494" s="6" t="s">
        <v>235</v>
      </c>
      <c r="B2494" s="7" t="s">
        <v>6173</v>
      </c>
      <c r="C2494" s="7" t="s">
        <v>6173</v>
      </c>
      <c r="D2494" s="7" t="s">
        <v>6180</v>
      </c>
      <c r="E2494" s="6" t="s">
        <v>6179</v>
      </c>
      <c r="F2494" s="8" t="s">
        <v>6957</v>
      </c>
      <c r="G2494" s="8" t="s">
        <v>6929</v>
      </c>
      <c r="H2494" s="8" t="s">
        <v>7060</v>
      </c>
    </row>
    <row r="2495" spans="1:8">
      <c r="A2495" s="6" t="s">
        <v>235</v>
      </c>
      <c r="B2495" s="7" t="s">
        <v>6173</v>
      </c>
      <c r="C2495" s="7" t="s">
        <v>6173</v>
      </c>
      <c r="D2495" s="7" t="s">
        <v>6181</v>
      </c>
      <c r="E2495" s="6" t="s">
        <v>6182</v>
      </c>
      <c r="F2495" s="8"/>
      <c r="G2495" s="8"/>
      <c r="H2495" s="8"/>
    </row>
    <row r="2496" spans="1:8">
      <c r="A2496" s="6" t="s">
        <v>235</v>
      </c>
      <c r="B2496" s="7" t="s">
        <v>6173</v>
      </c>
      <c r="C2496" s="7" t="s">
        <v>6173</v>
      </c>
      <c r="D2496" s="7" t="s">
        <v>6183</v>
      </c>
      <c r="E2496" s="6" t="s">
        <v>6184</v>
      </c>
      <c r="F2496" s="8" t="s">
        <v>6957</v>
      </c>
      <c r="G2496" s="8" t="s">
        <v>6929</v>
      </c>
      <c r="H2496" s="8" t="s">
        <v>7060</v>
      </c>
    </row>
    <row r="2497" spans="1:8">
      <c r="A2497" s="6" t="s">
        <v>235</v>
      </c>
      <c r="B2497" s="7" t="s">
        <v>6173</v>
      </c>
      <c r="C2497" s="7" t="s">
        <v>6173</v>
      </c>
      <c r="D2497" s="7" t="s">
        <v>6185</v>
      </c>
      <c r="E2497" s="6" t="s">
        <v>6186</v>
      </c>
      <c r="F2497" s="8"/>
      <c r="G2497" s="8"/>
      <c r="H2497" s="8"/>
    </row>
    <row r="2498" spans="1:8">
      <c r="A2498" s="6" t="s">
        <v>235</v>
      </c>
      <c r="B2498" s="7" t="s">
        <v>6173</v>
      </c>
      <c r="C2498" s="7" t="s">
        <v>6173</v>
      </c>
      <c r="D2498" s="7" t="s">
        <v>6187</v>
      </c>
      <c r="E2498" s="6" t="s">
        <v>6188</v>
      </c>
      <c r="F2498" s="8" t="s">
        <v>6957</v>
      </c>
      <c r="G2498" s="8" t="s">
        <v>6929</v>
      </c>
      <c r="H2498" s="8" t="s">
        <v>7060</v>
      </c>
    </row>
    <row r="2499" spans="1:8">
      <c r="A2499" s="6" t="s">
        <v>235</v>
      </c>
      <c r="B2499" s="7" t="s">
        <v>6173</v>
      </c>
      <c r="C2499" s="7" t="s">
        <v>6173</v>
      </c>
      <c r="D2499" s="7" t="s">
        <v>6189</v>
      </c>
      <c r="E2499" s="6" t="s">
        <v>6175</v>
      </c>
      <c r="F2499" s="8" t="s">
        <v>6957</v>
      </c>
      <c r="G2499" s="8" t="s">
        <v>6929</v>
      </c>
      <c r="H2499" s="8" t="s">
        <v>7060</v>
      </c>
    </row>
    <row r="2500" spans="1:8">
      <c r="A2500" s="6" t="s">
        <v>235</v>
      </c>
      <c r="B2500" s="7" t="s">
        <v>6190</v>
      </c>
      <c r="C2500" s="7" t="s">
        <v>6191</v>
      </c>
      <c r="D2500" s="7" t="s">
        <v>6192</v>
      </c>
      <c r="E2500" s="6" t="s">
        <v>6193</v>
      </c>
      <c r="F2500" s="8"/>
      <c r="G2500" s="8"/>
      <c r="H2500" s="8"/>
    </row>
    <row r="2501" spans="1:8">
      <c r="A2501" s="6" t="s">
        <v>235</v>
      </c>
      <c r="B2501" s="7" t="s">
        <v>1668</v>
      </c>
      <c r="C2501" s="7" t="s">
        <v>1668</v>
      </c>
      <c r="D2501" s="7" t="s">
        <v>6194</v>
      </c>
      <c r="E2501" s="6" t="s">
        <v>6195</v>
      </c>
      <c r="F2501" s="8"/>
      <c r="G2501" s="8"/>
      <c r="H2501" s="8"/>
    </row>
    <row r="2502" spans="1:8">
      <c r="A2502" s="6" t="s">
        <v>235</v>
      </c>
      <c r="B2502" s="7" t="s">
        <v>6196</v>
      </c>
      <c r="C2502" s="7" t="s">
        <v>6196</v>
      </c>
      <c r="D2502" s="7" t="s">
        <v>6197</v>
      </c>
      <c r="E2502" s="6" t="s">
        <v>6198</v>
      </c>
      <c r="F2502" s="8" t="s">
        <v>7242</v>
      </c>
      <c r="G2502" s="8" t="s">
        <v>6929</v>
      </c>
      <c r="H2502" s="8" t="s">
        <v>7070</v>
      </c>
    </row>
    <row r="2503" spans="1:8">
      <c r="A2503" s="6" t="s">
        <v>235</v>
      </c>
      <c r="B2503" s="7" t="s">
        <v>6196</v>
      </c>
      <c r="C2503" s="7" t="s">
        <v>5526</v>
      </c>
      <c r="D2503" s="7" t="s">
        <v>6199</v>
      </c>
      <c r="E2503" s="6" t="s">
        <v>6200</v>
      </c>
      <c r="F2503" s="8" t="s">
        <v>7242</v>
      </c>
      <c r="G2503" s="8" t="s">
        <v>6929</v>
      </c>
      <c r="H2503" s="8" t="s">
        <v>7070</v>
      </c>
    </row>
    <row r="2504" spans="1:8">
      <c r="A2504" s="6" t="s">
        <v>235</v>
      </c>
      <c r="B2504" s="7" t="s">
        <v>6201</v>
      </c>
      <c r="C2504" s="7" t="s">
        <v>6202</v>
      </c>
      <c r="D2504" s="7" t="s">
        <v>6203</v>
      </c>
      <c r="E2504" s="6" t="s">
        <v>6204</v>
      </c>
      <c r="F2504" s="8"/>
      <c r="G2504" s="8"/>
      <c r="H2504" s="8"/>
    </row>
    <row r="2505" spans="1:8">
      <c r="A2505" s="6" t="s">
        <v>235</v>
      </c>
      <c r="B2505" s="7" t="s">
        <v>6145</v>
      </c>
      <c r="C2505" s="7" t="s">
        <v>6145</v>
      </c>
      <c r="D2505" s="7" t="s">
        <v>6205</v>
      </c>
      <c r="E2505" s="6" t="s">
        <v>6206</v>
      </c>
      <c r="F2505" s="8"/>
      <c r="G2505" s="8"/>
      <c r="H2505" s="8"/>
    </row>
    <row r="2506" spans="1:8">
      <c r="A2506" s="6" t="s">
        <v>235</v>
      </c>
      <c r="B2506" s="7" t="s">
        <v>700</v>
      </c>
      <c r="C2506" s="7" t="s">
        <v>700</v>
      </c>
      <c r="D2506" s="7" t="s">
        <v>6207</v>
      </c>
      <c r="E2506" s="6" t="s">
        <v>6208</v>
      </c>
      <c r="F2506" s="8"/>
      <c r="G2506" s="8"/>
      <c r="H2506" s="8"/>
    </row>
    <row r="2507" spans="1:8">
      <c r="A2507" s="6" t="s">
        <v>235</v>
      </c>
      <c r="B2507" s="7" t="s">
        <v>1079</v>
      </c>
      <c r="C2507" s="7" t="s">
        <v>1512</v>
      </c>
      <c r="D2507" s="7" t="s">
        <v>6209</v>
      </c>
      <c r="E2507" s="6" t="s">
        <v>6210</v>
      </c>
      <c r="F2507" s="8"/>
      <c r="G2507" s="8"/>
      <c r="H2507" s="8"/>
    </row>
    <row r="2508" spans="1:8">
      <c r="A2508" s="6" t="s">
        <v>235</v>
      </c>
      <c r="B2508" s="7" t="s">
        <v>4636</v>
      </c>
      <c r="C2508" s="7" t="s">
        <v>6211</v>
      </c>
      <c r="D2508" s="7" t="s">
        <v>6212</v>
      </c>
      <c r="E2508" s="6" t="s">
        <v>6213</v>
      </c>
      <c r="F2508" s="8" t="s">
        <v>7021</v>
      </c>
      <c r="G2508" s="8" t="s">
        <v>7018</v>
      </c>
      <c r="H2508" s="8" t="s">
        <v>7057</v>
      </c>
    </row>
    <row r="2509" spans="1:8">
      <c r="A2509" s="6" t="s">
        <v>235</v>
      </c>
      <c r="B2509" s="7" t="s">
        <v>6214</v>
      </c>
      <c r="C2509" s="7" t="s">
        <v>1119</v>
      </c>
      <c r="D2509" s="7" t="s">
        <v>6215</v>
      </c>
      <c r="E2509" s="6" t="s">
        <v>866</v>
      </c>
      <c r="F2509" s="8"/>
      <c r="G2509" s="8"/>
      <c r="H2509" s="8"/>
    </row>
    <row r="2510" spans="1:8">
      <c r="A2510" s="6" t="s">
        <v>235</v>
      </c>
      <c r="B2510" s="7" t="s">
        <v>6214</v>
      </c>
      <c r="C2510" s="7" t="s">
        <v>1119</v>
      </c>
      <c r="D2510" s="7" t="s">
        <v>6216</v>
      </c>
      <c r="E2510" s="6" t="s">
        <v>6217</v>
      </c>
      <c r="F2510" s="8"/>
      <c r="G2510" s="8"/>
      <c r="H2510" s="8"/>
    </row>
    <row r="2511" spans="1:8">
      <c r="A2511" s="6" t="s">
        <v>235</v>
      </c>
      <c r="B2511" s="7" t="s">
        <v>6214</v>
      </c>
      <c r="C2511" s="7" t="s">
        <v>1119</v>
      </c>
      <c r="D2511" s="7" t="s">
        <v>6218</v>
      </c>
      <c r="E2511" s="6" t="s">
        <v>1176</v>
      </c>
      <c r="F2511" s="8"/>
      <c r="G2511" s="8"/>
      <c r="H2511" s="8"/>
    </row>
    <row r="2512" spans="1:8">
      <c r="A2512" s="6" t="s">
        <v>235</v>
      </c>
      <c r="B2512" s="7" t="s">
        <v>6219</v>
      </c>
      <c r="C2512" s="7" t="s">
        <v>365</v>
      </c>
      <c r="D2512" s="7" t="s">
        <v>6220</v>
      </c>
      <c r="E2512" s="6" t="s">
        <v>972</v>
      </c>
      <c r="F2512" s="8" t="s">
        <v>3334</v>
      </c>
      <c r="G2512" s="8" t="s">
        <v>6929</v>
      </c>
      <c r="H2512" s="8" t="s">
        <v>7244</v>
      </c>
    </row>
    <row r="2513" spans="1:8">
      <c r="A2513" s="6" t="s">
        <v>235</v>
      </c>
      <c r="B2513" s="7" t="s">
        <v>6219</v>
      </c>
      <c r="C2513" s="7" t="s">
        <v>365</v>
      </c>
      <c r="D2513" s="7" t="s">
        <v>6221</v>
      </c>
      <c r="E2513" s="6" t="s">
        <v>6222</v>
      </c>
      <c r="F2513" s="8" t="s">
        <v>3334</v>
      </c>
      <c r="G2513" s="8" t="s">
        <v>6929</v>
      </c>
      <c r="H2513" s="8" t="s">
        <v>7244</v>
      </c>
    </row>
    <row r="2514" spans="1:8">
      <c r="A2514" s="6" t="s">
        <v>235</v>
      </c>
      <c r="B2514" s="7" t="s">
        <v>6219</v>
      </c>
      <c r="C2514" s="7" t="s">
        <v>365</v>
      </c>
      <c r="D2514" s="7" t="s">
        <v>6223</v>
      </c>
      <c r="E2514" s="6" t="s">
        <v>6224</v>
      </c>
      <c r="F2514" s="8"/>
      <c r="G2514" s="8"/>
      <c r="H2514" s="8"/>
    </row>
    <row r="2515" spans="1:8">
      <c r="A2515" s="6" t="s">
        <v>235</v>
      </c>
      <c r="B2515" s="7" t="s">
        <v>6219</v>
      </c>
      <c r="C2515" s="7" t="s">
        <v>365</v>
      </c>
      <c r="D2515" s="7" t="s">
        <v>6225</v>
      </c>
      <c r="E2515" s="6" t="s">
        <v>591</v>
      </c>
      <c r="F2515" s="8" t="s">
        <v>3334</v>
      </c>
      <c r="G2515" s="8" t="s">
        <v>6929</v>
      </c>
      <c r="H2515" s="8" t="s">
        <v>7244</v>
      </c>
    </row>
    <row r="2516" spans="1:8">
      <c r="A2516" s="6" t="s">
        <v>235</v>
      </c>
      <c r="B2516" s="7" t="s">
        <v>6219</v>
      </c>
      <c r="C2516" s="7" t="s">
        <v>365</v>
      </c>
      <c r="D2516" s="7" t="s">
        <v>6226</v>
      </c>
      <c r="E2516" s="6" t="s">
        <v>6227</v>
      </c>
      <c r="F2516" s="8" t="s">
        <v>3334</v>
      </c>
      <c r="G2516" s="8" t="s">
        <v>6929</v>
      </c>
      <c r="H2516" s="8" t="s">
        <v>7244</v>
      </c>
    </row>
    <row r="2517" spans="1:8">
      <c r="A2517" s="6" t="s">
        <v>235</v>
      </c>
      <c r="B2517" s="7" t="s">
        <v>6228</v>
      </c>
      <c r="C2517" s="7" t="s">
        <v>6229</v>
      </c>
      <c r="D2517" s="7" t="s">
        <v>6230</v>
      </c>
      <c r="E2517" s="6" t="s">
        <v>6231</v>
      </c>
      <c r="F2517" s="8"/>
      <c r="G2517" s="8"/>
      <c r="H2517" s="8"/>
    </row>
    <row r="2518" spans="1:8">
      <c r="A2518" s="6" t="s">
        <v>235</v>
      </c>
      <c r="B2518" s="7" t="s">
        <v>6228</v>
      </c>
      <c r="C2518" s="7" t="s">
        <v>6229</v>
      </c>
      <c r="D2518" s="7" t="s">
        <v>6232</v>
      </c>
      <c r="E2518" s="6" t="s">
        <v>6233</v>
      </c>
      <c r="F2518" s="8"/>
      <c r="G2518" s="8"/>
      <c r="H2518" s="8"/>
    </row>
    <row r="2519" spans="1:8">
      <c r="A2519" s="6" t="s">
        <v>235</v>
      </c>
      <c r="B2519" s="7" t="s">
        <v>6154</v>
      </c>
      <c r="C2519" s="7" t="s">
        <v>6154</v>
      </c>
      <c r="D2519" s="7" t="s">
        <v>6234</v>
      </c>
      <c r="E2519" s="6" t="s">
        <v>6235</v>
      </c>
      <c r="F2519" s="8"/>
      <c r="G2519" s="8"/>
      <c r="H2519" s="8"/>
    </row>
    <row r="2520" spans="1:8">
      <c r="A2520" s="6" t="s">
        <v>235</v>
      </c>
      <c r="B2520" s="7" t="s">
        <v>6236</v>
      </c>
      <c r="C2520" s="7" t="s">
        <v>881</v>
      </c>
      <c r="D2520" s="7" t="s">
        <v>6237</v>
      </c>
      <c r="E2520" s="6" t="s">
        <v>2583</v>
      </c>
      <c r="F2520" s="8"/>
      <c r="G2520" s="8"/>
      <c r="H2520" s="8"/>
    </row>
    <row r="2521" spans="1:8">
      <c r="A2521" s="6" t="s">
        <v>235</v>
      </c>
      <c r="B2521" s="7" t="s">
        <v>6236</v>
      </c>
      <c r="C2521" s="7" t="s">
        <v>881</v>
      </c>
      <c r="D2521" s="7" t="s">
        <v>6238</v>
      </c>
      <c r="E2521" s="6" t="s">
        <v>4206</v>
      </c>
      <c r="F2521" s="8"/>
      <c r="G2521" s="8"/>
      <c r="H2521" s="8"/>
    </row>
    <row r="2522" spans="1:8">
      <c r="A2522" s="6" t="s">
        <v>564</v>
      </c>
      <c r="B2522" s="7" t="s">
        <v>565</v>
      </c>
      <c r="C2522" s="7" t="s">
        <v>566</v>
      </c>
      <c r="D2522" s="7" t="s">
        <v>567</v>
      </c>
      <c r="E2522" s="6" t="s">
        <v>568</v>
      </c>
      <c r="F2522" s="8"/>
      <c r="G2522" s="8"/>
      <c r="H2522" s="8"/>
    </row>
    <row r="2523" spans="1:8">
      <c r="A2523" s="6" t="s">
        <v>564</v>
      </c>
      <c r="B2523" s="7" t="s">
        <v>565</v>
      </c>
      <c r="C2523" s="7" t="s">
        <v>3703</v>
      </c>
      <c r="D2523" s="7" t="s">
        <v>3704</v>
      </c>
      <c r="E2523" s="6" t="s">
        <v>3705</v>
      </c>
      <c r="F2523" s="8"/>
      <c r="G2523" s="8"/>
      <c r="H2523" s="8"/>
    </row>
    <row r="2524" spans="1:8">
      <c r="A2524" s="6" t="s">
        <v>564</v>
      </c>
      <c r="B2524" s="7" t="s">
        <v>565</v>
      </c>
      <c r="C2524" s="7" t="s">
        <v>3703</v>
      </c>
      <c r="D2524" s="7" t="s">
        <v>3706</v>
      </c>
      <c r="E2524" s="6" t="s">
        <v>3707</v>
      </c>
      <c r="F2524" s="8"/>
      <c r="G2524" s="8"/>
      <c r="H2524" s="8"/>
    </row>
    <row r="2525" spans="1:8">
      <c r="A2525" s="6" t="s">
        <v>564</v>
      </c>
      <c r="B2525" s="7" t="s">
        <v>565</v>
      </c>
      <c r="C2525" s="7" t="s">
        <v>3703</v>
      </c>
      <c r="D2525" s="7" t="s">
        <v>3708</v>
      </c>
      <c r="E2525" s="6" t="s">
        <v>3709</v>
      </c>
      <c r="F2525" s="8"/>
      <c r="G2525" s="8"/>
      <c r="H2525" s="8"/>
    </row>
    <row r="2526" spans="1:8">
      <c r="A2526" s="6" t="s">
        <v>564</v>
      </c>
      <c r="B2526" s="7" t="s">
        <v>565</v>
      </c>
      <c r="C2526" s="7" t="s">
        <v>566</v>
      </c>
      <c r="D2526" s="7" t="s">
        <v>3710</v>
      </c>
      <c r="E2526" s="6" t="s">
        <v>3711</v>
      </c>
      <c r="F2526" s="8"/>
      <c r="G2526" s="8"/>
      <c r="H2526" s="8"/>
    </row>
    <row r="2527" spans="1:8">
      <c r="A2527" s="6" t="s">
        <v>564</v>
      </c>
      <c r="B2527" s="7" t="s">
        <v>565</v>
      </c>
      <c r="C2527" s="7" t="s">
        <v>3703</v>
      </c>
      <c r="D2527" s="7" t="s">
        <v>3712</v>
      </c>
      <c r="E2527" s="6" t="s">
        <v>3713</v>
      </c>
      <c r="F2527" s="8"/>
      <c r="G2527" s="8"/>
      <c r="H2527" s="8"/>
    </row>
    <row r="2528" spans="1:8">
      <c r="A2528" s="6" t="s">
        <v>564</v>
      </c>
      <c r="B2528" s="7" t="s">
        <v>69</v>
      </c>
      <c r="C2528" s="7" t="s">
        <v>69</v>
      </c>
      <c r="D2528" s="7" t="s">
        <v>3714</v>
      </c>
      <c r="E2528" s="6" t="s">
        <v>3715</v>
      </c>
      <c r="F2528" s="8"/>
      <c r="G2528" s="8"/>
      <c r="H2528" s="8"/>
    </row>
    <row r="2529" spans="1:8">
      <c r="A2529" s="6" t="s">
        <v>564</v>
      </c>
      <c r="B2529" s="7" t="s">
        <v>565</v>
      </c>
      <c r="C2529" s="7" t="s">
        <v>566</v>
      </c>
      <c r="D2529" s="7" t="s">
        <v>3716</v>
      </c>
      <c r="E2529" s="6" t="s">
        <v>3717</v>
      </c>
      <c r="F2529" s="8"/>
      <c r="G2529" s="8"/>
      <c r="H2529" s="8"/>
    </row>
    <row r="2530" spans="1:8">
      <c r="A2530" s="6" t="s">
        <v>564</v>
      </c>
      <c r="B2530" s="7" t="s">
        <v>3718</v>
      </c>
      <c r="C2530" s="7" t="s">
        <v>3718</v>
      </c>
      <c r="D2530" s="7" t="s">
        <v>3719</v>
      </c>
      <c r="E2530" s="6" t="s">
        <v>3720</v>
      </c>
      <c r="F2530" s="8"/>
      <c r="G2530" s="8"/>
      <c r="H2530" s="8"/>
    </row>
    <row r="2531" spans="1:8">
      <c r="A2531" s="6" t="s">
        <v>1214</v>
      </c>
      <c r="B2531" s="7" t="s">
        <v>1215</v>
      </c>
      <c r="C2531" s="7" t="s">
        <v>1215</v>
      </c>
      <c r="D2531" s="7" t="s">
        <v>1216</v>
      </c>
      <c r="E2531" s="6" t="s">
        <v>1217</v>
      </c>
      <c r="F2531" s="8"/>
      <c r="G2531" s="8"/>
      <c r="H2531" s="8"/>
    </row>
    <row r="2532" spans="1:8">
      <c r="A2532" s="6" t="s">
        <v>1214</v>
      </c>
      <c r="B2532" s="7" t="s">
        <v>69</v>
      </c>
      <c r="C2532" s="7" t="s">
        <v>1215</v>
      </c>
      <c r="D2532" s="7" t="s">
        <v>1479</v>
      </c>
      <c r="E2532" s="6" t="s">
        <v>1480</v>
      </c>
      <c r="F2532" s="8"/>
      <c r="G2532" s="8"/>
      <c r="H2532" s="8"/>
    </row>
    <row r="2533" spans="1:8">
      <c r="A2533" s="6" t="s">
        <v>1214</v>
      </c>
      <c r="B2533" s="7" t="s">
        <v>134</v>
      </c>
      <c r="C2533" s="7" t="s">
        <v>135</v>
      </c>
      <c r="D2533" s="7" t="s">
        <v>3517</v>
      </c>
      <c r="E2533" s="6" t="s">
        <v>3518</v>
      </c>
      <c r="F2533" s="8" t="s">
        <v>6931</v>
      </c>
      <c r="G2533" s="8" t="s">
        <v>6929</v>
      </c>
      <c r="H2533" s="8" t="s">
        <v>7251</v>
      </c>
    </row>
    <row r="2534" spans="1:8">
      <c r="A2534" s="6" t="s">
        <v>1214</v>
      </c>
      <c r="B2534" s="7" t="s">
        <v>134</v>
      </c>
      <c r="C2534" s="7" t="s">
        <v>135</v>
      </c>
      <c r="D2534" s="7" t="s">
        <v>3519</v>
      </c>
      <c r="E2534" s="6" t="s">
        <v>3520</v>
      </c>
      <c r="F2534" s="8" t="s">
        <v>6931</v>
      </c>
      <c r="G2534" s="8" t="s">
        <v>6929</v>
      </c>
      <c r="H2534" s="8" t="s">
        <v>7251</v>
      </c>
    </row>
    <row r="2535" spans="1:8">
      <c r="A2535" s="6" t="s">
        <v>1214</v>
      </c>
      <c r="B2535" s="7" t="s">
        <v>69</v>
      </c>
      <c r="C2535" s="7" t="s">
        <v>1431</v>
      </c>
      <c r="D2535" s="7" t="s">
        <v>3521</v>
      </c>
      <c r="E2535" s="6" t="s">
        <v>2638</v>
      </c>
      <c r="F2535" s="8" t="s">
        <v>3334</v>
      </c>
      <c r="G2535" s="8" t="s">
        <v>6929</v>
      </c>
      <c r="H2535" s="8" t="s">
        <v>7145</v>
      </c>
    </row>
    <row r="2536" spans="1:8">
      <c r="A2536" s="6" t="s">
        <v>1214</v>
      </c>
      <c r="B2536" s="7" t="s">
        <v>69</v>
      </c>
      <c r="C2536" s="7" t="s">
        <v>78</v>
      </c>
      <c r="D2536" s="7" t="s">
        <v>3522</v>
      </c>
      <c r="E2536" s="6" t="s">
        <v>3523</v>
      </c>
      <c r="F2536" s="8"/>
      <c r="G2536" s="8"/>
      <c r="H2536" s="8"/>
    </row>
    <row r="2537" spans="1:8">
      <c r="A2537" s="6" t="s">
        <v>59</v>
      </c>
      <c r="B2537" s="7" t="s">
        <v>60</v>
      </c>
      <c r="C2537" s="7" t="s">
        <v>60</v>
      </c>
      <c r="D2537" s="7" t="s">
        <v>61</v>
      </c>
      <c r="E2537" s="6" t="s">
        <v>62</v>
      </c>
      <c r="F2537" s="8"/>
      <c r="G2537" s="8"/>
      <c r="H2537" s="8"/>
    </row>
    <row r="2538" spans="1:8">
      <c r="A2538" s="6" t="s">
        <v>59</v>
      </c>
      <c r="B2538" s="7" t="s">
        <v>257</v>
      </c>
      <c r="C2538" s="7" t="s">
        <v>257</v>
      </c>
      <c r="D2538" s="7" t="s">
        <v>258</v>
      </c>
      <c r="E2538" s="6" t="s">
        <v>259</v>
      </c>
      <c r="F2538" s="8" t="s">
        <v>3334</v>
      </c>
      <c r="G2538" s="8" t="s">
        <v>6953</v>
      </c>
      <c r="H2538" s="8" t="s">
        <v>7026</v>
      </c>
    </row>
    <row r="2539" spans="1:8">
      <c r="A2539" s="6" t="s">
        <v>59</v>
      </c>
      <c r="B2539" s="7" t="s">
        <v>60</v>
      </c>
      <c r="C2539" s="7" t="s">
        <v>60</v>
      </c>
      <c r="D2539" s="7" t="s">
        <v>421</v>
      </c>
      <c r="E2539" s="6" t="s">
        <v>422</v>
      </c>
      <c r="F2539" s="8"/>
      <c r="G2539" s="8"/>
      <c r="H2539" s="8"/>
    </row>
    <row r="2540" spans="1:8">
      <c r="A2540" s="6" t="s">
        <v>59</v>
      </c>
      <c r="B2540" s="7" t="s">
        <v>578</v>
      </c>
      <c r="C2540" s="7" t="s">
        <v>578</v>
      </c>
      <c r="D2540" s="7" t="s">
        <v>579</v>
      </c>
      <c r="E2540" s="6" t="s">
        <v>580</v>
      </c>
      <c r="F2540" s="8"/>
      <c r="G2540" s="8"/>
      <c r="H2540" s="8"/>
    </row>
    <row r="2541" spans="1:8">
      <c r="A2541" s="6" t="s">
        <v>59</v>
      </c>
      <c r="B2541" s="7" t="s">
        <v>760</v>
      </c>
      <c r="C2541" s="7" t="s">
        <v>760</v>
      </c>
      <c r="D2541" s="7" t="s">
        <v>761</v>
      </c>
      <c r="E2541" s="6" t="s">
        <v>762</v>
      </c>
      <c r="F2541" s="8" t="s">
        <v>3334</v>
      </c>
      <c r="G2541" s="8" t="s">
        <v>6953</v>
      </c>
      <c r="H2541" s="8" t="s">
        <v>7026</v>
      </c>
    </row>
    <row r="2542" spans="1:8">
      <c r="A2542" s="6" t="s">
        <v>59</v>
      </c>
      <c r="B2542" s="7" t="s">
        <v>940</v>
      </c>
      <c r="C2542" s="7" t="s">
        <v>940</v>
      </c>
      <c r="D2542" s="7" t="s">
        <v>941</v>
      </c>
      <c r="E2542" s="6" t="s">
        <v>942</v>
      </c>
      <c r="F2542" s="8"/>
      <c r="G2542" s="8"/>
      <c r="H2542" s="8"/>
    </row>
    <row r="2543" spans="1:8">
      <c r="A2543" s="6" t="s">
        <v>59</v>
      </c>
      <c r="B2543" s="7" t="s">
        <v>578</v>
      </c>
      <c r="C2543" s="7" t="s">
        <v>578</v>
      </c>
      <c r="D2543" s="7" t="s">
        <v>973</v>
      </c>
      <c r="E2543" s="6" t="s">
        <v>974</v>
      </c>
      <c r="F2543" s="8"/>
      <c r="G2543" s="8"/>
      <c r="H2543" s="8"/>
    </row>
    <row r="2544" spans="1:8">
      <c r="A2544" s="6" t="s">
        <v>59</v>
      </c>
      <c r="B2544" s="7" t="s">
        <v>60</v>
      </c>
      <c r="C2544" s="7" t="s">
        <v>60</v>
      </c>
      <c r="D2544" s="7" t="s">
        <v>999</v>
      </c>
      <c r="E2544" s="6" t="s">
        <v>1000</v>
      </c>
      <c r="F2544" s="8"/>
      <c r="G2544" s="8"/>
      <c r="H2544" s="8"/>
    </row>
    <row r="2545" spans="1:8">
      <c r="A2545" s="6" t="s">
        <v>59</v>
      </c>
      <c r="B2545" s="7" t="s">
        <v>60</v>
      </c>
      <c r="C2545" s="7" t="s">
        <v>60</v>
      </c>
      <c r="D2545" s="7" t="s">
        <v>1003</v>
      </c>
      <c r="E2545" s="6" t="s">
        <v>1004</v>
      </c>
      <c r="F2545" s="8"/>
      <c r="G2545" s="8"/>
      <c r="H2545" s="8"/>
    </row>
    <row r="2546" spans="1:8">
      <c r="A2546" s="6" t="s">
        <v>59</v>
      </c>
      <c r="B2546" s="7" t="s">
        <v>1258</v>
      </c>
      <c r="C2546" s="7" t="s">
        <v>1258</v>
      </c>
      <c r="D2546" s="7" t="s">
        <v>1259</v>
      </c>
      <c r="E2546" s="6" t="s">
        <v>1260</v>
      </c>
      <c r="F2546" s="8" t="s">
        <v>7254</v>
      </c>
      <c r="G2546" s="8" t="s">
        <v>6999</v>
      </c>
      <c r="H2546" s="8" t="s">
        <v>7255</v>
      </c>
    </row>
    <row r="2547" spans="1:8">
      <c r="A2547" s="6" t="s">
        <v>59</v>
      </c>
      <c r="B2547" s="7" t="s">
        <v>78</v>
      </c>
      <c r="C2547" s="7" t="s">
        <v>1301</v>
      </c>
      <c r="D2547" s="7" t="s">
        <v>1302</v>
      </c>
      <c r="E2547" s="6" t="s">
        <v>1303</v>
      </c>
      <c r="F2547" s="8" t="s">
        <v>6931</v>
      </c>
      <c r="G2547" s="8" t="s">
        <v>6944</v>
      </c>
      <c r="H2547" s="8" t="s">
        <v>6954</v>
      </c>
    </row>
    <row r="2548" spans="1:8">
      <c r="A2548" s="6" t="s">
        <v>59</v>
      </c>
      <c r="B2548" s="7" t="s">
        <v>264</v>
      </c>
      <c r="C2548" s="7" t="s">
        <v>264</v>
      </c>
      <c r="D2548" s="7" t="s">
        <v>1787</v>
      </c>
      <c r="E2548" s="6" t="s">
        <v>1788</v>
      </c>
      <c r="F2548" s="8" t="s">
        <v>5162</v>
      </c>
      <c r="G2548" s="8" t="s">
        <v>6953</v>
      </c>
      <c r="H2548" s="8" t="s">
        <v>7258</v>
      </c>
    </row>
    <row r="2549" spans="1:8">
      <c r="A2549" s="6" t="s">
        <v>59</v>
      </c>
      <c r="B2549" s="7" t="s">
        <v>264</v>
      </c>
      <c r="C2549" s="7" t="s">
        <v>264</v>
      </c>
      <c r="D2549" s="7" t="s">
        <v>1846</v>
      </c>
      <c r="E2549" s="6" t="s">
        <v>1847</v>
      </c>
      <c r="F2549" s="8" t="s">
        <v>5162</v>
      </c>
      <c r="G2549" s="8" t="s">
        <v>6929</v>
      </c>
      <c r="H2549" s="8" t="s">
        <v>7253</v>
      </c>
    </row>
    <row r="2550" spans="1:8">
      <c r="A2550" s="6" t="s">
        <v>59</v>
      </c>
      <c r="B2550" s="7" t="s">
        <v>609</v>
      </c>
      <c r="C2550" s="7" t="s">
        <v>609</v>
      </c>
      <c r="D2550" s="7" t="s">
        <v>5378</v>
      </c>
      <c r="E2550" s="6" t="s">
        <v>5379</v>
      </c>
      <c r="F2550" s="8"/>
      <c r="G2550" s="8"/>
      <c r="H2550" s="8"/>
    </row>
    <row r="2551" spans="1:8">
      <c r="A2551" s="6" t="s">
        <v>59</v>
      </c>
      <c r="B2551" s="7" t="s">
        <v>5380</v>
      </c>
      <c r="C2551" s="7" t="s">
        <v>5381</v>
      </c>
      <c r="D2551" s="7" t="s">
        <v>5382</v>
      </c>
      <c r="E2551" s="6" t="s">
        <v>5383</v>
      </c>
      <c r="F2551" s="8"/>
      <c r="G2551" s="8"/>
      <c r="H2551" s="8"/>
    </row>
    <row r="2552" spans="1:8">
      <c r="A2552" s="6" t="s">
        <v>59</v>
      </c>
      <c r="B2552" s="7" t="s">
        <v>5384</v>
      </c>
      <c r="C2552" s="7" t="s">
        <v>5384</v>
      </c>
      <c r="D2552" s="7" t="s">
        <v>5385</v>
      </c>
      <c r="E2552" s="6" t="s">
        <v>5386</v>
      </c>
      <c r="F2552" s="8"/>
      <c r="G2552" s="8"/>
      <c r="H2552" s="8"/>
    </row>
    <row r="2553" spans="1:8">
      <c r="A2553" s="6" t="s">
        <v>59</v>
      </c>
      <c r="B2553" s="7" t="s">
        <v>60</v>
      </c>
      <c r="C2553" s="7" t="s">
        <v>5387</v>
      </c>
      <c r="D2553" s="7" t="s">
        <v>5388</v>
      </c>
      <c r="E2553" s="6" t="s">
        <v>5389</v>
      </c>
      <c r="F2553" s="8"/>
      <c r="G2553" s="8"/>
      <c r="H2553" s="8"/>
    </row>
    <row r="2554" spans="1:8">
      <c r="A2554" s="6" t="s">
        <v>59</v>
      </c>
      <c r="B2554" s="7" t="s">
        <v>60</v>
      </c>
      <c r="C2554" s="7" t="s">
        <v>5387</v>
      </c>
      <c r="D2554" s="7" t="s">
        <v>5390</v>
      </c>
      <c r="E2554" s="6" t="s">
        <v>5391</v>
      </c>
      <c r="F2554" s="8"/>
      <c r="G2554" s="8"/>
      <c r="H2554" s="8"/>
    </row>
    <row r="2555" spans="1:8">
      <c r="A2555" s="6" t="s">
        <v>59</v>
      </c>
      <c r="B2555" s="7" t="s">
        <v>60</v>
      </c>
      <c r="C2555" s="7" t="s">
        <v>5387</v>
      </c>
      <c r="D2555" s="7" t="s">
        <v>5392</v>
      </c>
      <c r="E2555" s="6" t="s">
        <v>5393</v>
      </c>
      <c r="F2555" s="8"/>
      <c r="G2555" s="8"/>
      <c r="H2555" s="8"/>
    </row>
    <row r="2556" spans="1:8">
      <c r="A2556" s="6" t="s">
        <v>59</v>
      </c>
      <c r="B2556" s="7" t="s">
        <v>60</v>
      </c>
      <c r="C2556" s="7" t="s">
        <v>5387</v>
      </c>
      <c r="D2556" s="7" t="s">
        <v>5394</v>
      </c>
      <c r="E2556" s="6" t="s">
        <v>5395</v>
      </c>
      <c r="F2556" s="8"/>
      <c r="G2556" s="8"/>
      <c r="H2556" s="8"/>
    </row>
    <row r="2557" spans="1:8">
      <c r="A2557" s="6" t="s">
        <v>59</v>
      </c>
      <c r="B2557" s="7" t="s">
        <v>60</v>
      </c>
      <c r="C2557" s="7" t="s">
        <v>5387</v>
      </c>
      <c r="D2557" s="7" t="s">
        <v>5396</v>
      </c>
      <c r="E2557" s="6" t="s">
        <v>2300</v>
      </c>
      <c r="F2557" s="8" t="s">
        <v>6943</v>
      </c>
      <c r="G2557" s="8" t="s">
        <v>6953</v>
      </c>
      <c r="H2557" s="8" t="s">
        <v>7256</v>
      </c>
    </row>
    <row r="2558" spans="1:8">
      <c r="A2558" s="6" t="s">
        <v>59</v>
      </c>
      <c r="B2558" s="7" t="s">
        <v>60</v>
      </c>
      <c r="C2558" s="7" t="s">
        <v>5387</v>
      </c>
      <c r="D2558" s="7" t="s">
        <v>5397</v>
      </c>
      <c r="E2558" s="6" t="s">
        <v>5398</v>
      </c>
      <c r="F2558" s="8"/>
      <c r="G2558" s="8"/>
      <c r="H2558" s="8"/>
    </row>
    <row r="2559" spans="1:8">
      <c r="A2559" s="6" t="s">
        <v>59</v>
      </c>
      <c r="B2559" s="7" t="s">
        <v>60</v>
      </c>
      <c r="C2559" s="7" t="s">
        <v>5387</v>
      </c>
      <c r="D2559" s="7" t="s">
        <v>5399</v>
      </c>
      <c r="E2559" s="6" t="s">
        <v>5400</v>
      </c>
      <c r="F2559" s="8"/>
      <c r="G2559" s="8"/>
      <c r="H2559" s="8"/>
    </row>
    <row r="2560" spans="1:8">
      <c r="A2560" s="6" t="s">
        <v>59</v>
      </c>
      <c r="B2560" s="7" t="s">
        <v>5401</v>
      </c>
      <c r="C2560" s="7" t="s">
        <v>5401</v>
      </c>
      <c r="D2560" s="7" t="s">
        <v>5402</v>
      </c>
      <c r="E2560" s="6" t="s">
        <v>5403</v>
      </c>
      <c r="F2560" s="8"/>
      <c r="G2560" s="8"/>
      <c r="H2560" s="8"/>
    </row>
    <row r="2561" spans="1:8">
      <c r="A2561" s="6" t="s">
        <v>59</v>
      </c>
      <c r="B2561" s="7" t="s">
        <v>5401</v>
      </c>
      <c r="C2561" s="7" t="s">
        <v>5401</v>
      </c>
      <c r="D2561" s="7" t="s">
        <v>5404</v>
      </c>
      <c r="E2561" s="6" t="s">
        <v>5405</v>
      </c>
      <c r="F2561" s="8"/>
      <c r="G2561" s="8"/>
      <c r="H2561" s="8"/>
    </row>
    <row r="2562" spans="1:8">
      <c r="A2562" s="6" t="s">
        <v>59</v>
      </c>
      <c r="B2562" s="7" t="s">
        <v>116</v>
      </c>
      <c r="C2562" s="7" t="s">
        <v>116</v>
      </c>
      <c r="D2562" s="7" t="s">
        <v>5406</v>
      </c>
      <c r="E2562" s="6" t="s">
        <v>5407</v>
      </c>
      <c r="F2562" s="8"/>
      <c r="G2562" s="8"/>
      <c r="H2562" s="8"/>
    </row>
    <row r="2563" spans="1:8">
      <c r="A2563" s="6" t="s">
        <v>59</v>
      </c>
      <c r="B2563" s="7" t="s">
        <v>264</v>
      </c>
      <c r="C2563" s="7" t="s">
        <v>264</v>
      </c>
      <c r="D2563" s="7" t="s">
        <v>5408</v>
      </c>
      <c r="E2563" s="6" t="s">
        <v>5409</v>
      </c>
      <c r="F2563" s="8"/>
      <c r="G2563" s="8"/>
      <c r="H2563" s="8"/>
    </row>
    <row r="2564" spans="1:8">
      <c r="A2564" s="6" t="s">
        <v>59</v>
      </c>
      <c r="B2564" s="7" t="s">
        <v>264</v>
      </c>
      <c r="C2564" s="7" t="s">
        <v>264</v>
      </c>
      <c r="D2564" s="7" t="s">
        <v>5410</v>
      </c>
      <c r="E2564" s="6" t="s">
        <v>5411</v>
      </c>
      <c r="F2564" s="8"/>
      <c r="G2564" s="8"/>
      <c r="H2564" s="8"/>
    </row>
    <row r="2565" spans="1:8">
      <c r="A2565" s="6" t="s">
        <v>59</v>
      </c>
      <c r="B2565" s="7" t="s">
        <v>149</v>
      </c>
      <c r="C2565" s="7" t="s">
        <v>149</v>
      </c>
      <c r="D2565" s="7" t="s">
        <v>5412</v>
      </c>
      <c r="E2565" s="6" t="s">
        <v>5413</v>
      </c>
      <c r="F2565" s="8"/>
      <c r="G2565" s="8"/>
      <c r="H2565" s="8"/>
    </row>
    <row r="2566" spans="1:8">
      <c r="A2566" s="6" t="s">
        <v>59</v>
      </c>
      <c r="B2566" s="7" t="s">
        <v>149</v>
      </c>
      <c r="C2566" s="7" t="s">
        <v>149</v>
      </c>
      <c r="D2566" s="7" t="s">
        <v>5414</v>
      </c>
      <c r="E2566" s="6" t="s">
        <v>4650</v>
      </c>
      <c r="F2566" s="8" t="s">
        <v>6943</v>
      </c>
      <c r="G2566" s="8" t="s">
        <v>6929</v>
      </c>
      <c r="H2566" s="8" t="s">
        <v>6927</v>
      </c>
    </row>
    <row r="2567" spans="1:8">
      <c r="A2567" s="6" t="s">
        <v>59</v>
      </c>
      <c r="B2567" s="7" t="s">
        <v>149</v>
      </c>
      <c r="C2567" s="7" t="s">
        <v>149</v>
      </c>
      <c r="D2567" s="7" t="s">
        <v>5415</v>
      </c>
      <c r="E2567" s="6" t="s">
        <v>5416</v>
      </c>
      <c r="F2567" s="8" t="s">
        <v>6939</v>
      </c>
      <c r="G2567" s="8" t="s">
        <v>6929</v>
      </c>
      <c r="H2567" s="8" t="s">
        <v>6927</v>
      </c>
    </row>
    <row r="2568" spans="1:8">
      <c r="A2568" s="6" t="s">
        <v>59</v>
      </c>
      <c r="B2568" s="7" t="s">
        <v>149</v>
      </c>
      <c r="C2568" s="7" t="s">
        <v>149</v>
      </c>
      <c r="D2568" s="7" t="s">
        <v>5417</v>
      </c>
      <c r="E2568" s="6" t="s">
        <v>5418</v>
      </c>
      <c r="F2568" s="8" t="s">
        <v>6939</v>
      </c>
      <c r="G2568" s="8" t="s">
        <v>6929</v>
      </c>
      <c r="H2568" s="8" t="s">
        <v>6927</v>
      </c>
    </row>
    <row r="2569" spans="1:8">
      <c r="A2569" s="6" t="s">
        <v>59</v>
      </c>
      <c r="B2569" s="7" t="s">
        <v>149</v>
      </c>
      <c r="C2569" s="7" t="s">
        <v>149</v>
      </c>
      <c r="D2569" s="7" t="s">
        <v>5419</v>
      </c>
      <c r="E2569" s="6" t="s">
        <v>2914</v>
      </c>
      <c r="F2569" s="8"/>
      <c r="G2569" s="8"/>
      <c r="H2569" s="8"/>
    </row>
    <row r="2570" spans="1:8">
      <c r="A2570" s="6" t="s">
        <v>59</v>
      </c>
      <c r="B2570" s="7" t="s">
        <v>898</v>
      </c>
      <c r="C2570" s="7" t="s">
        <v>898</v>
      </c>
      <c r="D2570" s="7" t="s">
        <v>5420</v>
      </c>
      <c r="E2570" s="6" t="s">
        <v>5421</v>
      </c>
      <c r="F2570" s="8"/>
      <c r="G2570" s="8"/>
      <c r="H2570" s="8"/>
    </row>
    <row r="2571" spans="1:8">
      <c r="A2571" s="6" t="s">
        <v>59</v>
      </c>
      <c r="B2571" s="7" t="s">
        <v>898</v>
      </c>
      <c r="C2571" s="7" t="s">
        <v>898</v>
      </c>
      <c r="D2571" s="7" t="s">
        <v>5422</v>
      </c>
      <c r="E2571" s="6" t="s">
        <v>5423</v>
      </c>
      <c r="F2571" s="8" t="s">
        <v>6943</v>
      </c>
      <c r="G2571" s="8" t="s">
        <v>6929</v>
      </c>
      <c r="H2571" s="8" t="s">
        <v>6927</v>
      </c>
    </row>
    <row r="2572" spans="1:8">
      <c r="A2572" s="6" t="s">
        <v>59</v>
      </c>
      <c r="B2572" s="7" t="s">
        <v>448</v>
      </c>
      <c r="C2572" s="7" t="s">
        <v>448</v>
      </c>
      <c r="D2572" s="7" t="s">
        <v>5424</v>
      </c>
      <c r="E2572" s="6" t="s">
        <v>5425</v>
      </c>
      <c r="F2572" s="8" t="s">
        <v>6943</v>
      </c>
      <c r="G2572" s="8" t="s">
        <v>6929</v>
      </c>
      <c r="H2572" s="8" t="s">
        <v>7112</v>
      </c>
    </row>
    <row r="2573" spans="1:8">
      <c r="A2573" s="6" t="s">
        <v>59</v>
      </c>
      <c r="B2573" s="7" t="s">
        <v>760</v>
      </c>
      <c r="C2573" s="7" t="s">
        <v>760</v>
      </c>
      <c r="D2573" s="7" t="s">
        <v>5426</v>
      </c>
      <c r="E2573" s="6" t="s">
        <v>2675</v>
      </c>
      <c r="F2573" s="8"/>
      <c r="G2573" s="8"/>
      <c r="H2573" s="8"/>
    </row>
    <row r="2574" spans="1:8">
      <c r="A2574" s="6" t="s">
        <v>59</v>
      </c>
      <c r="B2574" s="7" t="s">
        <v>5427</v>
      </c>
      <c r="C2574" s="7" t="s">
        <v>5427</v>
      </c>
      <c r="D2574" s="7" t="s">
        <v>5428</v>
      </c>
      <c r="E2574" s="6" t="s">
        <v>5429</v>
      </c>
      <c r="F2574" s="8"/>
      <c r="G2574" s="8"/>
      <c r="H2574" s="8"/>
    </row>
    <row r="2575" spans="1:8">
      <c r="A2575" s="6" t="s">
        <v>59</v>
      </c>
      <c r="B2575" s="7" t="s">
        <v>78</v>
      </c>
      <c r="C2575" s="7" t="s">
        <v>1301</v>
      </c>
      <c r="D2575" s="7" t="s">
        <v>5430</v>
      </c>
      <c r="E2575" s="6" t="s">
        <v>5431</v>
      </c>
      <c r="F2575" s="8"/>
      <c r="G2575" s="8"/>
      <c r="H2575" s="8"/>
    </row>
    <row r="2576" spans="1:8">
      <c r="A2576" s="6" t="s">
        <v>59</v>
      </c>
      <c r="B2576" s="7" t="s">
        <v>74</v>
      </c>
      <c r="C2576" s="7" t="s">
        <v>74</v>
      </c>
      <c r="D2576" s="7" t="s">
        <v>5432</v>
      </c>
      <c r="E2576" s="6" t="s">
        <v>5433</v>
      </c>
      <c r="F2576" s="8"/>
      <c r="G2576" s="8"/>
      <c r="H2576" s="8"/>
    </row>
    <row r="2577" spans="1:8">
      <c r="A2577" s="6" t="s">
        <v>59</v>
      </c>
      <c r="B2577" s="7" t="s">
        <v>1131</v>
      </c>
      <c r="C2577" s="7" t="s">
        <v>1131</v>
      </c>
      <c r="D2577" s="7" t="s">
        <v>5434</v>
      </c>
      <c r="E2577" s="6" t="s">
        <v>5435</v>
      </c>
      <c r="F2577" s="8"/>
      <c r="G2577" s="8"/>
      <c r="H2577" s="8"/>
    </row>
    <row r="2578" spans="1:8">
      <c r="A2578" s="6" t="s">
        <v>59</v>
      </c>
      <c r="B2578" s="7" t="s">
        <v>5436</v>
      </c>
      <c r="C2578" s="7" t="s">
        <v>5436</v>
      </c>
      <c r="D2578" s="7" t="s">
        <v>5437</v>
      </c>
      <c r="E2578" s="6" t="s">
        <v>5438</v>
      </c>
      <c r="F2578" s="8"/>
      <c r="G2578" s="8"/>
      <c r="H2578" s="8"/>
    </row>
    <row r="2579" spans="1:8">
      <c r="A2579" s="6" t="s">
        <v>59</v>
      </c>
      <c r="B2579" s="7" t="s">
        <v>4716</v>
      </c>
      <c r="C2579" s="7" t="s">
        <v>5439</v>
      </c>
      <c r="D2579" s="7" t="s">
        <v>5440</v>
      </c>
      <c r="E2579" s="6" t="s">
        <v>5178</v>
      </c>
      <c r="F2579" s="8"/>
      <c r="G2579" s="8"/>
      <c r="H2579" s="8"/>
    </row>
    <row r="2580" spans="1:8">
      <c r="A2580" s="6" t="s">
        <v>252</v>
      </c>
      <c r="B2580" s="7" t="s">
        <v>149</v>
      </c>
      <c r="C2580" s="7" t="s">
        <v>149</v>
      </c>
      <c r="D2580" s="7" t="s">
        <v>253</v>
      </c>
      <c r="E2580" s="6" t="s">
        <v>254</v>
      </c>
      <c r="F2580" s="8"/>
      <c r="G2580" s="8"/>
      <c r="H2580" s="8"/>
    </row>
    <row r="2581" spans="1:8">
      <c r="A2581" s="6" t="s">
        <v>252</v>
      </c>
      <c r="B2581" s="7" t="s">
        <v>390</v>
      </c>
      <c r="C2581" s="7" t="s">
        <v>390</v>
      </c>
      <c r="D2581" s="7" t="s">
        <v>391</v>
      </c>
      <c r="E2581" s="6" t="s">
        <v>338</v>
      </c>
      <c r="F2581" s="8"/>
      <c r="G2581" s="8"/>
      <c r="H2581" s="8"/>
    </row>
    <row r="2582" spans="1:8">
      <c r="A2582" s="6" t="s">
        <v>252</v>
      </c>
      <c r="B2582" s="7" t="s">
        <v>202</v>
      </c>
      <c r="C2582" s="7" t="s">
        <v>202</v>
      </c>
      <c r="D2582" s="7" t="s">
        <v>4852</v>
      </c>
      <c r="E2582" s="6" t="s">
        <v>1809</v>
      </c>
      <c r="F2582" s="8"/>
      <c r="G2582" s="8"/>
      <c r="H2582" s="8"/>
    </row>
    <row r="2583" spans="1:8">
      <c r="A2583" s="6" t="s">
        <v>252</v>
      </c>
      <c r="B2583" s="7" t="s">
        <v>202</v>
      </c>
      <c r="C2583" s="7" t="s">
        <v>202</v>
      </c>
      <c r="D2583" s="7" t="s">
        <v>4853</v>
      </c>
      <c r="E2583" s="6" t="s">
        <v>4854</v>
      </c>
      <c r="F2583" s="8"/>
      <c r="G2583" s="8"/>
      <c r="H2583" s="8"/>
    </row>
    <row r="2584" spans="1:8">
      <c r="A2584" s="6" t="s">
        <v>252</v>
      </c>
      <c r="B2584" s="7" t="s">
        <v>202</v>
      </c>
      <c r="C2584" s="7" t="s">
        <v>202</v>
      </c>
      <c r="D2584" s="7" t="s">
        <v>4855</v>
      </c>
      <c r="E2584" s="6" t="s">
        <v>4856</v>
      </c>
      <c r="F2584" s="8"/>
      <c r="G2584" s="8"/>
      <c r="H2584" s="8"/>
    </row>
    <row r="2585" spans="1:8">
      <c r="A2585" s="6" t="s">
        <v>252</v>
      </c>
      <c r="B2585" s="7" t="s">
        <v>202</v>
      </c>
      <c r="C2585" s="7" t="s">
        <v>202</v>
      </c>
      <c r="D2585" s="7" t="s">
        <v>4857</v>
      </c>
      <c r="E2585" s="6" t="s">
        <v>4858</v>
      </c>
      <c r="F2585" s="8"/>
      <c r="G2585" s="8"/>
      <c r="H2585" s="8"/>
    </row>
    <row r="2586" spans="1:8">
      <c r="A2586" s="6" t="s">
        <v>252</v>
      </c>
      <c r="B2586" s="7" t="s">
        <v>149</v>
      </c>
      <c r="C2586" s="7" t="s">
        <v>149</v>
      </c>
      <c r="D2586" s="7" t="s">
        <v>4859</v>
      </c>
      <c r="E2586" s="6" t="s">
        <v>4860</v>
      </c>
      <c r="F2586" s="8"/>
      <c r="G2586" s="8"/>
      <c r="H2586" s="8"/>
    </row>
    <row r="2587" spans="1:8">
      <c r="A2587" s="6" t="s">
        <v>252</v>
      </c>
      <c r="B2587" s="7" t="s">
        <v>149</v>
      </c>
      <c r="C2587" s="7" t="s">
        <v>149</v>
      </c>
      <c r="D2587" s="7" t="s">
        <v>4861</v>
      </c>
      <c r="E2587" s="6" t="s">
        <v>4862</v>
      </c>
      <c r="F2587" s="8"/>
      <c r="G2587" s="8"/>
      <c r="H2587" s="8"/>
    </row>
    <row r="2588" spans="1:8">
      <c r="A2588" s="6" t="s">
        <v>252</v>
      </c>
      <c r="B2588" s="7" t="s">
        <v>149</v>
      </c>
      <c r="C2588" s="7" t="s">
        <v>149</v>
      </c>
      <c r="D2588" s="7" t="s">
        <v>4863</v>
      </c>
      <c r="E2588" s="6" t="s">
        <v>4864</v>
      </c>
      <c r="F2588" s="8"/>
      <c r="G2588" s="8"/>
      <c r="H2588" s="8"/>
    </row>
    <row r="2589" spans="1:8">
      <c r="A2589" s="6" t="s">
        <v>252</v>
      </c>
      <c r="B2589" s="7" t="s">
        <v>202</v>
      </c>
      <c r="C2589" s="7" t="s">
        <v>202</v>
      </c>
      <c r="D2589" s="7" t="s">
        <v>4865</v>
      </c>
      <c r="E2589" s="6" t="s">
        <v>4866</v>
      </c>
      <c r="F2589" s="8"/>
      <c r="G2589" s="8"/>
      <c r="H2589" s="8"/>
    </row>
    <row r="2590" spans="1:8">
      <c r="A2590" s="6" t="s">
        <v>252</v>
      </c>
      <c r="B2590" s="7" t="s">
        <v>202</v>
      </c>
      <c r="C2590" s="7" t="s">
        <v>202</v>
      </c>
      <c r="D2590" s="7" t="s">
        <v>4867</v>
      </c>
      <c r="E2590" s="6" t="s">
        <v>1634</v>
      </c>
      <c r="F2590" s="8"/>
      <c r="G2590" s="8"/>
      <c r="H2590" s="8"/>
    </row>
    <row r="2591" spans="1:8">
      <c r="A2591" s="6" t="s">
        <v>252</v>
      </c>
      <c r="B2591" s="7" t="s">
        <v>4868</v>
      </c>
      <c r="C2591" s="7" t="s">
        <v>4868</v>
      </c>
      <c r="D2591" s="7" t="s">
        <v>4869</v>
      </c>
      <c r="E2591" s="6" t="s">
        <v>4870</v>
      </c>
      <c r="F2591" s="8"/>
      <c r="G2591" s="8"/>
      <c r="H2591" s="8"/>
    </row>
    <row r="2592" spans="1:8">
      <c r="A2592" s="6" t="s">
        <v>81</v>
      </c>
      <c r="B2592" s="7" t="s">
        <v>82</v>
      </c>
      <c r="C2592" s="7" t="s">
        <v>78</v>
      </c>
      <c r="D2592" s="7" t="s">
        <v>83</v>
      </c>
      <c r="E2592" s="6" t="s">
        <v>84</v>
      </c>
      <c r="F2592" s="8"/>
      <c r="G2592" s="8"/>
      <c r="H2592" s="8"/>
    </row>
    <row r="2593" spans="1:8">
      <c r="A2593" s="6" t="s">
        <v>81</v>
      </c>
      <c r="B2593" s="7" t="s">
        <v>92</v>
      </c>
      <c r="C2593" s="7" t="s">
        <v>93</v>
      </c>
      <c r="D2593" s="7" t="s">
        <v>94</v>
      </c>
      <c r="E2593" s="6" t="s">
        <v>95</v>
      </c>
      <c r="F2593" s="8"/>
      <c r="G2593" s="8"/>
      <c r="H2593" s="8"/>
    </row>
    <row r="2594" spans="1:8">
      <c r="A2594" s="6" t="s">
        <v>81</v>
      </c>
      <c r="B2594" s="7" t="s">
        <v>92</v>
      </c>
      <c r="C2594" s="7" t="s">
        <v>245</v>
      </c>
      <c r="D2594" s="7" t="s">
        <v>246</v>
      </c>
      <c r="E2594" s="6" t="s">
        <v>247</v>
      </c>
      <c r="F2594" s="8"/>
      <c r="G2594" s="8"/>
      <c r="H2594" s="8"/>
    </row>
    <row r="2595" spans="1:8">
      <c r="A2595" s="6" t="s">
        <v>81</v>
      </c>
      <c r="B2595" s="7" t="s">
        <v>82</v>
      </c>
      <c r="C2595" s="7" t="s">
        <v>617</v>
      </c>
      <c r="D2595" s="7" t="s">
        <v>618</v>
      </c>
      <c r="E2595" s="6" t="s">
        <v>619</v>
      </c>
      <c r="F2595" s="8"/>
      <c r="G2595" s="8"/>
      <c r="H2595" s="8"/>
    </row>
    <row r="2596" spans="1:8">
      <c r="A2596" s="6" t="s">
        <v>81</v>
      </c>
      <c r="B2596" s="7" t="s">
        <v>82</v>
      </c>
      <c r="C2596" s="7" t="s">
        <v>78</v>
      </c>
      <c r="D2596" s="7" t="s">
        <v>826</v>
      </c>
      <c r="E2596" s="6" t="s">
        <v>827</v>
      </c>
      <c r="F2596" s="8"/>
      <c r="G2596" s="8"/>
      <c r="H2596" s="8"/>
    </row>
    <row r="2597" spans="1:8">
      <c r="A2597" s="6" t="s">
        <v>81</v>
      </c>
      <c r="B2597" s="7" t="s">
        <v>92</v>
      </c>
      <c r="C2597" s="7" t="s">
        <v>245</v>
      </c>
      <c r="D2597" s="7" t="s">
        <v>828</v>
      </c>
      <c r="E2597" s="6" t="s">
        <v>829</v>
      </c>
      <c r="F2597" s="8" t="s">
        <v>6934</v>
      </c>
      <c r="G2597" s="8" t="s">
        <v>6926</v>
      </c>
      <c r="H2597" s="8" t="s">
        <v>6951</v>
      </c>
    </row>
    <row r="2598" spans="1:8">
      <c r="A2598" s="6" t="s">
        <v>81</v>
      </c>
      <c r="B2598" s="7" t="s">
        <v>82</v>
      </c>
      <c r="C2598" s="7" t="s">
        <v>264</v>
      </c>
      <c r="D2598" s="7" t="s">
        <v>1364</v>
      </c>
      <c r="E2598" s="6" t="s">
        <v>1365</v>
      </c>
      <c r="F2598" s="8"/>
      <c r="G2598" s="8"/>
      <c r="H2598" s="8"/>
    </row>
    <row r="2599" spans="1:8">
      <c r="A2599" s="6" t="s">
        <v>81</v>
      </c>
      <c r="B2599" s="7" t="s">
        <v>2961</v>
      </c>
      <c r="C2599" s="7" t="s">
        <v>1131</v>
      </c>
      <c r="D2599" s="7" t="s">
        <v>2962</v>
      </c>
      <c r="E2599" s="6" t="s">
        <v>2963</v>
      </c>
      <c r="F2599" s="8"/>
      <c r="G2599" s="8"/>
      <c r="H2599" s="8"/>
    </row>
    <row r="2600" spans="1:8">
      <c r="A2600" s="6" t="s">
        <v>81</v>
      </c>
      <c r="B2600" s="7" t="s">
        <v>2964</v>
      </c>
      <c r="C2600" s="7" t="s">
        <v>2965</v>
      </c>
      <c r="D2600" s="7" t="s">
        <v>2966</v>
      </c>
      <c r="E2600" s="6" t="s">
        <v>2967</v>
      </c>
      <c r="F2600" s="8"/>
      <c r="G2600" s="8"/>
      <c r="H2600" s="8"/>
    </row>
    <row r="2601" spans="1:8">
      <c r="A2601" s="6" t="s">
        <v>81</v>
      </c>
      <c r="B2601" s="7" t="s">
        <v>2964</v>
      </c>
      <c r="C2601" s="7" t="s">
        <v>448</v>
      </c>
      <c r="D2601" s="7" t="s">
        <v>2968</v>
      </c>
      <c r="E2601" s="6" t="s">
        <v>2969</v>
      </c>
      <c r="F2601" s="8"/>
      <c r="G2601" s="8"/>
      <c r="H2601" s="8"/>
    </row>
    <row r="2602" spans="1:8">
      <c r="A2602" s="6" t="s">
        <v>81</v>
      </c>
      <c r="B2602" s="7" t="s">
        <v>82</v>
      </c>
      <c r="C2602" s="7" t="s">
        <v>2970</v>
      </c>
      <c r="D2602" s="7" t="s">
        <v>2971</v>
      </c>
      <c r="E2602" s="6" t="s">
        <v>2972</v>
      </c>
      <c r="F2602" s="8"/>
      <c r="G2602" s="8"/>
      <c r="H2602" s="8"/>
    </row>
    <row r="2603" spans="1:8">
      <c r="A2603" s="6" t="s">
        <v>81</v>
      </c>
      <c r="B2603" s="7" t="s">
        <v>2964</v>
      </c>
      <c r="C2603" s="7" t="s">
        <v>2973</v>
      </c>
      <c r="D2603" s="7" t="s">
        <v>2974</v>
      </c>
      <c r="E2603" s="6" t="s">
        <v>2975</v>
      </c>
      <c r="F2603" s="8"/>
      <c r="G2603" s="8"/>
      <c r="H2603" s="8"/>
    </row>
    <row r="2604" spans="1:8">
      <c r="A2604" s="6" t="s">
        <v>81</v>
      </c>
      <c r="B2604" s="7" t="s">
        <v>92</v>
      </c>
      <c r="C2604" s="7" t="s">
        <v>245</v>
      </c>
      <c r="D2604" s="7" t="s">
        <v>2976</v>
      </c>
      <c r="E2604" s="6" t="s">
        <v>2977</v>
      </c>
      <c r="F2604" s="8"/>
      <c r="G2604" s="8"/>
      <c r="H2604" s="8"/>
    </row>
    <row r="2605" spans="1:8">
      <c r="A2605" s="6" t="s">
        <v>81</v>
      </c>
      <c r="B2605" s="7" t="s">
        <v>92</v>
      </c>
      <c r="C2605" s="7" t="s">
        <v>245</v>
      </c>
      <c r="D2605" s="7" t="s">
        <v>2978</v>
      </c>
      <c r="E2605" s="6" t="s">
        <v>2979</v>
      </c>
      <c r="F2605" s="8"/>
      <c r="G2605" s="8"/>
      <c r="H2605" s="8"/>
    </row>
    <row r="2606" spans="1:8">
      <c r="A2606" s="6" t="s">
        <v>81</v>
      </c>
      <c r="B2606" s="7" t="s">
        <v>92</v>
      </c>
      <c r="C2606" s="7" t="s">
        <v>245</v>
      </c>
      <c r="D2606" s="7" t="s">
        <v>2980</v>
      </c>
      <c r="E2606" s="6" t="s">
        <v>498</v>
      </c>
      <c r="F2606" s="8"/>
      <c r="G2606" s="8"/>
      <c r="H2606" s="8"/>
    </row>
    <row r="2607" spans="1:8">
      <c r="A2607" s="6" t="s">
        <v>81</v>
      </c>
      <c r="B2607" s="7" t="s">
        <v>92</v>
      </c>
      <c r="C2607" s="7" t="s">
        <v>245</v>
      </c>
      <c r="D2607" s="7" t="s">
        <v>2981</v>
      </c>
      <c r="E2607" s="6" t="s">
        <v>2982</v>
      </c>
      <c r="F2607" s="8"/>
      <c r="G2607" s="8"/>
      <c r="H2607" s="8"/>
    </row>
    <row r="2608" spans="1:8">
      <c r="A2608" s="6" t="s">
        <v>81</v>
      </c>
      <c r="B2608" s="7" t="s">
        <v>92</v>
      </c>
      <c r="C2608" s="7" t="s">
        <v>245</v>
      </c>
      <c r="D2608" s="7" t="s">
        <v>2983</v>
      </c>
      <c r="E2608" s="6" t="s">
        <v>2984</v>
      </c>
      <c r="F2608" s="8"/>
      <c r="G2608" s="8"/>
      <c r="H2608" s="8"/>
    </row>
    <row r="2609" spans="1:8">
      <c r="A2609" s="6" t="s">
        <v>81</v>
      </c>
      <c r="B2609" s="7" t="s">
        <v>92</v>
      </c>
      <c r="C2609" s="7" t="s">
        <v>245</v>
      </c>
      <c r="D2609" s="7" t="s">
        <v>2985</v>
      </c>
      <c r="E2609" s="6" t="s">
        <v>2986</v>
      </c>
      <c r="F2609" s="8"/>
      <c r="G2609" s="8"/>
      <c r="H2609" s="8"/>
    </row>
    <row r="2610" spans="1:8">
      <c r="A2610" s="6" t="s">
        <v>81</v>
      </c>
      <c r="B2610" s="7" t="s">
        <v>82</v>
      </c>
      <c r="C2610" s="7" t="s">
        <v>264</v>
      </c>
      <c r="D2610" s="7" t="s">
        <v>2987</v>
      </c>
      <c r="E2610" s="6" t="s">
        <v>2988</v>
      </c>
      <c r="F2610" s="8"/>
      <c r="G2610" s="8"/>
      <c r="H2610" s="8"/>
    </row>
    <row r="2611" spans="1:8">
      <c r="A2611" s="6" t="s">
        <v>81</v>
      </c>
      <c r="B2611" s="7" t="s">
        <v>82</v>
      </c>
      <c r="C2611" s="7" t="s">
        <v>264</v>
      </c>
      <c r="D2611" s="7" t="s">
        <v>2989</v>
      </c>
      <c r="E2611" s="6" t="s">
        <v>2990</v>
      </c>
      <c r="F2611" s="8"/>
      <c r="G2611" s="8"/>
      <c r="H2611" s="8"/>
    </row>
    <row r="2612" spans="1:8">
      <c r="A2612" s="6" t="s">
        <v>81</v>
      </c>
      <c r="B2612" s="7" t="s">
        <v>92</v>
      </c>
      <c r="C2612" s="7" t="s">
        <v>245</v>
      </c>
      <c r="D2612" s="7" t="s">
        <v>2991</v>
      </c>
      <c r="E2612" s="6" t="s">
        <v>2992</v>
      </c>
      <c r="F2612" s="8" t="s">
        <v>6934</v>
      </c>
      <c r="G2612" s="8" t="s">
        <v>6929</v>
      </c>
      <c r="H2612" s="8" t="s">
        <v>7007</v>
      </c>
    </row>
    <row r="2613" spans="1:8">
      <c r="A2613" s="6" t="s">
        <v>81</v>
      </c>
      <c r="B2613" s="7" t="s">
        <v>82</v>
      </c>
      <c r="C2613" s="7" t="s">
        <v>264</v>
      </c>
      <c r="D2613" s="7" t="s">
        <v>2993</v>
      </c>
      <c r="E2613" s="6" t="s">
        <v>2994</v>
      </c>
      <c r="F2613" s="8" t="s">
        <v>6931</v>
      </c>
      <c r="G2613" s="8" t="s">
        <v>6929</v>
      </c>
      <c r="H2613" s="8" t="s">
        <v>7260</v>
      </c>
    </row>
    <row r="2614" spans="1:8">
      <c r="A2614" s="6" t="s">
        <v>81</v>
      </c>
      <c r="B2614" s="7" t="s">
        <v>82</v>
      </c>
      <c r="C2614" s="7" t="s">
        <v>264</v>
      </c>
      <c r="D2614" s="7" t="s">
        <v>2995</v>
      </c>
      <c r="E2614" s="6" t="s">
        <v>2996</v>
      </c>
      <c r="F2614" s="8" t="s">
        <v>6931</v>
      </c>
      <c r="G2614" s="8" t="s">
        <v>6929</v>
      </c>
      <c r="H2614" s="8" t="s">
        <v>7259</v>
      </c>
    </row>
    <row r="2615" spans="1:8">
      <c r="A2615" s="6" t="s">
        <v>81</v>
      </c>
      <c r="B2615" s="7" t="s">
        <v>92</v>
      </c>
      <c r="C2615" s="7" t="s">
        <v>245</v>
      </c>
      <c r="D2615" s="7" t="s">
        <v>2997</v>
      </c>
      <c r="E2615" s="6" t="s">
        <v>2998</v>
      </c>
      <c r="F2615" s="8"/>
      <c r="G2615" s="8"/>
      <c r="H2615" s="8"/>
    </row>
    <row r="2616" spans="1:8">
      <c r="A2616" s="6" t="s">
        <v>81</v>
      </c>
      <c r="B2616" s="7" t="s">
        <v>82</v>
      </c>
      <c r="C2616" s="7" t="s">
        <v>78</v>
      </c>
      <c r="D2616" s="7" t="s">
        <v>2999</v>
      </c>
      <c r="E2616" s="6" t="s">
        <v>3000</v>
      </c>
      <c r="F2616" s="8"/>
      <c r="G2616" s="8"/>
      <c r="H2616" s="8"/>
    </row>
    <row r="2617" spans="1:8">
      <c r="A2617" s="6" t="s">
        <v>81</v>
      </c>
      <c r="B2617" s="7" t="s">
        <v>82</v>
      </c>
      <c r="C2617" s="7" t="s">
        <v>78</v>
      </c>
      <c r="D2617" s="7" t="s">
        <v>3001</v>
      </c>
      <c r="E2617" s="6" t="s">
        <v>3002</v>
      </c>
      <c r="F2617" s="8" t="s">
        <v>6931</v>
      </c>
      <c r="G2617" s="8" t="s">
        <v>6929</v>
      </c>
      <c r="H2617" s="8" t="s">
        <v>7100</v>
      </c>
    </row>
    <row r="2618" spans="1:8">
      <c r="A2618" s="6" t="s">
        <v>81</v>
      </c>
      <c r="B2618" s="7" t="s">
        <v>82</v>
      </c>
      <c r="C2618" s="7" t="s">
        <v>78</v>
      </c>
      <c r="D2618" s="7" t="s">
        <v>3003</v>
      </c>
      <c r="E2618" s="6" t="s">
        <v>3004</v>
      </c>
      <c r="F2618" s="8" t="s">
        <v>6931</v>
      </c>
      <c r="G2618" s="8" t="s">
        <v>6929</v>
      </c>
      <c r="H2618" s="8" t="s">
        <v>7100</v>
      </c>
    </row>
    <row r="2619" spans="1:8">
      <c r="A2619" s="6" t="s">
        <v>81</v>
      </c>
      <c r="B2619" s="7" t="s">
        <v>82</v>
      </c>
      <c r="C2619" s="7" t="s">
        <v>78</v>
      </c>
      <c r="D2619" s="7" t="s">
        <v>3005</v>
      </c>
      <c r="E2619" s="6" t="s">
        <v>3006</v>
      </c>
      <c r="F2619" s="8" t="s">
        <v>6931</v>
      </c>
      <c r="G2619" s="8" t="s">
        <v>6929</v>
      </c>
      <c r="H2619" s="8" t="s">
        <v>7100</v>
      </c>
    </row>
    <row r="2620" spans="1:8">
      <c r="A2620" s="6" t="s">
        <v>81</v>
      </c>
      <c r="B2620" s="7" t="s">
        <v>82</v>
      </c>
      <c r="C2620" s="7" t="s">
        <v>78</v>
      </c>
      <c r="D2620" s="7" t="s">
        <v>3007</v>
      </c>
      <c r="E2620" s="6" t="s">
        <v>3008</v>
      </c>
      <c r="F2620" s="8" t="s">
        <v>6931</v>
      </c>
      <c r="G2620" s="8" t="s">
        <v>6929</v>
      </c>
      <c r="H2620" s="8" t="s">
        <v>7100</v>
      </c>
    </row>
    <row r="2621" spans="1:8">
      <c r="A2621" s="6" t="s">
        <v>81</v>
      </c>
      <c r="B2621" s="7" t="s">
        <v>82</v>
      </c>
      <c r="C2621" s="7" t="s">
        <v>78</v>
      </c>
      <c r="D2621" s="7" t="s">
        <v>3009</v>
      </c>
      <c r="E2621" s="6" t="s">
        <v>3010</v>
      </c>
      <c r="F2621" s="8" t="s">
        <v>6931</v>
      </c>
      <c r="G2621" s="8" t="s">
        <v>6929</v>
      </c>
      <c r="H2621" s="8" t="s">
        <v>7100</v>
      </c>
    </row>
    <row r="2622" spans="1:8">
      <c r="A2622" s="6" t="s">
        <v>81</v>
      </c>
      <c r="B2622" s="7" t="s">
        <v>82</v>
      </c>
      <c r="C2622" s="7" t="s">
        <v>78</v>
      </c>
      <c r="D2622" s="7" t="s">
        <v>3011</v>
      </c>
      <c r="E2622" s="6" t="s">
        <v>3012</v>
      </c>
      <c r="F2622" s="8" t="s">
        <v>6931</v>
      </c>
      <c r="G2622" s="8" t="s">
        <v>6929</v>
      </c>
      <c r="H2622" s="8" t="s">
        <v>7100</v>
      </c>
    </row>
    <row r="2623" spans="1:8">
      <c r="A2623" s="6" t="s">
        <v>81</v>
      </c>
      <c r="B2623" s="7" t="s">
        <v>92</v>
      </c>
      <c r="C2623" s="7" t="s">
        <v>245</v>
      </c>
      <c r="D2623" s="7" t="s">
        <v>3013</v>
      </c>
      <c r="E2623" s="6" t="s">
        <v>3014</v>
      </c>
      <c r="F2623" s="8"/>
      <c r="G2623" s="8"/>
      <c r="H2623" s="8"/>
    </row>
    <row r="2624" spans="1:8">
      <c r="A2624" s="6" t="s">
        <v>81</v>
      </c>
      <c r="B2624" s="7" t="s">
        <v>92</v>
      </c>
      <c r="C2624" s="7" t="s">
        <v>245</v>
      </c>
      <c r="D2624" s="7" t="s">
        <v>3015</v>
      </c>
      <c r="E2624" s="6" t="s">
        <v>3016</v>
      </c>
      <c r="F2624" s="8"/>
      <c r="G2624" s="8"/>
      <c r="H2624" s="8"/>
    </row>
    <row r="2625" spans="1:8">
      <c r="A2625" s="6" t="s">
        <v>4605</v>
      </c>
      <c r="B2625" s="7" t="s">
        <v>4606</v>
      </c>
      <c r="C2625" s="7" t="s">
        <v>9</v>
      </c>
      <c r="D2625" s="7" t="s">
        <v>4607</v>
      </c>
      <c r="E2625" s="6" t="s">
        <v>4608</v>
      </c>
      <c r="F2625" s="8"/>
      <c r="G2625" s="8"/>
      <c r="H2625" s="8"/>
    </row>
    <row r="2626" spans="1:8">
      <c r="A2626" s="6" t="s">
        <v>4605</v>
      </c>
      <c r="B2626" s="7" t="s">
        <v>4606</v>
      </c>
      <c r="C2626" s="7" t="s">
        <v>9</v>
      </c>
      <c r="D2626" s="7" t="s">
        <v>4609</v>
      </c>
      <c r="E2626" s="6" t="s">
        <v>4608</v>
      </c>
      <c r="F2626" s="8"/>
      <c r="G2626" s="8"/>
      <c r="H2626" s="8"/>
    </row>
    <row r="2627" spans="1:8">
      <c r="A2627" s="6" t="s">
        <v>4605</v>
      </c>
      <c r="B2627" s="7" t="s">
        <v>4610</v>
      </c>
      <c r="C2627" s="7" t="s">
        <v>4611</v>
      </c>
      <c r="D2627" s="7" t="s">
        <v>4612</v>
      </c>
      <c r="E2627" s="6" t="s">
        <v>4613</v>
      </c>
      <c r="F2627" s="8"/>
      <c r="G2627" s="8"/>
      <c r="H2627" s="8"/>
    </row>
    <row r="2628" spans="1:8">
      <c r="A2628" s="6" t="s">
        <v>4605</v>
      </c>
      <c r="B2628" s="7" t="s">
        <v>4614</v>
      </c>
      <c r="C2628" s="7" t="s">
        <v>4615</v>
      </c>
      <c r="D2628" s="7" t="s">
        <v>4616</v>
      </c>
      <c r="E2628" s="6" t="s">
        <v>4617</v>
      </c>
      <c r="F2628" s="8"/>
      <c r="G2628" s="8"/>
      <c r="H2628" s="8"/>
    </row>
    <row r="2629" spans="1:8">
      <c r="A2629" s="6" t="s">
        <v>4605</v>
      </c>
      <c r="B2629" s="7" t="s">
        <v>4618</v>
      </c>
      <c r="C2629" s="7" t="s">
        <v>4619</v>
      </c>
      <c r="D2629" s="7" t="s">
        <v>4620</v>
      </c>
      <c r="E2629" s="6" t="s">
        <v>4621</v>
      </c>
      <c r="F2629" s="8"/>
      <c r="G2629" s="8"/>
      <c r="H2629" s="8"/>
    </row>
    <row r="2630" spans="1:8">
      <c r="A2630" s="6" t="s">
        <v>4605</v>
      </c>
      <c r="B2630" s="7" t="s">
        <v>4622</v>
      </c>
      <c r="C2630" s="7" t="s">
        <v>4623</v>
      </c>
      <c r="D2630" s="7" t="s">
        <v>4624</v>
      </c>
      <c r="E2630" s="6" t="s">
        <v>4625</v>
      </c>
      <c r="F2630" s="8"/>
      <c r="G2630" s="8"/>
      <c r="H2630" s="8"/>
    </row>
    <row r="2631" spans="1:8">
      <c r="A2631" s="6" t="s">
        <v>4605</v>
      </c>
      <c r="B2631" s="7" t="s">
        <v>4622</v>
      </c>
      <c r="C2631" s="7" t="s">
        <v>4626</v>
      </c>
      <c r="D2631" s="7" t="s">
        <v>4627</v>
      </c>
      <c r="E2631" s="6" t="s">
        <v>4628</v>
      </c>
      <c r="F2631" s="8"/>
      <c r="G2631" s="8"/>
      <c r="H2631" s="8"/>
    </row>
    <row r="2632" spans="1:8">
      <c r="A2632" s="6" t="s">
        <v>4605</v>
      </c>
      <c r="B2632" s="7" t="s">
        <v>4622</v>
      </c>
      <c r="C2632" s="7" t="s">
        <v>4629</v>
      </c>
      <c r="D2632" s="7" t="s">
        <v>4630</v>
      </c>
      <c r="E2632" s="6" t="s">
        <v>4631</v>
      </c>
      <c r="F2632" s="8"/>
      <c r="G2632" s="8"/>
      <c r="H2632" s="8"/>
    </row>
    <row r="2633" spans="1:8">
      <c r="A2633" s="6" t="s">
        <v>4605</v>
      </c>
      <c r="B2633" s="7" t="s">
        <v>4622</v>
      </c>
      <c r="C2633" s="7" t="s">
        <v>4629</v>
      </c>
      <c r="D2633" s="7" t="s">
        <v>4632</v>
      </c>
      <c r="E2633" s="6" t="s">
        <v>4633</v>
      </c>
      <c r="F2633" s="8"/>
      <c r="G2633" s="8"/>
      <c r="H2633" s="8"/>
    </row>
    <row r="2634" spans="1:8">
      <c r="A2634" s="6" t="s">
        <v>4605</v>
      </c>
      <c r="B2634" s="7" t="s">
        <v>4622</v>
      </c>
      <c r="C2634" s="7" t="s">
        <v>4629</v>
      </c>
      <c r="D2634" s="7" t="s">
        <v>4634</v>
      </c>
      <c r="E2634" s="6" t="s">
        <v>4635</v>
      </c>
      <c r="F2634" s="8" t="s">
        <v>7041</v>
      </c>
      <c r="G2634" s="8" t="s">
        <v>6926</v>
      </c>
      <c r="H2634" s="8" t="s">
        <v>6932</v>
      </c>
    </row>
    <row r="2635" spans="1:8">
      <c r="A2635" s="6" t="s">
        <v>4605</v>
      </c>
      <c r="B2635" s="7" t="s">
        <v>4636</v>
      </c>
      <c r="C2635" s="7" t="s">
        <v>4637</v>
      </c>
      <c r="D2635" s="7" t="s">
        <v>4638</v>
      </c>
      <c r="E2635" s="6" t="s">
        <v>4639</v>
      </c>
      <c r="F2635" s="8"/>
      <c r="G2635" s="8"/>
      <c r="H2635" s="8"/>
    </row>
    <row r="2636" spans="1:8">
      <c r="A2636" s="6" t="s">
        <v>4605</v>
      </c>
      <c r="B2636" s="7" t="s">
        <v>4636</v>
      </c>
      <c r="C2636" s="7" t="s">
        <v>4640</v>
      </c>
      <c r="D2636" s="7" t="s">
        <v>4641</v>
      </c>
      <c r="E2636" s="6" t="s">
        <v>4642</v>
      </c>
      <c r="F2636" s="8"/>
      <c r="G2636" s="8"/>
      <c r="H2636" s="8"/>
    </row>
    <row r="2637" spans="1:8">
      <c r="A2637" s="6" t="s">
        <v>4605</v>
      </c>
      <c r="B2637" s="7" t="s">
        <v>4636</v>
      </c>
      <c r="C2637" s="7" t="s">
        <v>4643</v>
      </c>
      <c r="D2637" s="7" t="s">
        <v>4644</v>
      </c>
      <c r="E2637" s="6" t="s">
        <v>749</v>
      </c>
      <c r="F2637" s="8"/>
      <c r="G2637" s="8"/>
      <c r="H2637" s="8"/>
    </row>
    <row r="2638" spans="1:8">
      <c r="A2638" s="6" t="s">
        <v>4605</v>
      </c>
      <c r="B2638" s="7" t="s">
        <v>1319</v>
      </c>
      <c r="C2638" s="7" t="s">
        <v>4645</v>
      </c>
      <c r="D2638" s="7" t="s">
        <v>4646</v>
      </c>
      <c r="E2638" s="6" t="s">
        <v>4647</v>
      </c>
      <c r="F2638" s="8"/>
      <c r="G2638" s="8"/>
      <c r="H2638" s="8"/>
    </row>
    <row r="2639" spans="1:8">
      <c r="A2639" s="6" t="s">
        <v>4605</v>
      </c>
      <c r="B2639" s="7" t="s">
        <v>1319</v>
      </c>
      <c r="C2639" s="7" t="s">
        <v>4648</v>
      </c>
      <c r="D2639" s="7" t="s">
        <v>4649</v>
      </c>
      <c r="E2639" s="6" t="s">
        <v>4650</v>
      </c>
      <c r="F2639" s="8" t="s">
        <v>5162</v>
      </c>
      <c r="G2639" s="8" t="s">
        <v>6953</v>
      </c>
      <c r="H2639" s="8" t="s">
        <v>7037</v>
      </c>
    </row>
    <row r="2640" spans="1:8">
      <c r="A2640" s="6" t="s">
        <v>4605</v>
      </c>
      <c r="B2640" s="7" t="s">
        <v>4651</v>
      </c>
      <c r="C2640" s="7" t="s">
        <v>4652</v>
      </c>
      <c r="D2640" s="7" t="s">
        <v>4653</v>
      </c>
      <c r="E2640" s="6" t="s">
        <v>4654</v>
      </c>
      <c r="F2640" s="8"/>
      <c r="G2640" s="8"/>
      <c r="H2640" s="8"/>
    </row>
    <row r="2641" spans="1:8">
      <c r="A2641" s="6" t="s">
        <v>4605</v>
      </c>
      <c r="B2641" s="7" t="s">
        <v>4655</v>
      </c>
      <c r="C2641" s="7" t="s">
        <v>4656</v>
      </c>
      <c r="D2641" s="7" t="s">
        <v>4657</v>
      </c>
      <c r="E2641" s="6" t="s">
        <v>3006</v>
      </c>
      <c r="F2641" s="8"/>
      <c r="G2641" s="8"/>
      <c r="H2641" s="8"/>
    </row>
    <row r="2642" spans="1:8">
      <c r="A2642" s="6" t="s">
        <v>4605</v>
      </c>
      <c r="B2642" s="7" t="s">
        <v>4658</v>
      </c>
      <c r="C2642" s="7" t="s">
        <v>935</v>
      </c>
      <c r="D2642" s="7" t="s">
        <v>4659</v>
      </c>
      <c r="E2642" s="6" t="s">
        <v>4660</v>
      </c>
      <c r="F2642" s="8"/>
      <c r="G2642" s="8"/>
      <c r="H2642" s="8"/>
    </row>
    <row r="2643" spans="1:8">
      <c r="A2643" s="6" t="s">
        <v>4605</v>
      </c>
      <c r="B2643" s="7" t="s">
        <v>606</v>
      </c>
      <c r="C2643" s="7" t="s">
        <v>4661</v>
      </c>
      <c r="D2643" s="7" t="s">
        <v>4662</v>
      </c>
      <c r="E2643" s="6" t="s">
        <v>4663</v>
      </c>
      <c r="F2643" s="8"/>
      <c r="G2643" s="8"/>
      <c r="H2643" s="8"/>
    </row>
    <row r="2644" spans="1:8">
      <c r="A2644" s="6" t="s">
        <v>4605</v>
      </c>
      <c r="B2644" s="7" t="s">
        <v>606</v>
      </c>
      <c r="C2644" s="7" t="s">
        <v>4664</v>
      </c>
      <c r="D2644" s="7" t="s">
        <v>4665</v>
      </c>
      <c r="E2644" s="6" t="s">
        <v>4666</v>
      </c>
      <c r="F2644" s="8"/>
      <c r="G2644" s="8"/>
      <c r="H2644" s="8"/>
    </row>
    <row r="2645" spans="1:8">
      <c r="A2645" s="6" t="s">
        <v>4605</v>
      </c>
      <c r="B2645" s="7" t="s">
        <v>606</v>
      </c>
      <c r="C2645" s="7" t="s">
        <v>4661</v>
      </c>
      <c r="D2645" s="7" t="s">
        <v>4667</v>
      </c>
      <c r="E2645" s="6" t="s">
        <v>4668</v>
      </c>
      <c r="F2645" s="8"/>
      <c r="G2645" s="8"/>
      <c r="H2645" s="8"/>
    </row>
    <row r="2646" spans="1:8">
      <c r="A2646" s="6" t="s">
        <v>4605</v>
      </c>
      <c r="B2646" s="7" t="s">
        <v>935</v>
      </c>
      <c r="C2646" s="7" t="s">
        <v>935</v>
      </c>
      <c r="D2646" s="7" t="s">
        <v>4669</v>
      </c>
      <c r="E2646" s="6" t="s">
        <v>4670</v>
      </c>
      <c r="F2646" s="8"/>
      <c r="G2646" s="8"/>
      <c r="H2646" s="8"/>
    </row>
    <row r="2647" spans="1:8">
      <c r="A2647" s="6" t="s">
        <v>4605</v>
      </c>
      <c r="B2647" s="7" t="s">
        <v>4671</v>
      </c>
      <c r="C2647" s="7" t="s">
        <v>4672</v>
      </c>
      <c r="D2647" s="7" t="s">
        <v>4673</v>
      </c>
      <c r="E2647" s="6" t="s">
        <v>3733</v>
      </c>
      <c r="F2647" s="8"/>
      <c r="G2647" s="8"/>
      <c r="H2647" s="8"/>
    </row>
    <row r="2648" spans="1:8">
      <c r="A2648" s="6" t="s">
        <v>4605</v>
      </c>
      <c r="B2648" s="7" t="s">
        <v>1383</v>
      </c>
      <c r="C2648" s="7" t="s">
        <v>4674</v>
      </c>
      <c r="D2648" s="7" t="s">
        <v>4675</v>
      </c>
      <c r="E2648" s="6" t="s">
        <v>4676</v>
      </c>
      <c r="F2648" s="8"/>
      <c r="G2648" s="8"/>
      <c r="H2648" s="8"/>
    </row>
    <row r="2649" spans="1:8">
      <c r="A2649" s="6" t="s">
        <v>4605</v>
      </c>
      <c r="B2649" s="7" t="s">
        <v>4677</v>
      </c>
      <c r="C2649" s="7" t="s">
        <v>4678</v>
      </c>
      <c r="D2649" s="7" t="s">
        <v>4679</v>
      </c>
      <c r="E2649" s="6" t="s">
        <v>3409</v>
      </c>
      <c r="F2649" s="8" t="s">
        <v>3334</v>
      </c>
      <c r="G2649" s="8" t="s">
        <v>6929</v>
      </c>
      <c r="H2649" s="8" t="s">
        <v>7220</v>
      </c>
    </row>
    <row r="2650" spans="1:8">
      <c r="A2650" s="6" t="s">
        <v>4605</v>
      </c>
      <c r="B2650" s="7" t="s">
        <v>4677</v>
      </c>
      <c r="C2650" s="7" t="s">
        <v>4680</v>
      </c>
      <c r="D2650" s="7" t="s">
        <v>4681</v>
      </c>
      <c r="E2650" s="6" t="s">
        <v>4682</v>
      </c>
      <c r="F2650" s="8"/>
      <c r="G2650" s="8"/>
      <c r="H2650" s="8"/>
    </row>
    <row r="2651" spans="1:8">
      <c r="A2651" s="6" t="s">
        <v>4419</v>
      </c>
      <c r="B2651" s="7" t="s">
        <v>4363</v>
      </c>
      <c r="C2651" s="7" t="s">
        <v>4363</v>
      </c>
      <c r="D2651" s="7" t="s">
        <v>4420</v>
      </c>
      <c r="E2651" s="6" t="s">
        <v>4421</v>
      </c>
      <c r="F2651" s="8" t="s">
        <v>3334</v>
      </c>
      <c r="G2651" s="8" t="s">
        <v>6929</v>
      </c>
      <c r="H2651" s="8" t="s">
        <v>7065</v>
      </c>
    </row>
    <row r="2652" spans="1:8">
      <c r="A2652" s="6" t="s">
        <v>4419</v>
      </c>
      <c r="B2652" s="7" t="s">
        <v>4363</v>
      </c>
      <c r="C2652" s="7" t="s">
        <v>4363</v>
      </c>
      <c r="D2652" s="7" t="s">
        <v>4422</v>
      </c>
      <c r="E2652" s="6" t="s">
        <v>4423</v>
      </c>
      <c r="F2652" s="8" t="s">
        <v>3334</v>
      </c>
      <c r="G2652" s="8" t="s">
        <v>6929</v>
      </c>
      <c r="H2652" s="8" t="s">
        <v>7065</v>
      </c>
    </row>
    <row r="2653" spans="1:8">
      <c r="A2653" s="6" t="s">
        <v>4419</v>
      </c>
      <c r="B2653" s="7" t="s">
        <v>4424</v>
      </c>
      <c r="C2653" s="7" t="s">
        <v>4424</v>
      </c>
      <c r="D2653" s="7" t="s">
        <v>4425</v>
      </c>
      <c r="E2653" s="6" t="s">
        <v>3789</v>
      </c>
      <c r="F2653" s="8" t="s">
        <v>6944</v>
      </c>
      <c r="G2653" s="8" t="s">
        <v>6944</v>
      </c>
      <c r="H2653" s="8" t="s">
        <v>7064</v>
      </c>
    </row>
    <row r="2654" spans="1:8">
      <c r="A2654" s="6" t="s">
        <v>4415</v>
      </c>
      <c r="B2654" s="7" t="s">
        <v>452</v>
      </c>
      <c r="C2654" s="7" t="s">
        <v>4416</v>
      </c>
      <c r="D2654" s="7" t="s">
        <v>4417</v>
      </c>
      <c r="E2654" s="6" t="s">
        <v>4418</v>
      </c>
      <c r="F2654" s="8"/>
      <c r="G2654" s="8"/>
      <c r="H2654" s="8"/>
    </row>
    <row r="2655" spans="1:8">
      <c r="A2655" s="6" t="s">
        <v>2336</v>
      </c>
      <c r="B2655" s="7" t="s">
        <v>2337</v>
      </c>
      <c r="C2655" s="7" t="s">
        <v>2338</v>
      </c>
      <c r="D2655" s="7" t="s">
        <v>2339</v>
      </c>
      <c r="E2655" s="6" t="s">
        <v>2340</v>
      </c>
      <c r="F2655" s="8"/>
      <c r="G2655" s="8"/>
      <c r="H2655" s="8"/>
    </row>
    <row r="2656" spans="1:8">
      <c r="A2656" s="6" t="s">
        <v>4400</v>
      </c>
      <c r="B2656" s="7" t="s">
        <v>4401</v>
      </c>
      <c r="C2656" s="7" t="s">
        <v>4402</v>
      </c>
      <c r="D2656" s="7" t="s">
        <v>4403</v>
      </c>
      <c r="E2656" s="6" t="s">
        <v>4404</v>
      </c>
      <c r="F2656" s="8"/>
      <c r="G2656" s="8"/>
      <c r="H2656" s="8"/>
    </row>
    <row r="2657" spans="1:8">
      <c r="A2657" s="6" t="s">
        <v>4400</v>
      </c>
      <c r="B2657" s="7" t="s">
        <v>4405</v>
      </c>
      <c r="C2657" s="7" t="s">
        <v>4406</v>
      </c>
      <c r="D2657" s="7" t="s">
        <v>4407</v>
      </c>
      <c r="E2657" s="6" t="s">
        <v>913</v>
      </c>
      <c r="F2657" s="8" t="s">
        <v>6982</v>
      </c>
      <c r="G2657" s="8" t="s">
        <v>6929</v>
      </c>
      <c r="H2657" s="8" t="s">
        <v>7261</v>
      </c>
    </row>
    <row r="2658" spans="1:8">
      <c r="A2658" s="6" t="s">
        <v>4400</v>
      </c>
      <c r="B2658" s="7" t="s">
        <v>880</v>
      </c>
      <c r="C2658" s="7" t="s">
        <v>74</v>
      </c>
      <c r="D2658" s="7" t="s">
        <v>4408</v>
      </c>
      <c r="E2658" s="6" t="s">
        <v>4409</v>
      </c>
      <c r="F2658" s="8"/>
      <c r="G2658" s="8"/>
      <c r="H2658" s="8"/>
    </row>
    <row r="2659" spans="1:8">
      <c r="A2659" s="6" t="s">
        <v>4400</v>
      </c>
      <c r="B2659" s="7" t="s">
        <v>880</v>
      </c>
      <c r="C2659" s="7" t="s">
        <v>74</v>
      </c>
      <c r="D2659" s="7" t="s">
        <v>4410</v>
      </c>
      <c r="E2659" s="6" t="s">
        <v>866</v>
      </c>
      <c r="F2659" s="8"/>
      <c r="G2659" s="8"/>
      <c r="H2659" s="8"/>
    </row>
    <row r="2660" spans="1:8">
      <c r="A2660" s="6" t="s">
        <v>4400</v>
      </c>
      <c r="B2660" s="7" t="s">
        <v>880</v>
      </c>
      <c r="C2660" s="7" t="s">
        <v>74</v>
      </c>
      <c r="D2660" s="7" t="s">
        <v>4411</v>
      </c>
      <c r="E2660" s="6" t="s">
        <v>4412</v>
      </c>
      <c r="F2660" s="8"/>
      <c r="G2660" s="8"/>
      <c r="H2660" s="8"/>
    </row>
    <row r="2661" spans="1:8">
      <c r="A2661" s="6" t="s">
        <v>4400</v>
      </c>
      <c r="B2661" s="7" t="s">
        <v>880</v>
      </c>
      <c r="C2661" s="7" t="s">
        <v>74</v>
      </c>
      <c r="D2661" s="7" t="s">
        <v>4413</v>
      </c>
      <c r="E2661" s="6" t="s">
        <v>4414</v>
      </c>
      <c r="F2661" s="8" t="s">
        <v>3334</v>
      </c>
      <c r="G2661" s="8" t="s">
        <v>6944</v>
      </c>
      <c r="H2661" s="8" t="s">
        <v>6971</v>
      </c>
    </row>
    <row r="2662" spans="1:8">
      <c r="A2662" s="6" t="s">
        <v>4532</v>
      </c>
      <c r="B2662" s="7" t="s">
        <v>3785</v>
      </c>
      <c r="C2662" s="7" t="s">
        <v>3785</v>
      </c>
      <c r="D2662" s="7" t="s">
        <v>4533</v>
      </c>
      <c r="E2662" s="6" t="s">
        <v>4534</v>
      </c>
      <c r="F2662" s="8"/>
      <c r="G2662" s="8"/>
      <c r="H2662" s="8"/>
    </row>
    <row r="2663" spans="1:8">
      <c r="A2663" s="6" t="s">
        <v>4532</v>
      </c>
      <c r="B2663" s="7" t="s">
        <v>4535</v>
      </c>
      <c r="C2663" s="7" t="s">
        <v>4535</v>
      </c>
      <c r="D2663" s="7" t="s">
        <v>4536</v>
      </c>
      <c r="E2663" s="6" t="s">
        <v>4537</v>
      </c>
      <c r="F2663" s="8"/>
      <c r="G2663" s="8"/>
      <c r="H2663" s="8"/>
    </row>
    <row r="2664" spans="1:8">
      <c r="A2664" s="6" t="s">
        <v>4532</v>
      </c>
      <c r="B2664" s="7" t="s">
        <v>4538</v>
      </c>
      <c r="C2664" s="7" t="s">
        <v>4538</v>
      </c>
      <c r="D2664" s="7" t="s">
        <v>4539</v>
      </c>
      <c r="E2664" s="6" t="s">
        <v>4540</v>
      </c>
      <c r="F2664" s="8"/>
      <c r="G2664" s="8"/>
      <c r="H2664" s="8"/>
    </row>
    <row r="2665" spans="1:8">
      <c r="A2665" s="6" t="s">
        <v>4532</v>
      </c>
      <c r="B2665" s="7" t="s">
        <v>4541</v>
      </c>
      <c r="C2665" s="7" t="s">
        <v>4541</v>
      </c>
      <c r="D2665" s="7" t="s">
        <v>4542</v>
      </c>
      <c r="E2665" s="6" t="s">
        <v>4543</v>
      </c>
      <c r="F2665" s="8"/>
      <c r="G2665" s="8"/>
      <c r="H2665" s="8"/>
    </row>
    <row r="2666" spans="1:8">
      <c r="A2666" s="6" t="s">
        <v>4532</v>
      </c>
      <c r="B2666" s="7" t="s">
        <v>4544</v>
      </c>
      <c r="C2666" s="7" t="s">
        <v>4544</v>
      </c>
      <c r="D2666" s="7" t="s">
        <v>4545</v>
      </c>
      <c r="E2666" s="6" t="s">
        <v>4546</v>
      </c>
      <c r="F2666" s="8"/>
      <c r="G2666" s="8"/>
      <c r="H2666" s="8"/>
    </row>
    <row r="2667" spans="1:8">
      <c r="A2667" s="6" t="s">
        <v>4532</v>
      </c>
      <c r="B2667" s="7" t="s">
        <v>4547</v>
      </c>
      <c r="C2667" s="7" t="s">
        <v>4547</v>
      </c>
      <c r="D2667" s="7" t="s">
        <v>4548</v>
      </c>
      <c r="E2667" s="6" t="s">
        <v>2331</v>
      </c>
      <c r="F2667" s="8"/>
      <c r="G2667" s="8"/>
      <c r="H2667" s="8"/>
    </row>
    <row r="2668" spans="1:8">
      <c r="A2668" s="6" t="s">
        <v>4532</v>
      </c>
      <c r="B2668" s="7" t="s">
        <v>4549</v>
      </c>
      <c r="C2668" s="7" t="s">
        <v>4549</v>
      </c>
      <c r="D2668" s="7" t="s">
        <v>4550</v>
      </c>
      <c r="E2668" s="6" t="s">
        <v>2331</v>
      </c>
      <c r="F2668" s="8"/>
      <c r="G2668" s="8"/>
      <c r="H2668" s="8"/>
    </row>
    <row r="2669" spans="1:8">
      <c r="A2669" s="6" t="s">
        <v>4532</v>
      </c>
      <c r="B2669" s="7" t="s">
        <v>4551</v>
      </c>
      <c r="C2669" s="7" t="s">
        <v>4551</v>
      </c>
      <c r="D2669" s="7" t="s">
        <v>4552</v>
      </c>
      <c r="E2669" s="6" t="s">
        <v>2331</v>
      </c>
      <c r="F2669" s="8"/>
      <c r="G2669" s="8"/>
      <c r="H2669" s="8"/>
    </row>
    <row r="2670" spans="1:8">
      <c r="A2670" s="6" t="s">
        <v>4532</v>
      </c>
      <c r="B2670" s="7" t="s">
        <v>4551</v>
      </c>
      <c r="C2670" s="7" t="s">
        <v>4551</v>
      </c>
      <c r="D2670" s="7" t="s">
        <v>4553</v>
      </c>
      <c r="E2670" s="6" t="s">
        <v>2331</v>
      </c>
      <c r="F2670" s="8"/>
      <c r="G2670" s="8"/>
      <c r="H2670" s="8"/>
    </row>
    <row r="2671" spans="1:8">
      <c r="A2671" s="6" t="s">
        <v>1674</v>
      </c>
      <c r="B2671" s="7" t="s">
        <v>9</v>
      </c>
      <c r="C2671" s="7" t="s">
        <v>1675</v>
      </c>
      <c r="D2671" s="7" t="s">
        <v>1676</v>
      </c>
      <c r="E2671" s="6" t="s">
        <v>1677</v>
      </c>
      <c r="F2671" s="8" t="s">
        <v>6943</v>
      </c>
      <c r="G2671" s="8" t="s">
        <v>6929</v>
      </c>
      <c r="H2671" s="8" t="s">
        <v>7212</v>
      </c>
    </row>
    <row r="2672" spans="1:8">
      <c r="A2672" s="6" t="s">
        <v>1674</v>
      </c>
      <c r="B2672" s="7" t="s">
        <v>9</v>
      </c>
      <c r="C2672" s="7" t="s">
        <v>1675</v>
      </c>
      <c r="D2672" s="7" t="s">
        <v>1707</v>
      </c>
      <c r="E2672" s="6" t="s">
        <v>1708</v>
      </c>
      <c r="F2672" s="8" t="s">
        <v>6943</v>
      </c>
      <c r="G2672" s="8" t="s">
        <v>6929</v>
      </c>
      <c r="H2672" s="8" t="s">
        <v>7212</v>
      </c>
    </row>
    <row r="2673" spans="1:8">
      <c r="A2673" s="6" t="s">
        <v>1674</v>
      </c>
      <c r="B2673" s="7" t="s">
        <v>9</v>
      </c>
      <c r="C2673" s="7" t="s">
        <v>1675</v>
      </c>
      <c r="D2673" s="7" t="s">
        <v>1709</v>
      </c>
      <c r="E2673" s="6" t="s">
        <v>1710</v>
      </c>
      <c r="F2673" s="8"/>
      <c r="G2673" s="8"/>
      <c r="H2673" s="8"/>
    </row>
    <row r="2674" spans="1:8">
      <c r="A2674" s="6" t="s">
        <v>1674</v>
      </c>
      <c r="B2674" s="7" t="s">
        <v>9</v>
      </c>
      <c r="C2674" s="7" t="s">
        <v>1675</v>
      </c>
      <c r="D2674" s="7" t="s">
        <v>1711</v>
      </c>
      <c r="E2674" s="6" t="s">
        <v>1712</v>
      </c>
      <c r="F2674" s="8"/>
      <c r="G2674" s="8"/>
      <c r="H2674" s="8"/>
    </row>
    <row r="2675" spans="1:8">
      <c r="A2675" s="6" t="s">
        <v>1674</v>
      </c>
      <c r="B2675" s="7" t="s">
        <v>9</v>
      </c>
      <c r="C2675" s="7" t="s">
        <v>2244</v>
      </c>
      <c r="D2675" s="7" t="s">
        <v>2245</v>
      </c>
      <c r="E2675" s="6" t="s">
        <v>2246</v>
      </c>
      <c r="F2675" s="8"/>
      <c r="G2675" s="8"/>
      <c r="H2675" s="8"/>
    </row>
    <row r="2676" spans="1:8">
      <c r="A2676" s="6" t="s">
        <v>1674</v>
      </c>
      <c r="B2676" s="7" t="s">
        <v>9</v>
      </c>
      <c r="C2676" s="7" t="s">
        <v>2244</v>
      </c>
      <c r="D2676" s="7" t="s">
        <v>2247</v>
      </c>
      <c r="E2676" s="6" t="s">
        <v>2248</v>
      </c>
      <c r="F2676" s="8"/>
      <c r="G2676" s="8"/>
      <c r="H2676" s="8"/>
    </row>
    <row r="2677" spans="1:8">
      <c r="A2677" s="6" t="s">
        <v>1099</v>
      </c>
      <c r="B2677" s="7" t="s">
        <v>1100</v>
      </c>
      <c r="C2677" s="7" t="s">
        <v>9</v>
      </c>
      <c r="D2677" s="7" t="s">
        <v>1101</v>
      </c>
      <c r="E2677" s="6" t="s">
        <v>273</v>
      </c>
      <c r="F2677" s="8"/>
      <c r="G2677" s="8"/>
      <c r="H2677" s="8"/>
    </row>
    <row r="2678" spans="1:8">
      <c r="A2678" s="6" t="s">
        <v>1099</v>
      </c>
      <c r="B2678" s="7" t="s">
        <v>1100</v>
      </c>
      <c r="C2678" s="7" t="s">
        <v>9</v>
      </c>
      <c r="D2678" s="7" t="s">
        <v>3749</v>
      </c>
      <c r="E2678" s="6" t="s">
        <v>3750</v>
      </c>
      <c r="F2678" s="8"/>
      <c r="G2678" s="8"/>
      <c r="H2678" s="8"/>
    </row>
    <row r="2679" spans="1:8">
      <c r="A2679" s="6" t="s">
        <v>1099</v>
      </c>
      <c r="B2679" s="7" t="s">
        <v>1340</v>
      </c>
      <c r="C2679" s="7" t="s">
        <v>9</v>
      </c>
      <c r="D2679" s="7" t="s">
        <v>3751</v>
      </c>
      <c r="E2679" s="6" t="s">
        <v>273</v>
      </c>
      <c r="F2679" s="8"/>
      <c r="G2679" s="8"/>
      <c r="H2679" s="8"/>
    </row>
    <row r="2680" spans="1:8">
      <c r="A2680" s="6" t="s">
        <v>1099</v>
      </c>
      <c r="B2680" s="7" t="s">
        <v>3752</v>
      </c>
      <c r="C2680" s="7" t="s">
        <v>3753</v>
      </c>
      <c r="D2680" s="7" t="s">
        <v>3754</v>
      </c>
      <c r="E2680" s="6" t="s">
        <v>3755</v>
      </c>
      <c r="F2680" s="8"/>
      <c r="G2680" s="8"/>
      <c r="H2680" s="8"/>
    </row>
    <row r="2681" spans="1:8">
      <c r="A2681" s="6" t="s">
        <v>1099</v>
      </c>
      <c r="B2681" s="7" t="s">
        <v>1512</v>
      </c>
      <c r="C2681" s="7" t="s">
        <v>2765</v>
      </c>
      <c r="D2681" s="7" t="s">
        <v>3756</v>
      </c>
      <c r="E2681" s="6" t="s">
        <v>3757</v>
      </c>
      <c r="F2681" s="8"/>
      <c r="G2681" s="8"/>
      <c r="H2681" s="8"/>
    </row>
    <row r="2682" spans="1:8">
      <c r="A2682" s="6" t="s">
        <v>1099</v>
      </c>
      <c r="B2682" s="7" t="s">
        <v>1512</v>
      </c>
      <c r="C2682" s="7" t="s">
        <v>2765</v>
      </c>
      <c r="D2682" s="7" t="s">
        <v>3758</v>
      </c>
      <c r="E2682" s="6" t="s">
        <v>3759</v>
      </c>
      <c r="F2682" s="8"/>
      <c r="G2682" s="8"/>
      <c r="H2682" s="8"/>
    </row>
    <row r="2683" spans="1:8">
      <c r="A2683" s="6" t="s">
        <v>1099</v>
      </c>
      <c r="B2683" s="7" t="s">
        <v>1512</v>
      </c>
      <c r="C2683" s="7" t="s">
        <v>3753</v>
      </c>
      <c r="D2683" s="7" t="s">
        <v>3760</v>
      </c>
      <c r="E2683" s="6" t="s">
        <v>3761</v>
      </c>
      <c r="F2683" s="8"/>
      <c r="G2683" s="8"/>
      <c r="H2683" s="8"/>
    </row>
    <row r="2684" spans="1:8">
      <c r="A2684" s="6" t="s">
        <v>1099</v>
      </c>
      <c r="B2684" s="7" t="s">
        <v>1512</v>
      </c>
      <c r="C2684" s="7" t="s">
        <v>264</v>
      </c>
      <c r="D2684" s="7" t="s">
        <v>3762</v>
      </c>
      <c r="E2684" s="6" t="s">
        <v>3763</v>
      </c>
      <c r="F2684" s="8"/>
      <c r="G2684" s="8"/>
      <c r="H2684" s="8"/>
    </row>
    <row r="2685" spans="1:8">
      <c r="A2685" s="6" t="s">
        <v>1099</v>
      </c>
      <c r="B2685" s="7" t="s">
        <v>3764</v>
      </c>
      <c r="C2685" s="7" t="s">
        <v>620</v>
      </c>
      <c r="D2685" s="7" t="s">
        <v>3765</v>
      </c>
      <c r="E2685" s="6" t="s">
        <v>3766</v>
      </c>
      <c r="F2685" s="8" t="s">
        <v>3334</v>
      </c>
      <c r="G2685" s="8" t="s">
        <v>6929</v>
      </c>
      <c r="H2685" s="8" t="s">
        <v>7263</v>
      </c>
    </row>
    <row r="2686" spans="1:8">
      <c r="A2686" s="6" t="s">
        <v>1099</v>
      </c>
      <c r="B2686" s="7" t="s">
        <v>3764</v>
      </c>
      <c r="C2686" s="7" t="s">
        <v>3753</v>
      </c>
      <c r="D2686" s="7" t="s">
        <v>3767</v>
      </c>
      <c r="E2686" s="6" t="s">
        <v>3768</v>
      </c>
      <c r="F2686" s="8" t="s">
        <v>6943</v>
      </c>
      <c r="G2686" s="8" t="s">
        <v>6944</v>
      </c>
      <c r="H2686" s="8" t="s">
        <v>6954</v>
      </c>
    </row>
    <row r="2687" spans="1:8">
      <c r="A2687" s="6" t="s">
        <v>1099</v>
      </c>
      <c r="B2687" s="7" t="s">
        <v>3764</v>
      </c>
      <c r="C2687" s="7" t="s">
        <v>2765</v>
      </c>
      <c r="D2687" s="7" t="s">
        <v>3769</v>
      </c>
      <c r="E2687" s="6" t="s">
        <v>3770</v>
      </c>
      <c r="F2687" s="8"/>
      <c r="G2687" s="8"/>
      <c r="H2687" s="8"/>
    </row>
    <row r="2688" spans="1:8">
      <c r="A2688" s="6" t="s">
        <v>1099</v>
      </c>
      <c r="B2688" s="7" t="s">
        <v>3764</v>
      </c>
      <c r="C2688" s="7" t="s">
        <v>264</v>
      </c>
      <c r="D2688" s="7" t="s">
        <v>3771</v>
      </c>
      <c r="E2688" s="6" t="s">
        <v>3766</v>
      </c>
      <c r="F2688" s="8" t="s">
        <v>6931</v>
      </c>
      <c r="G2688" s="8" t="s">
        <v>6953</v>
      </c>
      <c r="H2688" s="8" t="s">
        <v>6927</v>
      </c>
    </row>
    <row r="2689" spans="1:8">
      <c r="A2689" s="6" t="s">
        <v>1099</v>
      </c>
      <c r="B2689" s="7" t="s">
        <v>3764</v>
      </c>
      <c r="C2689" s="7" t="s">
        <v>264</v>
      </c>
      <c r="D2689" s="7" t="s">
        <v>3772</v>
      </c>
      <c r="E2689" s="6" t="s">
        <v>3773</v>
      </c>
      <c r="F2689" s="8" t="s">
        <v>6931</v>
      </c>
      <c r="G2689" s="8" t="s">
        <v>6953</v>
      </c>
      <c r="H2689" s="8" t="s">
        <v>6927</v>
      </c>
    </row>
    <row r="2690" spans="1:8">
      <c r="A2690" s="6" t="s">
        <v>1099</v>
      </c>
      <c r="B2690" s="7" t="s">
        <v>3764</v>
      </c>
      <c r="C2690" s="7" t="s">
        <v>264</v>
      </c>
      <c r="D2690" s="7" t="s">
        <v>3774</v>
      </c>
      <c r="E2690" s="6" t="s">
        <v>3775</v>
      </c>
      <c r="F2690" s="8"/>
      <c r="G2690" s="8"/>
      <c r="H2690" s="8"/>
    </row>
    <row r="2691" spans="1:8">
      <c r="A2691" s="6" t="s">
        <v>1099</v>
      </c>
      <c r="B2691" s="7" t="s">
        <v>3776</v>
      </c>
      <c r="C2691" s="7" t="s">
        <v>3777</v>
      </c>
      <c r="D2691" s="7" t="s">
        <v>3778</v>
      </c>
      <c r="E2691" s="6" t="s">
        <v>3779</v>
      </c>
      <c r="F2691" s="8"/>
      <c r="G2691" s="8"/>
      <c r="H2691" s="8"/>
    </row>
    <row r="2692" spans="1:8">
      <c r="A2692" s="6" t="s">
        <v>1099</v>
      </c>
      <c r="B2692" s="7" t="s">
        <v>3780</v>
      </c>
      <c r="C2692" s="7" t="s">
        <v>3781</v>
      </c>
      <c r="D2692" s="7" t="s">
        <v>3782</v>
      </c>
      <c r="E2692" s="6" t="s">
        <v>3783</v>
      </c>
      <c r="F2692" s="8"/>
      <c r="G2692" s="8"/>
      <c r="H2692" s="8"/>
    </row>
    <row r="2693" spans="1:8">
      <c r="A2693" s="6" t="s">
        <v>1563</v>
      </c>
      <c r="B2693" s="7" t="s">
        <v>134</v>
      </c>
      <c r="C2693" s="7" t="s">
        <v>134</v>
      </c>
      <c r="D2693" s="7" t="s">
        <v>1564</v>
      </c>
      <c r="E2693" s="6" t="s">
        <v>1565</v>
      </c>
      <c r="F2693" s="8" t="s">
        <v>6931</v>
      </c>
      <c r="G2693" s="8" t="s">
        <v>7008</v>
      </c>
      <c r="H2693" s="8" t="s">
        <v>7264</v>
      </c>
    </row>
    <row r="2694" spans="1:8">
      <c r="A2694" s="6" t="s">
        <v>1563</v>
      </c>
      <c r="B2694" s="7" t="s">
        <v>9</v>
      </c>
      <c r="C2694" s="7" t="s">
        <v>9</v>
      </c>
      <c r="D2694" s="7" t="s">
        <v>1983</v>
      </c>
      <c r="E2694" s="6" t="s">
        <v>1984</v>
      </c>
      <c r="F2694" s="8"/>
      <c r="G2694" s="8"/>
      <c r="H2694" s="8"/>
    </row>
    <row r="2695" spans="1:8">
      <c r="A2695" s="6" t="s">
        <v>1563</v>
      </c>
      <c r="B2695" s="7" t="s">
        <v>134</v>
      </c>
      <c r="C2695" s="7" t="s">
        <v>134</v>
      </c>
      <c r="D2695" s="7" t="s">
        <v>1985</v>
      </c>
      <c r="E2695" s="6" t="s">
        <v>1986</v>
      </c>
      <c r="F2695" s="8"/>
      <c r="G2695" s="8"/>
      <c r="H2695" s="8"/>
    </row>
    <row r="2696" spans="1:8">
      <c r="A2696" s="6" t="s">
        <v>1563</v>
      </c>
      <c r="B2696" s="7" t="s">
        <v>134</v>
      </c>
      <c r="C2696" s="7" t="s">
        <v>134</v>
      </c>
      <c r="D2696" s="7" t="s">
        <v>1987</v>
      </c>
      <c r="E2696" s="6" t="s">
        <v>1988</v>
      </c>
      <c r="F2696" s="8"/>
      <c r="G2696" s="8"/>
      <c r="H2696" s="8"/>
    </row>
    <row r="2697" spans="1:8">
      <c r="A2697" s="6" t="s">
        <v>124</v>
      </c>
      <c r="B2697" s="7" t="s">
        <v>125</v>
      </c>
      <c r="C2697" s="7" t="s">
        <v>125</v>
      </c>
      <c r="D2697" s="7" t="s">
        <v>126</v>
      </c>
      <c r="E2697" s="6" t="s">
        <v>127</v>
      </c>
      <c r="F2697" s="8"/>
      <c r="G2697" s="8"/>
      <c r="H2697" s="8"/>
    </row>
    <row r="2698" spans="1:8">
      <c r="A2698" s="6" t="s">
        <v>124</v>
      </c>
      <c r="B2698" s="7" t="s">
        <v>1173</v>
      </c>
      <c r="C2698" s="7" t="s">
        <v>1174</v>
      </c>
      <c r="D2698" s="7" t="s">
        <v>1175</v>
      </c>
      <c r="E2698" s="6" t="s">
        <v>1176</v>
      </c>
      <c r="F2698" s="8" t="s">
        <v>3334</v>
      </c>
      <c r="G2698" s="8" t="s">
        <v>6953</v>
      </c>
      <c r="H2698" s="8" t="s">
        <v>6951</v>
      </c>
    </row>
    <row r="2699" spans="1:8">
      <c r="A2699" s="6" t="s">
        <v>124</v>
      </c>
      <c r="B2699" s="7" t="s">
        <v>9</v>
      </c>
      <c r="C2699" s="7" t="s">
        <v>1174</v>
      </c>
      <c r="D2699" s="7" t="s">
        <v>1177</v>
      </c>
      <c r="E2699" s="6" t="s">
        <v>1178</v>
      </c>
      <c r="F2699" s="8" t="s">
        <v>3334</v>
      </c>
      <c r="G2699" s="8" t="s">
        <v>6929</v>
      </c>
      <c r="H2699" s="8" t="s">
        <v>6951</v>
      </c>
    </row>
    <row r="2700" spans="1:8">
      <c r="A2700" s="6" t="s">
        <v>124</v>
      </c>
      <c r="B2700" s="7" t="s">
        <v>9</v>
      </c>
      <c r="C2700" s="7" t="s">
        <v>5542</v>
      </c>
      <c r="D2700" s="7" t="s">
        <v>5543</v>
      </c>
      <c r="E2700" s="6" t="s">
        <v>5544</v>
      </c>
      <c r="F2700" s="8"/>
      <c r="G2700" s="8"/>
      <c r="H2700" s="8"/>
    </row>
    <row r="2701" spans="1:8">
      <c r="A2701" s="6" t="s">
        <v>124</v>
      </c>
      <c r="B2701" s="7" t="s">
        <v>9</v>
      </c>
      <c r="C2701" s="7" t="s">
        <v>5542</v>
      </c>
      <c r="D2701" s="7" t="s">
        <v>5545</v>
      </c>
      <c r="E2701" s="6" t="s">
        <v>5546</v>
      </c>
      <c r="F2701" s="8" t="s">
        <v>6931</v>
      </c>
      <c r="G2701" s="8" t="s">
        <v>6929</v>
      </c>
      <c r="H2701" s="8" t="s">
        <v>7216</v>
      </c>
    </row>
    <row r="2702" spans="1:8">
      <c r="A2702" s="6" t="s">
        <v>124</v>
      </c>
      <c r="B2702" s="7" t="s">
        <v>9</v>
      </c>
      <c r="C2702" s="7" t="s">
        <v>5547</v>
      </c>
      <c r="D2702" s="7" t="s">
        <v>5548</v>
      </c>
      <c r="E2702" s="6" t="s">
        <v>5549</v>
      </c>
      <c r="F2702" s="8" t="s">
        <v>6931</v>
      </c>
      <c r="G2702" s="8" t="s">
        <v>6953</v>
      </c>
      <c r="H2702" s="8" t="s">
        <v>7100</v>
      </c>
    </row>
    <row r="2703" spans="1:8">
      <c r="A2703" s="6" t="s">
        <v>124</v>
      </c>
      <c r="B2703" s="7" t="s">
        <v>9</v>
      </c>
      <c r="C2703" s="7" t="s">
        <v>5542</v>
      </c>
      <c r="D2703" s="7" t="s">
        <v>5550</v>
      </c>
      <c r="E2703" s="6" t="s">
        <v>5551</v>
      </c>
      <c r="F2703" s="8"/>
      <c r="G2703" s="8"/>
      <c r="H2703" s="8"/>
    </row>
    <row r="2704" spans="1:8">
      <c r="A2704" s="6" t="s">
        <v>124</v>
      </c>
      <c r="B2704" s="7" t="s">
        <v>9</v>
      </c>
      <c r="C2704" s="7" t="s">
        <v>125</v>
      </c>
      <c r="D2704" s="7" t="s">
        <v>5552</v>
      </c>
      <c r="E2704" s="6" t="s">
        <v>5553</v>
      </c>
      <c r="F2704" s="8"/>
      <c r="G2704" s="8"/>
      <c r="H2704" s="8"/>
    </row>
    <row r="2705" spans="1:8">
      <c r="A2705" s="6" t="s">
        <v>124</v>
      </c>
      <c r="B2705" s="7" t="s">
        <v>9</v>
      </c>
      <c r="C2705" s="7" t="s">
        <v>5554</v>
      </c>
      <c r="D2705" s="7" t="s">
        <v>5555</v>
      </c>
      <c r="E2705" s="6" t="s">
        <v>5556</v>
      </c>
      <c r="F2705" s="8"/>
      <c r="G2705" s="8"/>
      <c r="H2705" s="8"/>
    </row>
    <row r="2706" spans="1:8">
      <c r="A2706" s="6" t="s">
        <v>486</v>
      </c>
      <c r="B2706" s="7" t="s">
        <v>487</v>
      </c>
      <c r="C2706" s="7" t="s">
        <v>488</v>
      </c>
      <c r="D2706" s="7" t="s">
        <v>489</v>
      </c>
      <c r="E2706" s="6" t="s">
        <v>490</v>
      </c>
      <c r="F2706" s="8"/>
      <c r="G2706" s="8"/>
      <c r="H2706" s="8"/>
    </row>
    <row r="2707" spans="1:8">
      <c r="A2707" s="6" t="s">
        <v>486</v>
      </c>
      <c r="B2707" s="7" t="s">
        <v>78</v>
      </c>
      <c r="C2707" s="7" t="s">
        <v>1005</v>
      </c>
      <c r="D2707" s="7" t="s">
        <v>3660</v>
      </c>
      <c r="E2707" s="6" t="s">
        <v>2241</v>
      </c>
      <c r="F2707" s="8"/>
      <c r="G2707" s="8"/>
      <c r="H2707" s="8"/>
    </row>
    <row r="2708" spans="1:8">
      <c r="A2708" s="6" t="s">
        <v>486</v>
      </c>
      <c r="B2708" s="7" t="s">
        <v>3661</v>
      </c>
      <c r="C2708" s="7" t="s">
        <v>3662</v>
      </c>
      <c r="D2708" s="7" t="s">
        <v>3663</v>
      </c>
      <c r="E2708" s="6" t="s">
        <v>3664</v>
      </c>
      <c r="F2708" s="8" t="s">
        <v>6934</v>
      </c>
      <c r="G2708" s="8" t="s">
        <v>6953</v>
      </c>
      <c r="H2708" s="8" t="s">
        <v>7266</v>
      </c>
    </row>
    <row r="2709" spans="1:8">
      <c r="A2709" s="6" t="s">
        <v>486</v>
      </c>
      <c r="B2709" s="7" t="s">
        <v>3665</v>
      </c>
      <c r="C2709" s="7" t="s">
        <v>3665</v>
      </c>
      <c r="D2709" s="7" t="s">
        <v>3666</v>
      </c>
      <c r="E2709" s="6" t="s">
        <v>3667</v>
      </c>
      <c r="F2709" s="8"/>
      <c r="G2709" s="8"/>
      <c r="H2709" s="8"/>
    </row>
    <row r="2710" spans="1:8">
      <c r="A2710" s="6" t="s">
        <v>486</v>
      </c>
      <c r="B2710" s="7" t="s">
        <v>69</v>
      </c>
      <c r="C2710" s="7" t="s">
        <v>3668</v>
      </c>
      <c r="D2710" s="7" t="s">
        <v>3669</v>
      </c>
      <c r="E2710" s="6" t="s">
        <v>813</v>
      </c>
      <c r="F2710" s="8"/>
      <c r="G2710" s="8"/>
      <c r="H2710" s="8"/>
    </row>
    <row r="2711" spans="1:8">
      <c r="A2711" s="6" t="s">
        <v>486</v>
      </c>
      <c r="B2711" s="7" t="s">
        <v>487</v>
      </c>
      <c r="C2711" s="7" t="s">
        <v>487</v>
      </c>
      <c r="D2711" s="7" t="s">
        <v>3670</v>
      </c>
      <c r="E2711" s="6" t="s">
        <v>1719</v>
      </c>
      <c r="F2711" s="8"/>
      <c r="G2711" s="8"/>
      <c r="H2711" s="8"/>
    </row>
    <row r="2712" spans="1:8">
      <c r="A2712" s="6" t="s">
        <v>486</v>
      </c>
      <c r="B2712" s="7" t="s">
        <v>487</v>
      </c>
      <c r="C2712" s="7" t="s">
        <v>487</v>
      </c>
      <c r="D2712" s="7" t="s">
        <v>3671</v>
      </c>
      <c r="E2712" s="6" t="s">
        <v>3672</v>
      </c>
      <c r="F2712" s="8"/>
      <c r="G2712" s="8"/>
      <c r="H2712" s="8"/>
    </row>
    <row r="2713" spans="1:8">
      <c r="A2713" s="6" t="s">
        <v>486</v>
      </c>
      <c r="B2713" s="7" t="s">
        <v>487</v>
      </c>
      <c r="C2713" s="7" t="s">
        <v>487</v>
      </c>
      <c r="D2713" s="7" t="s">
        <v>3673</v>
      </c>
      <c r="E2713" s="6" t="s">
        <v>490</v>
      </c>
      <c r="F2713" s="8"/>
      <c r="G2713" s="8"/>
      <c r="H2713" s="8"/>
    </row>
    <row r="2714" spans="1:8">
      <c r="A2714" s="6" t="s">
        <v>486</v>
      </c>
      <c r="B2714" s="7" t="s">
        <v>3674</v>
      </c>
      <c r="C2714" s="7" t="s">
        <v>3674</v>
      </c>
      <c r="D2714" s="7" t="s">
        <v>3675</v>
      </c>
      <c r="E2714" s="6" t="s">
        <v>3676</v>
      </c>
      <c r="F2714" s="8"/>
      <c r="G2714" s="8"/>
      <c r="H2714" s="8"/>
    </row>
    <row r="2715" spans="1:8">
      <c r="A2715" s="6" t="s">
        <v>486</v>
      </c>
      <c r="B2715" s="7" t="s">
        <v>487</v>
      </c>
      <c r="C2715" s="7" t="s">
        <v>487</v>
      </c>
      <c r="D2715" s="7" t="s">
        <v>3677</v>
      </c>
      <c r="E2715" s="6" t="s">
        <v>2196</v>
      </c>
      <c r="F2715" s="8"/>
      <c r="G2715" s="8"/>
      <c r="H2715" s="8"/>
    </row>
    <row r="2716" spans="1:8">
      <c r="A2716" s="6" t="s">
        <v>486</v>
      </c>
      <c r="B2716" s="7" t="s">
        <v>487</v>
      </c>
      <c r="C2716" s="7" t="s">
        <v>487</v>
      </c>
      <c r="D2716" s="7" t="s">
        <v>3678</v>
      </c>
      <c r="E2716" s="6" t="s">
        <v>3679</v>
      </c>
      <c r="F2716" s="8"/>
      <c r="G2716" s="8"/>
      <c r="H2716" s="8"/>
    </row>
    <row r="2717" spans="1:8">
      <c r="A2717" s="6" t="s">
        <v>486</v>
      </c>
      <c r="B2717" s="7" t="s">
        <v>487</v>
      </c>
      <c r="C2717" s="7" t="s">
        <v>487</v>
      </c>
      <c r="D2717" s="7" t="s">
        <v>3680</v>
      </c>
      <c r="E2717" s="6" t="s">
        <v>2621</v>
      </c>
      <c r="F2717" s="8"/>
      <c r="G2717" s="8"/>
      <c r="H2717" s="8"/>
    </row>
    <row r="2718" spans="1:8">
      <c r="A2718" s="6" t="s">
        <v>486</v>
      </c>
      <c r="B2718" s="7" t="s">
        <v>3681</v>
      </c>
      <c r="C2718" s="7" t="s">
        <v>3681</v>
      </c>
      <c r="D2718" s="7" t="s">
        <v>3682</v>
      </c>
      <c r="E2718" s="6" t="s">
        <v>3683</v>
      </c>
      <c r="F2718" s="8"/>
      <c r="G2718" s="8"/>
      <c r="H2718" s="8"/>
    </row>
    <row r="2719" spans="1:8">
      <c r="A2719" s="6" t="s">
        <v>486</v>
      </c>
      <c r="B2719" s="7" t="s">
        <v>69</v>
      </c>
      <c r="C2719" s="7" t="s">
        <v>69</v>
      </c>
      <c r="D2719" s="7" t="s">
        <v>3684</v>
      </c>
      <c r="E2719" s="6" t="s">
        <v>3685</v>
      </c>
      <c r="F2719" s="8"/>
      <c r="G2719" s="8"/>
      <c r="H2719" s="8"/>
    </row>
    <row r="2720" spans="1:8">
      <c r="A2720" s="6" t="s">
        <v>486</v>
      </c>
      <c r="B2720" s="7" t="s">
        <v>1173</v>
      </c>
      <c r="C2720" s="7" t="s">
        <v>414</v>
      </c>
      <c r="D2720" s="7" t="s">
        <v>3686</v>
      </c>
      <c r="E2720" s="6" t="s">
        <v>3687</v>
      </c>
      <c r="F2720" s="8"/>
      <c r="G2720" s="8"/>
      <c r="H2720" s="8"/>
    </row>
    <row r="2721" spans="1:8">
      <c r="A2721" s="6" t="s">
        <v>486</v>
      </c>
      <c r="B2721" s="7" t="s">
        <v>487</v>
      </c>
      <c r="C2721" s="7" t="s">
        <v>487</v>
      </c>
      <c r="D2721" s="7" t="s">
        <v>3688</v>
      </c>
      <c r="E2721" s="6" t="s">
        <v>3689</v>
      </c>
      <c r="F2721" s="8"/>
      <c r="G2721" s="8"/>
      <c r="H2721" s="8"/>
    </row>
    <row r="2722" spans="1:8">
      <c r="A2722" s="6" t="s">
        <v>486</v>
      </c>
      <c r="B2722" s="7" t="s">
        <v>487</v>
      </c>
      <c r="C2722" s="7" t="s">
        <v>487</v>
      </c>
      <c r="D2722" s="7" t="s">
        <v>3690</v>
      </c>
      <c r="E2722" s="6" t="s">
        <v>3691</v>
      </c>
      <c r="F2722" s="8"/>
      <c r="G2722" s="8"/>
      <c r="H2722" s="8"/>
    </row>
    <row r="2723" spans="1:8">
      <c r="A2723" s="6" t="s">
        <v>486</v>
      </c>
      <c r="B2723" s="7" t="s">
        <v>1173</v>
      </c>
      <c r="C2723" s="7" t="s">
        <v>1173</v>
      </c>
      <c r="D2723" s="7" t="s">
        <v>3692</v>
      </c>
      <c r="E2723" s="6" t="s">
        <v>3693</v>
      </c>
      <c r="F2723" s="8"/>
      <c r="G2723" s="8"/>
      <c r="H2723" s="8"/>
    </row>
    <row r="2724" spans="1:8">
      <c r="A2724" s="6" t="s">
        <v>486</v>
      </c>
      <c r="B2724" s="7" t="s">
        <v>1173</v>
      </c>
      <c r="C2724" s="7" t="s">
        <v>1173</v>
      </c>
      <c r="D2724" s="7" t="s">
        <v>3694</v>
      </c>
      <c r="E2724" s="6" t="s">
        <v>3695</v>
      </c>
      <c r="F2724" s="8"/>
      <c r="G2724" s="8"/>
      <c r="H2724" s="8"/>
    </row>
    <row r="2725" spans="1:8">
      <c r="A2725" s="6" t="s">
        <v>486</v>
      </c>
      <c r="B2725" s="7" t="s">
        <v>1173</v>
      </c>
      <c r="C2725" s="7" t="s">
        <v>1173</v>
      </c>
      <c r="D2725" s="7" t="s">
        <v>3696</v>
      </c>
      <c r="E2725" s="6" t="s">
        <v>3697</v>
      </c>
      <c r="F2725" s="8"/>
      <c r="G2725" s="8"/>
      <c r="H2725" s="8"/>
    </row>
    <row r="2726" spans="1:8">
      <c r="A2726" s="6" t="s">
        <v>486</v>
      </c>
      <c r="B2726" s="7" t="s">
        <v>1173</v>
      </c>
      <c r="C2726" s="7" t="s">
        <v>1173</v>
      </c>
      <c r="D2726" s="7" t="s">
        <v>3698</v>
      </c>
      <c r="E2726" s="6" t="s">
        <v>1238</v>
      </c>
      <c r="F2726" s="8"/>
      <c r="G2726" s="8"/>
      <c r="H2726" s="8"/>
    </row>
    <row r="2727" spans="1:8">
      <c r="A2727" s="6" t="s">
        <v>486</v>
      </c>
      <c r="B2727" s="7" t="s">
        <v>69</v>
      </c>
      <c r="C2727" s="7" t="s">
        <v>69</v>
      </c>
      <c r="D2727" s="7" t="s">
        <v>3699</v>
      </c>
      <c r="E2727" s="6" t="s">
        <v>3700</v>
      </c>
      <c r="F2727" s="8"/>
      <c r="G2727" s="8"/>
      <c r="H2727" s="8"/>
    </row>
    <row r="2728" spans="1:8">
      <c r="A2728" s="6" t="s">
        <v>486</v>
      </c>
      <c r="B2728" s="7" t="s">
        <v>69</v>
      </c>
      <c r="C2728" s="7" t="s">
        <v>69</v>
      </c>
      <c r="D2728" s="7" t="s">
        <v>3701</v>
      </c>
      <c r="E2728" s="6" t="s">
        <v>3702</v>
      </c>
      <c r="F2728" s="8"/>
      <c r="G2728" s="8"/>
      <c r="H2728" s="8"/>
    </row>
    <row r="2729" spans="1:8">
      <c r="A2729" s="6" t="s">
        <v>38</v>
      </c>
      <c r="B2729" s="7" t="s">
        <v>39</v>
      </c>
      <c r="C2729" s="7" t="s">
        <v>40</v>
      </c>
      <c r="D2729" s="7" t="s">
        <v>41</v>
      </c>
      <c r="E2729" s="6" t="s">
        <v>42</v>
      </c>
      <c r="F2729" s="8"/>
      <c r="G2729" s="8"/>
      <c r="H2729" s="8"/>
    </row>
    <row r="2730" spans="1:8">
      <c r="A2730" s="6" t="s">
        <v>38</v>
      </c>
      <c r="B2730" s="7" t="s">
        <v>681</v>
      </c>
      <c r="C2730" s="7" t="s">
        <v>682</v>
      </c>
      <c r="D2730" s="7" t="s">
        <v>683</v>
      </c>
      <c r="E2730" s="6" t="s">
        <v>684</v>
      </c>
      <c r="F2730" s="8" t="s">
        <v>6931</v>
      </c>
      <c r="G2730" s="8" t="s">
        <v>7269</v>
      </c>
      <c r="H2730" s="8" t="s">
        <v>7178</v>
      </c>
    </row>
    <row r="2731" spans="1:8">
      <c r="A2731" s="6" t="s">
        <v>38</v>
      </c>
      <c r="B2731" s="7" t="s">
        <v>681</v>
      </c>
      <c r="C2731" s="7" t="s">
        <v>682</v>
      </c>
      <c r="D2731" s="7" t="s">
        <v>685</v>
      </c>
      <c r="E2731" s="6" t="s">
        <v>686</v>
      </c>
      <c r="F2731" s="8" t="s">
        <v>6931</v>
      </c>
      <c r="G2731" s="8" t="s">
        <v>7269</v>
      </c>
      <c r="H2731" s="8" t="s">
        <v>7178</v>
      </c>
    </row>
    <row r="2732" spans="1:8">
      <c r="A2732" s="6" t="s">
        <v>38</v>
      </c>
      <c r="B2732" s="7" t="s">
        <v>681</v>
      </c>
      <c r="C2732" s="7" t="s">
        <v>682</v>
      </c>
      <c r="D2732" s="7" t="s">
        <v>908</v>
      </c>
      <c r="E2732" s="6" t="s">
        <v>909</v>
      </c>
      <c r="F2732" s="8" t="s">
        <v>6931</v>
      </c>
      <c r="G2732" s="8" t="s">
        <v>7269</v>
      </c>
      <c r="H2732" s="8" t="s">
        <v>7178</v>
      </c>
    </row>
    <row r="2733" spans="1:8">
      <c r="A2733" s="6" t="s">
        <v>38</v>
      </c>
      <c r="B2733" s="7" t="s">
        <v>112</v>
      </c>
      <c r="C2733" s="7" t="s">
        <v>112</v>
      </c>
      <c r="D2733" s="7" t="s">
        <v>1097</v>
      </c>
      <c r="E2733" s="6" t="s">
        <v>1098</v>
      </c>
      <c r="F2733" s="8"/>
      <c r="G2733" s="8"/>
      <c r="H2733" s="8"/>
    </row>
    <row r="2734" spans="1:8">
      <c r="A2734" s="6" t="s">
        <v>38</v>
      </c>
      <c r="B2734" s="7" t="s">
        <v>681</v>
      </c>
      <c r="C2734" s="7" t="s">
        <v>682</v>
      </c>
      <c r="D2734" s="7" t="s">
        <v>1143</v>
      </c>
      <c r="E2734" s="6" t="s">
        <v>1144</v>
      </c>
      <c r="F2734" s="8" t="s">
        <v>6931</v>
      </c>
      <c r="G2734" s="8" t="s">
        <v>7269</v>
      </c>
      <c r="H2734" s="8" t="s">
        <v>7178</v>
      </c>
    </row>
    <row r="2735" spans="1:8">
      <c r="A2735" s="6" t="s">
        <v>38</v>
      </c>
      <c r="B2735" s="7" t="s">
        <v>1470</v>
      </c>
      <c r="C2735" s="7" t="s">
        <v>1470</v>
      </c>
      <c r="D2735" s="7" t="s">
        <v>1471</v>
      </c>
      <c r="E2735" s="6" t="s">
        <v>1472</v>
      </c>
      <c r="F2735" s="8"/>
      <c r="G2735" s="8"/>
      <c r="H2735" s="8"/>
    </row>
    <row r="2736" spans="1:8">
      <c r="A2736" s="6" t="s">
        <v>38</v>
      </c>
      <c r="B2736" s="7" t="s">
        <v>112</v>
      </c>
      <c r="C2736" s="7" t="s">
        <v>112</v>
      </c>
      <c r="D2736" s="7" t="s">
        <v>1541</v>
      </c>
      <c r="E2736" s="6" t="s">
        <v>1542</v>
      </c>
      <c r="F2736" s="8"/>
      <c r="G2736" s="8"/>
      <c r="H2736" s="8"/>
    </row>
    <row r="2737" spans="1:8">
      <c r="A2737" s="6" t="s">
        <v>38</v>
      </c>
      <c r="B2737" s="7" t="s">
        <v>1595</v>
      </c>
      <c r="C2737" s="7" t="s">
        <v>1595</v>
      </c>
      <c r="D2737" s="7" t="s">
        <v>1596</v>
      </c>
      <c r="E2737" s="6" t="s">
        <v>1597</v>
      </c>
      <c r="F2737" s="8" t="s">
        <v>6944</v>
      </c>
      <c r="G2737" s="8" t="s">
        <v>6929</v>
      </c>
      <c r="H2737" s="8" t="s">
        <v>6967</v>
      </c>
    </row>
    <row r="2738" spans="1:8">
      <c r="A2738" s="6" t="s">
        <v>38</v>
      </c>
      <c r="B2738" s="7" t="s">
        <v>112</v>
      </c>
      <c r="C2738" s="7" t="s">
        <v>112</v>
      </c>
      <c r="D2738" s="7" t="s">
        <v>1659</v>
      </c>
      <c r="E2738" s="6" t="s">
        <v>1660</v>
      </c>
      <c r="F2738" s="8"/>
      <c r="G2738" s="8"/>
      <c r="H2738" s="8"/>
    </row>
    <row r="2739" spans="1:8">
      <c r="A2739" s="6" t="s">
        <v>38</v>
      </c>
      <c r="B2739" s="7" t="s">
        <v>606</v>
      </c>
      <c r="C2739" s="7" t="s">
        <v>606</v>
      </c>
      <c r="D2739" s="7" t="s">
        <v>1678</v>
      </c>
      <c r="E2739" s="6" t="s">
        <v>1679</v>
      </c>
      <c r="F2739" s="8" t="s">
        <v>6931</v>
      </c>
      <c r="G2739" s="8" t="s">
        <v>7018</v>
      </c>
      <c r="H2739" s="8" t="s">
        <v>7268</v>
      </c>
    </row>
    <row r="2740" spans="1:8">
      <c r="A2740" s="6" t="s">
        <v>38</v>
      </c>
      <c r="B2740" s="7" t="s">
        <v>1731</v>
      </c>
      <c r="C2740" s="7" t="s">
        <v>1731</v>
      </c>
      <c r="D2740" s="7" t="s">
        <v>1732</v>
      </c>
      <c r="E2740" s="6" t="s">
        <v>1733</v>
      </c>
      <c r="F2740" s="8"/>
      <c r="G2740" s="8"/>
      <c r="H2740" s="8"/>
    </row>
    <row r="2741" spans="1:8">
      <c r="A2741" s="6" t="s">
        <v>38</v>
      </c>
      <c r="B2741" s="7" t="s">
        <v>112</v>
      </c>
      <c r="C2741" s="7" t="s">
        <v>112</v>
      </c>
      <c r="D2741" s="7" t="s">
        <v>1808</v>
      </c>
      <c r="E2741" s="6" t="s">
        <v>1809</v>
      </c>
      <c r="F2741" s="8"/>
      <c r="G2741" s="8"/>
      <c r="H2741" s="8"/>
    </row>
    <row r="2742" spans="1:8">
      <c r="A2742" s="6" t="s">
        <v>38</v>
      </c>
      <c r="B2742" s="7" t="s">
        <v>5252</v>
      </c>
      <c r="C2742" s="7" t="s">
        <v>4716</v>
      </c>
      <c r="D2742" s="7" t="s">
        <v>5557</v>
      </c>
      <c r="E2742" s="6" t="s">
        <v>5558</v>
      </c>
      <c r="F2742" s="8"/>
      <c r="G2742" s="8"/>
      <c r="H2742" s="8"/>
    </row>
    <row r="2743" spans="1:8">
      <c r="A2743" s="6" t="s">
        <v>38</v>
      </c>
      <c r="B2743" s="7" t="s">
        <v>623</v>
      </c>
      <c r="C2743" s="7" t="s">
        <v>623</v>
      </c>
      <c r="D2743" s="7" t="s">
        <v>5559</v>
      </c>
      <c r="E2743" s="6" t="s">
        <v>5560</v>
      </c>
      <c r="F2743" s="8"/>
      <c r="G2743" s="8"/>
      <c r="H2743" s="8"/>
    </row>
    <row r="2744" spans="1:8">
      <c r="A2744" s="6" t="s">
        <v>38</v>
      </c>
      <c r="B2744" s="7" t="s">
        <v>623</v>
      </c>
      <c r="C2744" s="7" t="s">
        <v>623</v>
      </c>
      <c r="D2744" s="7" t="s">
        <v>5561</v>
      </c>
      <c r="E2744" s="6" t="s">
        <v>5562</v>
      </c>
      <c r="F2744" s="8"/>
      <c r="G2744" s="8"/>
      <c r="H2744" s="8"/>
    </row>
    <row r="2745" spans="1:8">
      <c r="A2745" s="6" t="s">
        <v>38</v>
      </c>
      <c r="B2745" s="7" t="s">
        <v>1731</v>
      </c>
      <c r="C2745" s="7" t="s">
        <v>1731</v>
      </c>
      <c r="D2745" s="7" t="s">
        <v>5563</v>
      </c>
      <c r="E2745" s="6" t="s">
        <v>5564</v>
      </c>
      <c r="F2745" s="8"/>
      <c r="G2745" s="8"/>
      <c r="H2745" s="8"/>
    </row>
    <row r="2746" spans="1:8">
      <c r="A2746" s="6" t="s">
        <v>38</v>
      </c>
      <c r="B2746" s="7" t="s">
        <v>1731</v>
      </c>
      <c r="C2746" s="7" t="s">
        <v>1731</v>
      </c>
      <c r="D2746" s="7" t="s">
        <v>5565</v>
      </c>
      <c r="E2746" s="6" t="s">
        <v>5566</v>
      </c>
      <c r="F2746" s="8"/>
      <c r="G2746" s="8"/>
      <c r="H2746" s="8"/>
    </row>
    <row r="2747" spans="1:8">
      <c r="A2747" s="6" t="s">
        <v>38</v>
      </c>
      <c r="B2747" s="7" t="s">
        <v>623</v>
      </c>
      <c r="C2747" s="7" t="s">
        <v>623</v>
      </c>
      <c r="D2747" s="7" t="s">
        <v>5567</v>
      </c>
      <c r="E2747" s="6" t="s">
        <v>5568</v>
      </c>
      <c r="F2747" s="8" t="s">
        <v>3334</v>
      </c>
      <c r="G2747" s="8" t="s">
        <v>6929</v>
      </c>
      <c r="H2747" s="8" t="s">
        <v>6954</v>
      </c>
    </row>
    <row r="2748" spans="1:8">
      <c r="A2748" s="6" t="s">
        <v>38</v>
      </c>
      <c r="B2748" s="7" t="s">
        <v>1731</v>
      </c>
      <c r="C2748" s="7" t="s">
        <v>1731</v>
      </c>
      <c r="D2748" s="7" t="s">
        <v>5569</v>
      </c>
      <c r="E2748" s="6" t="s">
        <v>5570</v>
      </c>
      <c r="F2748" s="8" t="s">
        <v>5162</v>
      </c>
      <c r="G2748" s="8" t="s">
        <v>6944</v>
      </c>
      <c r="H2748" s="8" t="s">
        <v>6951</v>
      </c>
    </row>
    <row r="2749" spans="1:8">
      <c r="A2749" s="6" t="s">
        <v>38</v>
      </c>
      <c r="B2749" s="7" t="s">
        <v>1731</v>
      </c>
      <c r="C2749" s="7" t="s">
        <v>1731</v>
      </c>
      <c r="D2749" s="7" t="s">
        <v>5571</v>
      </c>
      <c r="E2749" s="6" t="s">
        <v>5572</v>
      </c>
      <c r="F2749" s="8" t="s">
        <v>5162</v>
      </c>
      <c r="G2749" s="8" t="s">
        <v>6944</v>
      </c>
      <c r="H2749" s="8" t="s">
        <v>6951</v>
      </c>
    </row>
    <row r="2750" spans="1:8">
      <c r="A2750" s="6" t="s">
        <v>38</v>
      </c>
      <c r="B2750" s="7" t="s">
        <v>1731</v>
      </c>
      <c r="C2750" s="7" t="s">
        <v>1731</v>
      </c>
      <c r="D2750" s="7" t="s">
        <v>5573</v>
      </c>
      <c r="E2750" s="6" t="s">
        <v>5574</v>
      </c>
      <c r="F2750" s="8" t="s">
        <v>5162</v>
      </c>
      <c r="G2750" s="8" t="s">
        <v>6944</v>
      </c>
      <c r="H2750" s="8" t="s">
        <v>6951</v>
      </c>
    </row>
    <row r="2751" spans="1:8">
      <c r="A2751" s="6" t="s">
        <v>38</v>
      </c>
      <c r="B2751" s="7" t="s">
        <v>1731</v>
      </c>
      <c r="C2751" s="7" t="s">
        <v>1731</v>
      </c>
      <c r="D2751" s="7" t="s">
        <v>5575</v>
      </c>
      <c r="E2751" s="6" t="s">
        <v>5576</v>
      </c>
      <c r="F2751" s="8" t="s">
        <v>5162</v>
      </c>
      <c r="G2751" s="8" t="s">
        <v>6944</v>
      </c>
      <c r="H2751" s="8" t="s">
        <v>6951</v>
      </c>
    </row>
    <row r="2752" spans="1:8">
      <c r="A2752" s="6" t="s">
        <v>38</v>
      </c>
      <c r="B2752" s="7" t="s">
        <v>1470</v>
      </c>
      <c r="C2752" s="7" t="s">
        <v>1470</v>
      </c>
      <c r="D2752" s="7" t="s">
        <v>5577</v>
      </c>
      <c r="E2752" s="6" t="s">
        <v>5578</v>
      </c>
      <c r="F2752" s="8"/>
      <c r="G2752" s="8"/>
      <c r="H2752" s="8"/>
    </row>
    <row r="2753" spans="1:8">
      <c r="A2753" s="6" t="s">
        <v>38</v>
      </c>
      <c r="B2753" s="7" t="s">
        <v>5579</v>
      </c>
      <c r="C2753" s="7" t="s">
        <v>5579</v>
      </c>
      <c r="D2753" s="7" t="s">
        <v>5580</v>
      </c>
      <c r="E2753" s="6" t="s">
        <v>5581</v>
      </c>
      <c r="F2753" s="8"/>
      <c r="G2753" s="8"/>
      <c r="H2753" s="8"/>
    </row>
    <row r="2754" spans="1:8">
      <c r="A2754" s="6" t="s">
        <v>38</v>
      </c>
      <c r="B2754" s="7" t="s">
        <v>5579</v>
      </c>
      <c r="C2754" s="7" t="s">
        <v>5579</v>
      </c>
      <c r="D2754" s="7" t="s">
        <v>5582</v>
      </c>
      <c r="E2754" s="6" t="s">
        <v>5583</v>
      </c>
      <c r="F2754" s="8"/>
      <c r="G2754" s="8"/>
      <c r="H2754" s="8"/>
    </row>
    <row r="2755" spans="1:8">
      <c r="A2755" s="6" t="s">
        <v>38</v>
      </c>
      <c r="B2755" s="7" t="s">
        <v>2161</v>
      </c>
      <c r="C2755" s="7" t="s">
        <v>5584</v>
      </c>
      <c r="D2755" s="7" t="s">
        <v>5585</v>
      </c>
      <c r="E2755" s="6" t="s">
        <v>5586</v>
      </c>
      <c r="F2755" s="8"/>
      <c r="G2755" s="8"/>
      <c r="H2755" s="8"/>
    </row>
    <row r="2756" spans="1:8">
      <c r="A2756" s="6" t="s">
        <v>38</v>
      </c>
      <c r="B2756" s="7" t="s">
        <v>5587</v>
      </c>
      <c r="C2756" s="7" t="s">
        <v>5587</v>
      </c>
      <c r="D2756" s="7" t="s">
        <v>5588</v>
      </c>
      <c r="E2756" s="6" t="s">
        <v>5589</v>
      </c>
      <c r="F2756" s="8"/>
      <c r="G2756" s="8"/>
      <c r="H2756" s="8"/>
    </row>
    <row r="2757" spans="1:8">
      <c r="A2757" s="6" t="s">
        <v>38</v>
      </c>
      <c r="B2757" s="7" t="s">
        <v>650</v>
      </c>
      <c r="C2757" s="7" t="s">
        <v>650</v>
      </c>
      <c r="D2757" s="7" t="s">
        <v>5590</v>
      </c>
      <c r="E2757" s="6" t="s">
        <v>870</v>
      </c>
      <c r="F2757" s="8" t="s">
        <v>3334</v>
      </c>
      <c r="G2757" s="8" t="s">
        <v>6929</v>
      </c>
      <c r="H2757" s="8" t="s">
        <v>7267</v>
      </c>
    </row>
    <row r="2758" spans="1:8">
      <c r="A2758" s="6" t="s">
        <v>38</v>
      </c>
      <c r="B2758" s="7" t="s">
        <v>650</v>
      </c>
      <c r="C2758" s="7" t="s">
        <v>650</v>
      </c>
      <c r="D2758" s="7" t="s">
        <v>5591</v>
      </c>
      <c r="E2758" s="6" t="s">
        <v>5592</v>
      </c>
      <c r="F2758" s="8" t="s">
        <v>3334</v>
      </c>
      <c r="G2758" s="8" t="s">
        <v>6929</v>
      </c>
      <c r="H2758" s="8" t="s">
        <v>7267</v>
      </c>
    </row>
    <row r="2759" spans="1:8">
      <c r="A2759" s="6" t="s">
        <v>38</v>
      </c>
      <c r="B2759" s="7" t="s">
        <v>650</v>
      </c>
      <c r="C2759" s="7" t="s">
        <v>650</v>
      </c>
      <c r="D2759" s="7" t="s">
        <v>5593</v>
      </c>
      <c r="E2759" s="6" t="s">
        <v>5594</v>
      </c>
      <c r="F2759" s="8" t="s">
        <v>3334</v>
      </c>
      <c r="G2759" s="8" t="s">
        <v>6929</v>
      </c>
      <c r="H2759" s="8" t="s">
        <v>7267</v>
      </c>
    </row>
    <row r="2760" spans="1:8">
      <c r="A2760" s="6" t="s">
        <v>38</v>
      </c>
      <c r="B2760" s="7" t="s">
        <v>5595</v>
      </c>
      <c r="C2760" s="7" t="s">
        <v>39</v>
      </c>
      <c r="D2760" s="7" t="s">
        <v>5596</v>
      </c>
      <c r="E2760" s="6" t="s">
        <v>5597</v>
      </c>
      <c r="F2760" s="8"/>
      <c r="G2760" s="8"/>
      <c r="H2760" s="8"/>
    </row>
    <row r="2761" spans="1:8">
      <c r="A2761" s="6" t="s">
        <v>38</v>
      </c>
      <c r="B2761" s="7" t="s">
        <v>39</v>
      </c>
      <c r="C2761" s="7" t="s">
        <v>39</v>
      </c>
      <c r="D2761" s="7" t="s">
        <v>5598</v>
      </c>
      <c r="E2761" s="6" t="s">
        <v>5599</v>
      </c>
      <c r="F2761" s="8"/>
      <c r="G2761" s="8"/>
      <c r="H2761" s="8"/>
    </row>
    <row r="2762" spans="1:8">
      <c r="A2762" s="6" t="s">
        <v>38</v>
      </c>
      <c r="B2762" s="7" t="s">
        <v>635</v>
      </c>
      <c r="C2762" s="7" t="s">
        <v>635</v>
      </c>
      <c r="D2762" s="7" t="s">
        <v>5600</v>
      </c>
      <c r="E2762" s="6" t="s">
        <v>5601</v>
      </c>
      <c r="F2762" s="8"/>
      <c r="G2762" s="8"/>
      <c r="H2762" s="8"/>
    </row>
    <row r="2763" spans="1:8">
      <c r="A2763" s="6" t="s">
        <v>38</v>
      </c>
      <c r="B2763" s="7" t="s">
        <v>5602</v>
      </c>
      <c r="C2763" s="7" t="s">
        <v>5344</v>
      </c>
      <c r="D2763" s="7" t="s">
        <v>5603</v>
      </c>
      <c r="E2763" s="6" t="s">
        <v>3623</v>
      </c>
      <c r="F2763" s="8" t="s">
        <v>6955</v>
      </c>
      <c r="G2763" s="8" t="s">
        <v>6929</v>
      </c>
      <c r="H2763" s="8" t="s">
        <v>6940</v>
      </c>
    </row>
    <row r="2764" spans="1:8">
      <c r="A2764" s="6" t="s">
        <v>38</v>
      </c>
      <c r="B2764" s="7" t="s">
        <v>5602</v>
      </c>
      <c r="C2764" s="7" t="s">
        <v>5344</v>
      </c>
      <c r="D2764" s="7" t="s">
        <v>5604</v>
      </c>
      <c r="E2764" s="6" t="s">
        <v>5605</v>
      </c>
      <c r="F2764" s="8" t="s">
        <v>6955</v>
      </c>
      <c r="G2764" s="8" t="s">
        <v>6929</v>
      </c>
      <c r="H2764" s="8" t="s">
        <v>6940</v>
      </c>
    </row>
    <row r="2765" spans="1:8">
      <c r="A2765" s="6" t="s">
        <v>38</v>
      </c>
      <c r="B2765" s="7" t="s">
        <v>5606</v>
      </c>
      <c r="C2765" s="7" t="s">
        <v>5607</v>
      </c>
      <c r="D2765" s="7" t="s">
        <v>5608</v>
      </c>
      <c r="E2765" s="6" t="s">
        <v>3809</v>
      </c>
      <c r="F2765" s="8"/>
      <c r="G2765" s="8"/>
      <c r="H2765" s="8"/>
    </row>
    <row r="2766" spans="1:8">
      <c r="A2766" s="6" t="s">
        <v>38</v>
      </c>
      <c r="B2766" s="7" t="s">
        <v>5609</v>
      </c>
      <c r="C2766" s="7" t="s">
        <v>5610</v>
      </c>
      <c r="D2766" s="7" t="s">
        <v>5611</v>
      </c>
      <c r="E2766" s="6" t="s">
        <v>5213</v>
      </c>
      <c r="F2766" s="8"/>
      <c r="G2766" s="8"/>
      <c r="H2766" s="8"/>
    </row>
    <row r="2767" spans="1:8">
      <c r="A2767" s="6" t="s">
        <v>38</v>
      </c>
      <c r="B2767" s="7" t="s">
        <v>5612</v>
      </c>
      <c r="C2767" s="7" t="s">
        <v>5613</v>
      </c>
      <c r="D2767" s="7" t="s">
        <v>5614</v>
      </c>
      <c r="E2767" s="6" t="s">
        <v>5615</v>
      </c>
      <c r="F2767" s="8"/>
      <c r="G2767" s="8"/>
      <c r="H2767" s="8"/>
    </row>
    <row r="2768" spans="1:8">
      <c r="A2768" s="6" t="s">
        <v>38</v>
      </c>
      <c r="B2768" s="7" t="s">
        <v>1470</v>
      </c>
      <c r="C2768" s="7" t="s">
        <v>1470</v>
      </c>
      <c r="D2768" s="7" t="s">
        <v>5616</v>
      </c>
      <c r="E2768" s="6" t="s">
        <v>121</v>
      </c>
      <c r="F2768" s="8"/>
      <c r="G2768" s="8"/>
      <c r="H2768" s="8"/>
    </row>
    <row r="2769" spans="1:8">
      <c r="A2769" s="6" t="s">
        <v>38</v>
      </c>
      <c r="B2769" s="7" t="s">
        <v>5617</v>
      </c>
      <c r="C2769" s="7" t="s">
        <v>5617</v>
      </c>
      <c r="D2769" s="7" t="s">
        <v>5618</v>
      </c>
      <c r="E2769" s="6" t="s">
        <v>5619</v>
      </c>
      <c r="F2769" s="8"/>
      <c r="G2769" s="8"/>
      <c r="H2769" s="8"/>
    </row>
    <row r="2770" spans="1:8">
      <c r="A2770" s="6" t="s">
        <v>38</v>
      </c>
      <c r="B2770" s="7" t="s">
        <v>1595</v>
      </c>
      <c r="C2770" s="7" t="s">
        <v>1595</v>
      </c>
      <c r="D2770" s="7" t="s">
        <v>5620</v>
      </c>
      <c r="E2770" s="6" t="s">
        <v>5621</v>
      </c>
      <c r="F2770" s="8" t="s">
        <v>6943</v>
      </c>
      <c r="G2770" s="8" t="s">
        <v>6929</v>
      </c>
      <c r="H2770" s="8" t="s">
        <v>6927</v>
      </c>
    </row>
    <row r="2771" spans="1:8">
      <c r="A2771" s="6" t="s">
        <v>38</v>
      </c>
      <c r="B2771" s="7" t="s">
        <v>1595</v>
      </c>
      <c r="C2771" s="7" t="s">
        <v>1595</v>
      </c>
      <c r="D2771" s="7" t="s">
        <v>5622</v>
      </c>
      <c r="E2771" s="6" t="s">
        <v>5623</v>
      </c>
      <c r="F2771" s="8"/>
      <c r="G2771" s="8"/>
      <c r="H2771" s="8"/>
    </row>
    <row r="2772" spans="1:8">
      <c r="A2772" s="6" t="s">
        <v>38</v>
      </c>
      <c r="B2772" s="7" t="s">
        <v>5624</v>
      </c>
      <c r="C2772" s="7" t="s">
        <v>5624</v>
      </c>
      <c r="D2772" s="7" t="s">
        <v>5625</v>
      </c>
      <c r="E2772" s="6" t="s">
        <v>5626</v>
      </c>
      <c r="F2772" s="8" t="s">
        <v>6943</v>
      </c>
      <c r="G2772" s="8" t="s">
        <v>6929</v>
      </c>
      <c r="H2772" s="8" t="s">
        <v>7060</v>
      </c>
    </row>
    <row r="2773" spans="1:8">
      <c r="A2773" s="6" t="s">
        <v>38</v>
      </c>
      <c r="B2773" s="7" t="s">
        <v>112</v>
      </c>
      <c r="C2773" s="7" t="s">
        <v>112</v>
      </c>
      <c r="D2773" s="7" t="s">
        <v>5627</v>
      </c>
      <c r="E2773" s="6" t="s">
        <v>1325</v>
      </c>
      <c r="F2773" s="8"/>
      <c r="G2773" s="8"/>
      <c r="H2773" s="8"/>
    </row>
    <row r="2774" spans="1:8">
      <c r="A2774" s="6" t="s">
        <v>38</v>
      </c>
      <c r="B2774" s="7" t="s">
        <v>5628</v>
      </c>
      <c r="C2774" s="7" t="s">
        <v>5629</v>
      </c>
      <c r="D2774" s="7" t="s">
        <v>5630</v>
      </c>
      <c r="E2774" s="6" t="s">
        <v>5631</v>
      </c>
      <c r="F2774" s="8"/>
      <c r="G2774" s="8"/>
      <c r="H2774" s="8"/>
    </row>
    <row r="2775" spans="1:8">
      <c r="A2775" s="6" t="s">
        <v>38</v>
      </c>
      <c r="B2775" s="7" t="s">
        <v>635</v>
      </c>
      <c r="C2775" s="7" t="s">
        <v>635</v>
      </c>
      <c r="D2775" s="7" t="s">
        <v>5632</v>
      </c>
      <c r="E2775" s="6" t="s">
        <v>5633</v>
      </c>
      <c r="F2775" s="8"/>
      <c r="G2775" s="8"/>
      <c r="H2775" s="8"/>
    </row>
    <row r="2776" spans="1:8">
      <c r="A2776" s="6" t="s">
        <v>38</v>
      </c>
      <c r="B2776" s="7" t="s">
        <v>5634</v>
      </c>
      <c r="C2776" s="7" t="s">
        <v>5634</v>
      </c>
      <c r="D2776" s="7" t="s">
        <v>5635</v>
      </c>
      <c r="E2776" s="6" t="s">
        <v>5636</v>
      </c>
      <c r="F2776" s="8"/>
      <c r="G2776" s="8"/>
      <c r="H2776" s="8"/>
    </row>
    <row r="2777" spans="1:8">
      <c r="A2777" s="6" t="s">
        <v>5290</v>
      </c>
      <c r="B2777" s="7" t="s">
        <v>9</v>
      </c>
      <c r="C2777" s="7" t="s">
        <v>9</v>
      </c>
      <c r="D2777" s="7" t="s">
        <v>5291</v>
      </c>
      <c r="E2777" s="6" t="s">
        <v>62</v>
      </c>
      <c r="F2777" s="8"/>
      <c r="G2777" s="8"/>
      <c r="H2777" s="8"/>
    </row>
    <row r="2778" spans="1:8">
      <c r="A2778" s="6" t="s">
        <v>5290</v>
      </c>
      <c r="B2778" s="7" t="s">
        <v>9</v>
      </c>
      <c r="C2778" s="7" t="s">
        <v>9</v>
      </c>
      <c r="D2778" s="7" t="s">
        <v>5293</v>
      </c>
      <c r="E2778" s="6" t="s">
        <v>5294</v>
      </c>
      <c r="F2778" s="8"/>
      <c r="G2778" s="8"/>
      <c r="H2778" s="8"/>
    </row>
    <row r="2779" spans="1:8">
      <c r="A2779" s="6" t="s">
        <v>5290</v>
      </c>
      <c r="B2779" s="7" t="s">
        <v>9</v>
      </c>
      <c r="C2779" s="7" t="s">
        <v>9</v>
      </c>
      <c r="D2779" s="7" t="s">
        <v>5295</v>
      </c>
      <c r="E2779" s="6" t="s">
        <v>5294</v>
      </c>
      <c r="F2779" s="8"/>
      <c r="G2779" s="8"/>
      <c r="H2779" s="8"/>
    </row>
    <row r="2780" spans="1:8">
      <c r="A2780" s="6" t="s">
        <v>473</v>
      </c>
      <c r="B2780" s="7" t="s">
        <v>474</v>
      </c>
      <c r="C2780" s="7" t="s">
        <v>475</v>
      </c>
      <c r="D2780" s="7" t="s">
        <v>476</v>
      </c>
      <c r="E2780" s="6" t="s">
        <v>477</v>
      </c>
      <c r="F2780" s="8" t="s">
        <v>6931</v>
      </c>
      <c r="G2780" s="8" t="s">
        <v>6929</v>
      </c>
      <c r="H2780" s="8" t="s">
        <v>7271</v>
      </c>
    </row>
    <row r="2781" spans="1:8">
      <c r="A2781" s="6" t="s">
        <v>473</v>
      </c>
      <c r="B2781" s="7" t="s">
        <v>474</v>
      </c>
      <c r="C2781" s="7" t="s">
        <v>475</v>
      </c>
      <c r="D2781" s="7" t="s">
        <v>478</v>
      </c>
      <c r="E2781" s="6" t="s">
        <v>479</v>
      </c>
      <c r="F2781" s="8" t="s">
        <v>3334</v>
      </c>
      <c r="G2781" s="8" t="s">
        <v>6929</v>
      </c>
      <c r="H2781" s="8" t="s">
        <v>6951</v>
      </c>
    </row>
    <row r="2782" spans="1:8">
      <c r="A2782" s="6" t="s">
        <v>473</v>
      </c>
      <c r="B2782" s="7" t="s">
        <v>718</v>
      </c>
      <c r="C2782" s="7" t="s">
        <v>718</v>
      </c>
      <c r="D2782" s="7" t="s">
        <v>719</v>
      </c>
      <c r="E2782" s="6" t="s">
        <v>720</v>
      </c>
      <c r="F2782" s="8"/>
      <c r="G2782" s="8"/>
      <c r="H2782" s="8"/>
    </row>
    <row r="2783" spans="1:8">
      <c r="A2783" s="6" t="s">
        <v>473</v>
      </c>
      <c r="B2783" s="7" t="s">
        <v>1115</v>
      </c>
      <c r="C2783" s="7" t="s">
        <v>1115</v>
      </c>
      <c r="D2783" s="7" t="s">
        <v>1116</v>
      </c>
      <c r="E2783" s="6" t="s">
        <v>1117</v>
      </c>
      <c r="F2783" s="8"/>
      <c r="G2783" s="8"/>
      <c r="H2783" s="8"/>
    </row>
    <row r="2784" spans="1:8">
      <c r="A2784" s="6" t="s">
        <v>473</v>
      </c>
      <c r="B2784" s="7" t="s">
        <v>718</v>
      </c>
      <c r="C2784" s="7" t="s">
        <v>718</v>
      </c>
      <c r="D2784" s="7" t="s">
        <v>1136</v>
      </c>
      <c r="E2784" s="6" t="s">
        <v>1137</v>
      </c>
      <c r="F2784" s="8"/>
      <c r="G2784" s="8"/>
      <c r="H2784" s="8"/>
    </row>
    <row r="2785" spans="1:8">
      <c r="A2785" s="6" t="s">
        <v>473</v>
      </c>
      <c r="B2785" s="7" t="s">
        <v>898</v>
      </c>
      <c r="C2785" s="7" t="s">
        <v>898</v>
      </c>
      <c r="D2785" s="7" t="s">
        <v>1222</v>
      </c>
      <c r="E2785" s="6" t="s">
        <v>741</v>
      </c>
      <c r="F2785" s="8" t="s">
        <v>7021</v>
      </c>
      <c r="G2785" s="8" t="s">
        <v>6929</v>
      </c>
      <c r="H2785" s="8" t="s">
        <v>7272</v>
      </c>
    </row>
    <row r="2786" spans="1:8">
      <c r="A2786" s="6" t="s">
        <v>473</v>
      </c>
      <c r="B2786" s="7" t="s">
        <v>898</v>
      </c>
      <c r="C2786" s="7" t="s">
        <v>898</v>
      </c>
      <c r="D2786" s="7" t="s">
        <v>1223</v>
      </c>
      <c r="E2786" s="6" t="s">
        <v>1224</v>
      </c>
      <c r="F2786" s="8" t="s">
        <v>7021</v>
      </c>
      <c r="G2786" s="8" t="s">
        <v>6929</v>
      </c>
      <c r="H2786" s="8" t="s">
        <v>7272</v>
      </c>
    </row>
    <row r="2787" spans="1:8">
      <c r="A2787" s="6" t="s">
        <v>473</v>
      </c>
      <c r="B2787" s="7" t="s">
        <v>718</v>
      </c>
      <c r="C2787" s="7" t="s">
        <v>718</v>
      </c>
      <c r="D2787" s="7" t="s">
        <v>1571</v>
      </c>
      <c r="E2787" s="6" t="s">
        <v>1572</v>
      </c>
      <c r="F2787" s="8"/>
      <c r="G2787" s="8"/>
      <c r="H2787" s="8"/>
    </row>
    <row r="2788" spans="1:8">
      <c r="A2788" s="6" t="s">
        <v>473</v>
      </c>
      <c r="B2788" s="7" t="s">
        <v>1115</v>
      </c>
      <c r="C2788" s="7" t="s">
        <v>1115</v>
      </c>
      <c r="D2788" s="7" t="s">
        <v>1848</v>
      </c>
      <c r="E2788" s="6" t="s">
        <v>1849</v>
      </c>
      <c r="F2788" s="8"/>
      <c r="G2788" s="8"/>
      <c r="H2788" s="8"/>
    </row>
    <row r="2789" spans="1:8">
      <c r="A2789" s="6" t="s">
        <v>473</v>
      </c>
      <c r="B2789" s="7" t="s">
        <v>6513</v>
      </c>
      <c r="C2789" s="7" t="s">
        <v>6514</v>
      </c>
      <c r="D2789" s="7" t="s">
        <v>6515</v>
      </c>
      <c r="E2789" s="6" t="s">
        <v>6516</v>
      </c>
      <c r="F2789" s="8"/>
      <c r="G2789" s="8"/>
      <c r="H2789" s="8"/>
    </row>
    <row r="2790" spans="1:8">
      <c r="A2790" s="6" t="s">
        <v>473</v>
      </c>
      <c r="B2790" s="7" t="s">
        <v>718</v>
      </c>
      <c r="C2790" s="7" t="s">
        <v>718</v>
      </c>
      <c r="D2790" s="7" t="s">
        <v>6517</v>
      </c>
      <c r="E2790" s="6" t="s">
        <v>6518</v>
      </c>
      <c r="F2790" s="8" t="s">
        <v>6939</v>
      </c>
      <c r="G2790" s="8" t="s">
        <v>6929</v>
      </c>
      <c r="H2790" s="8" t="s">
        <v>6927</v>
      </c>
    </row>
    <row r="2791" spans="1:8">
      <c r="A2791" s="6" t="s">
        <v>473</v>
      </c>
      <c r="B2791" s="7" t="s">
        <v>718</v>
      </c>
      <c r="C2791" s="7" t="s">
        <v>718</v>
      </c>
      <c r="D2791" s="7" t="s">
        <v>6519</v>
      </c>
      <c r="E2791" s="6" t="s">
        <v>6520</v>
      </c>
      <c r="F2791" s="8" t="s">
        <v>6939</v>
      </c>
      <c r="G2791" s="8" t="s">
        <v>6929</v>
      </c>
      <c r="H2791" s="8" t="s">
        <v>6927</v>
      </c>
    </row>
    <row r="2792" spans="1:8">
      <c r="A2792" s="6" t="s">
        <v>473</v>
      </c>
      <c r="B2792" s="7" t="s">
        <v>718</v>
      </c>
      <c r="C2792" s="7" t="s">
        <v>718</v>
      </c>
      <c r="D2792" s="7" t="s">
        <v>6521</v>
      </c>
      <c r="E2792" s="6" t="s">
        <v>6522</v>
      </c>
      <c r="F2792" s="8" t="s">
        <v>6939</v>
      </c>
      <c r="G2792" s="8" t="s">
        <v>6929</v>
      </c>
      <c r="H2792" s="8" t="s">
        <v>6927</v>
      </c>
    </row>
    <row r="2793" spans="1:8">
      <c r="A2793" s="6" t="s">
        <v>473</v>
      </c>
      <c r="B2793" s="7" t="s">
        <v>718</v>
      </c>
      <c r="C2793" s="7" t="s">
        <v>718</v>
      </c>
      <c r="D2793" s="7" t="s">
        <v>6523</v>
      </c>
      <c r="E2793" s="6" t="s">
        <v>6524</v>
      </c>
      <c r="F2793" s="8" t="s">
        <v>6939</v>
      </c>
      <c r="G2793" s="8" t="s">
        <v>6929</v>
      </c>
      <c r="H2793" s="8" t="s">
        <v>6927</v>
      </c>
    </row>
    <row r="2794" spans="1:8">
      <c r="A2794" s="6" t="s">
        <v>473</v>
      </c>
      <c r="B2794" s="7" t="s">
        <v>718</v>
      </c>
      <c r="C2794" s="7" t="s">
        <v>718</v>
      </c>
      <c r="D2794" s="7" t="s">
        <v>6525</v>
      </c>
      <c r="E2794" s="6" t="s">
        <v>6526</v>
      </c>
      <c r="F2794" s="8" t="s">
        <v>6943</v>
      </c>
      <c r="G2794" s="8" t="s">
        <v>6929</v>
      </c>
      <c r="H2794" s="8" t="s">
        <v>7213</v>
      </c>
    </row>
    <row r="2795" spans="1:8">
      <c r="A2795" s="6" t="s">
        <v>473</v>
      </c>
      <c r="B2795" s="7" t="s">
        <v>474</v>
      </c>
      <c r="C2795" s="7" t="s">
        <v>474</v>
      </c>
      <c r="D2795" s="7" t="s">
        <v>6527</v>
      </c>
      <c r="E2795" s="6" t="s">
        <v>6528</v>
      </c>
      <c r="F2795" s="8"/>
      <c r="G2795" s="8"/>
      <c r="H2795" s="8"/>
    </row>
    <row r="2796" spans="1:8">
      <c r="A2796" s="6" t="s">
        <v>473</v>
      </c>
      <c r="B2796" s="7" t="s">
        <v>474</v>
      </c>
      <c r="C2796" s="7" t="s">
        <v>474</v>
      </c>
      <c r="D2796" s="7" t="s">
        <v>6529</v>
      </c>
      <c r="E2796" s="6" t="s">
        <v>6530</v>
      </c>
      <c r="F2796" s="8"/>
      <c r="G2796" s="8"/>
      <c r="H2796" s="8"/>
    </row>
    <row r="2797" spans="1:8">
      <c r="A2797" s="6" t="s">
        <v>473</v>
      </c>
      <c r="B2797" s="7" t="s">
        <v>474</v>
      </c>
      <c r="C2797" s="7" t="s">
        <v>474</v>
      </c>
      <c r="D2797" s="7" t="s">
        <v>6531</v>
      </c>
      <c r="E2797" s="6" t="s">
        <v>6532</v>
      </c>
      <c r="F2797" s="8" t="s">
        <v>6931</v>
      </c>
      <c r="G2797" s="8" t="s">
        <v>6944</v>
      </c>
      <c r="H2797" s="8" t="s">
        <v>7220</v>
      </c>
    </row>
    <row r="2798" spans="1:8">
      <c r="A2798" s="6" t="s">
        <v>473</v>
      </c>
      <c r="B2798" s="7" t="s">
        <v>474</v>
      </c>
      <c r="C2798" s="7" t="s">
        <v>474</v>
      </c>
      <c r="D2798" s="7" t="s">
        <v>6533</v>
      </c>
      <c r="E2798" s="6" t="s">
        <v>6534</v>
      </c>
      <c r="F2798" s="8"/>
      <c r="G2798" s="8"/>
      <c r="H2798" s="8"/>
    </row>
    <row r="2799" spans="1:8">
      <c r="A2799" s="6" t="s">
        <v>473</v>
      </c>
      <c r="B2799" s="7" t="s">
        <v>474</v>
      </c>
      <c r="C2799" s="7" t="s">
        <v>474</v>
      </c>
      <c r="D2799" s="7" t="s">
        <v>6535</v>
      </c>
      <c r="E2799" s="6" t="s">
        <v>6536</v>
      </c>
      <c r="F2799" s="8"/>
      <c r="G2799" s="8"/>
      <c r="H2799" s="8"/>
    </row>
    <row r="2800" spans="1:8">
      <c r="A2800" s="6" t="s">
        <v>473</v>
      </c>
      <c r="B2800" s="7" t="s">
        <v>474</v>
      </c>
      <c r="C2800" s="7" t="s">
        <v>474</v>
      </c>
      <c r="D2800" s="7" t="s">
        <v>6537</v>
      </c>
      <c r="E2800" s="6" t="s">
        <v>6538</v>
      </c>
      <c r="F2800" s="8"/>
      <c r="G2800" s="8"/>
      <c r="H2800" s="8"/>
    </row>
    <row r="2801" spans="1:8">
      <c r="A2801" s="6" t="s">
        <v>473</v>
      </c>
      <c r="B2801" s="7" t="s">
        <v>1115</v>
      </c>
      <c r="C2801" s="7" t="s">
        <v>1115</v>
      </c>
      <c r="D2801" s="7" t="s">
        <v>6539</v>
      </c>
      <c r="E2801" s="6" t="s">
        <v>6540</v>
      </c>
      <c r="F2801" s="8"/>
      <c r="G2801" s="8"/>
      <c r="H2801" s="8"/>
    </row>
    <row r="2802" spans="1:8">
      <c r="A2802" s="6" t="s">
        <v>473</v>
      </c>
      <c r="B2802" s="7" t="s">
        <v>1115</v>
      </c>
      <c r="C2802" s="7" t="s">
        <v>1115</v>
      </c>
      <c r="D2802" s="7" t="s">
        <v>6541</v>
      </c>
      <c r="E2802" s="6" t="s">
        <v>2923</v>
      </c>
      <c r="F2802" s="8"/>
      <c r="G2802" s="8"/>
      <c r="H2802" s="8"/>
    </row>
    <row r="2803" spans="1:8">
      <c r="A2803" s="6" t="s">
        <v>473</v>
      </c>
      <c r="B2803" s="7" t="s">
        <v>1131</v>
      </c>
      <c r="C2803" s="7" t="s">
        <v>1131</v>
      </c>
      <c r="D2803" s="7" t="s">
        <v>6542</v>
      </c>
      <c r="E2803" s="6" t="s">
        <v>6543</v>
      </c>
      <c r="F2803" s="8" t="s">
        <v>6982</v>
      </c>
      <c r="G2803" s="8" t="s">
        <v>6953</v>
      </c>
      <c r="H2803" s="8" t="s">
        <v>7270</v>
      </c>
    </row>
    <row r="2804" spans="1:8">
      <c r="A2804" s="6" t="s">
        <v>473</v>
      </c>
      <c r="B2804" s="7" t="s">
        <v>3032</v>
      </c>
      <c r="C2804" s="7" t="s">
        <v>3032</v>
      </c>
      <c r="D2804" s="7" t="s">
        <v>6544</v>
      </c>
      <c r="E2804" s="6" t="s">
        <v>6545</v>
      </c>
      <c r="F2804" s="8"/>
      <c r="G2804" s="8"/>
      <c r="H2804" s="8"/>
    </row>
    <row r="2805" spans="1:8">
      <c r="A2805" s="6" t="s">
        <v>473</v>
      </c>
      <c r="B2805" s="7" t="s">
        <v>6514</v>
      </c>
      <c r="C2805" s="7" t="s">
        <v>6514</v>
      </c>
      <c r="D2805" s="7" t="s">
        <v>6546</v>
      </c>
      <c r="E2805" s="6" t="s">
        <v>6547</v>
      </c>
      <c r="F2805" s="8"/>
      <c r="G2805" s="8"/>
      <c r="H2805" s="8"/>
    </row>
    <row r="2806" spans="1:8">
      <c r="A2806" s="6" t="s">
        <v>168</v>
      </c>
      <c r="B2806" s="7" t="s">
        <v>116</v>
      </c>
      <c r="C2806" s="7" t="s">
        <v>169</v>
      </c>
      <c r="D2806" s="7" t="s">
        <v>170</v>
      </c>
      <c r="E2806" s="6" t="s">
        <v>171</v>
      </c>
      <c r="F2806" s="8"/>
      <c r="G2806" s="8"/>
      <c r="H2806" s="8"/>
    </row>
    <row r="2807" spans="1:8">
      <c r="A2807" s="6" t="s">
        <v>168</v>
      </c>
      <c r="B2807" s="7" t="s">
        <v>1782</v>
      </c>
      <c r="C2807" s="7" t="s">
        <v>697</v>
      </c>
      <c r="D2807" s="7" t="s">
        <v>1783</v>
      </c>
      <c r="E2807" s="6" t="s">
        <v>1784</v>
      </c>
      <c r="F2807" s="8"/>
      <c r="G2807" s="8"/>
      <c r="H2807" s="8"/>
    </row>
    <row r="2808" spans="1:8">
      <c r="A2808" s="6" t="s">
        <v>168</v>
      </c>
      <c r="B2808" s="7" t="s">
        <v>2505</v>
      </c>
      <c r="C2808" s="7" t="s">
        <v>2505</v>
      </c>
      <c r="D2808" s="7" t="s">
        <v>2646</v>
      </c>
      <c r="E2808" s="6" t="s">
        <v>2647</v>
      </c>
      <c r="F2808" s="8"/>
      <c r="G2808" s="8"/>
      <c r="H2808" s="8"/>
    </row>
    <row r="2809" spans="1:8">
      <c r="A2809" s="6" t="s">
        <v>168</v>
      </c>
      <c r="B2809" s="7" t="s">
        <v>2648</v>
      </c>
      <c r="C2809" s="7" t="s">
        <v>2648</v>
      </c>
      <c r="D2809" s="7" t="s">
        <v>2649</v>
      </c>
      <c r="E2809" s="6" t="s">
        <v>2332</v>
      </c>
      <c r="F2809" s="8"/>
      <c r="G2809" s="8"/>
      <c r="H2809" s="8"/>
    </row>
    <row r="2810" spans="1:8">
      <c r="A2810" s="6" t="s">
        <v>168</v>
      </c>
      <c r="B2810" s="7" t="s">
        <v>2650</v>
      </c>
      <c r="C2810" s="7" t="s">
        <v>2650</v>
      </c>
      <c r="D2810" s="7" t="s">
        <v>2651</v>
      </c>
      <c r="E2810" s="6" t="s">
        <v>2652</v>
      </c>
      <c r="F2810" s="8"/>
      <c r="G2810" s="8"/>
      <c r="H2810" s="8"/>
    </row>
    <row r="2811" spans="1:8">
      <c r="A2811" s="6" t="s">
        <v>168</v>
      </c>
      <c r="B2811" s="7" t="s">
        <v>2653</v>
      </c>
      <c r="C2811" s="7" t="s">
        <v>2654</v>
      </c>
      <c r="D2811" s="7" t="s">
        <v>2655</v>
      </c>
      <c r="E2811" s="6" t="s">
        <v>2656</v>
      </c>
      <c r="F2811" s="8"/>
      <c r="G2811" s="8"/>
      <c r="H2811" s="8"/>
    </row>
    <row r="2812" spans="1:8">
      <c r="A2812" s="6" t="s">
        <v>168</v>
      </c>
      <c r="B2812" s="7" t="s">
        <v>116</v>
      </c>
      <c r="C2812" s="7" t="s">
        <v>2657</v>
      </c>
      <c r="D2812" s="7" t="s">
        <v>2658</v>
      </c>
      <c r="E2812" s="6" t="s">
        <v>2659</v>
      </c>
      <c r="F2812" s="8"/>
      <c r="G2812" s="8"/>
      <c r="H2812" s="8"/>
    </row>
    <row r="2813" spans="1:8">
      <c r="A2813" s="6" t="s">
        <v>168</v>
      </c>
      <c r="B2813" s="7" t="s">
        <v>116</v>
      </c>
      <c r="C2813" s="7" t="s">
        <v>116</v>
      </c>
      <c r="D2813" s="7" t="s">
        <v>2660</v>
      </c>
      <c r="E2813" s="6" t="s">
        <v>2661</v>
      </c>
      <c r="F2813" s="8"/>
      <c r="G2813" s="8"/>
      <c r="H2813" s="8"/>
    </row>
    <row r="2814" spans="1:8">
      <c r="A2814" s="6" t="s">
        <v>168</v>
      </c>
      <c r="B2814" s="7" t="s">
        <v>74</v>
      </c>
      <c r="C2814" s="7" t="s">
        <v>74</v>
      </c>
      <c r="D2814" s="7" t="s">
        <v>2662</v>
      </c>
      <c r="E2814" s="6" t="s">
        <v>2663</v>
      </c>
      <c r="F2814" s="8"/>
      <c r="G2814" s="8"/>
      <c r="H2814" s="8"/>
    </row>
    <row r="2815" spans="1:8">
      <c r="A2815" s="6" t="s">
        <v>168</v>
      </c>
      <c r="B2815" s="7" t="s">
        <v>74</v>
      </c>
      <c r="C2815" s="7" t="s">
        <v>74</v>
      </c>
      <c r="D2815" s="7" t="s">
        <v>2664</v>
      </c>
      <c r="E2815" s="6" t="s">
        <v>862</v>
      </c>
      <c r="F2815" s="8" t="s">
        <v>6944</v>
      </c>
      <c r="G2815" s="8" t="s">
        <v>7086</v>
      </c>
      <c r="H2815" s="8" t="s">
        <v>7274</v>
      </c>
    </row>
    <row r="2816" spans="1:8">
      <c r="A2816" s="6" t="s">
        <v>168</v>
      </c>
      <c r="B2816" s="7" t="s">
        <v>74</v>
      </c>
      <c r="C2816" s="7" t="s">
        <v>74</v>
      </c>
      <c r="D2816" s="7" t="s">
        <v>2665</v>
      </c>
      <c r="E2816" s="6" t="s">
        <v>2666</v>
      </c>
      <c r="F2816" s="8"/>
      <c r="G2816" s="8"/>
      <c r="H2816" s="8"/>
    </row>
    <row r="2817" spans="1:8">
      <c r="A2817" s="6" t="s">
        <v>168</v>
      </c>
      <c r="B2817" s="7" t="s">
        <v>2650</v>
      </c>
      <c r="C2817" s="7" t="s">
        <v>2650</v>
      </c>
      <c r="D2817" s="7" t="s">
        <v>2667</v>
      </c>
      <c r="E2817" s="6" t="s">
        <v>2668</v>
      </c>
      <c r="F2817" s="8"/>
      <c r="G2817" s="8"/>
      <c r="H2817" s="8"/>
    </row>
    <row r="2818" spans="1:8">
      <c r="A2818" s="6" t="s">
        <v>168</v>
      </c>
      <c r="B2818" s="7" t="s">
        <v>2653</v>
      </c>
      <c r="C2818" s="7" t="s">
        <v>2654</v>
      </c>
      <c r="D2818" s="7" t="s">
        <v>2669</v>
      </c>
      <c r="E2818" s="6" t="s">
        <v>2347</v>
      </c>
      <c r="F2818" s="8"/>
      <c r="G2818" s="8"/>
      <c r="H2818" s="8"/>
    </row>
    <row r="2819" spans="1:8">
      <c r="A2819" s="6" t="s">
        <v>522</v>
      </c>
      <c r="B2819" s="7" t="s">
        <v>9</v>
      </c>
      <c r="C2819" s="7" t="s">
        <v>523</v>
      </c>
      <c r="D2819" s="7" t="s">
        <v>524</v>
      </c>
      <c r="E2819" s="6" t="s">
        <v>525</v>
      </c>
      <c r="F2819" s="8"/>
      <c r="G2819" s="8"/>
      <c r="H2819" s="8"/>
    </row>
    <row r="2820" spans="1:8">
      <c r="A2820" s="6" t="s">
        <v>327</v>
      </c>
      <c r="B2820" s="7" t="s">
        <v>328</v>
      </c>
      <c r="C2820" s="7" t="s">
        <v>328</v>
      </c>
      <c r="D2820" s="7" t="s">
        <v>329</v>
      </c>
      <c r="E2820" s="6" t="s">
        <v>330</v>
      </c>
      <c r="F2820" s="8"/>
      <c r="G2820" s="8"/>
      <c r="H2820" s="8"/>
    </row>
    <row r="2821" spans="1:8">
      <c r="A2821" s="6" t="s">
        <v>327</v>
      </c>
      <c r="B2821" s="7" t="s">
        <v>328</v>
      </c>
      <c r="C2821" s="7" t="s">
        <v>328</v>
      </c>
      <c r="D2821" s="7" t="s">
        <v>581</v>
      </c>
      <c r="E2821" s="6" t="s">
        <v>582</v>
      </c>
      <c r="F2821" s="8"/>
      <c r="G2821" s="8"/>
      <c r="H2821" s="8"/>
    </row>
    <row r="2822" spans="1:8">
      <c r="A2822" s="6" t="s">
        <v>327</v>
      </c>
      <c r="B2822" s="7" t="s">
        <v>844</v>
      </c>
      <c r="C2822" s="7" t="s">
        <v>844</v>
      </c>
      <c r="D2822" s="7" t="s">
        <v>845</v>
      </c>
      <c r="E2822" s="6" t="s">
        <v>846</v>
      </c>
      <c r="F2822" s="8"/>
      <c r="G2822" s="8"/>
      <c r="H2822" s="8"/>
    </row>
    <row r="2823" spans="1:8">
      <c r="A2823" s="6" t="s">
        <v>327</v>
      </c>
      <c r="B2823" s="7" t="s">
        <v>956</v>
      </c>
      <c r="C2823" s="7" t="s">
        <v>956</v>
      </c>
      <c r="D2823" s="7" t="s">
        <v>957</v>
      </c>
      <c r="E2823" s="6" t="s">
        <v>958</v>
      </c>
      <c r="F2823" s="8"/>
      <c r="G2823" s="8"/>
      <c r="H2823" s="8"/>
    </row>
    <row r="2824" spans="1:8">
      <c r="A2824" s="6" t="s">
        <v>327</v>
      </c>
      <c r="B2824" s="7" t="s">
        <v>959</v>
      </c>
      <c r="C2824" s="7" t="s">
        <v>959</v>
      </c>
      <c r="D2824" s="7" t="s">
        <v>960</v>
      </c>
      <c r="E2824" s="6" t="s">
        <v>961</v>
      </c>
      <c r="F2824" s="8"/>
      <c r="G2824" s="8"/>
      <c r="H2824" s="8"/>
    </row>
    <row r="2825" spans="1:8">
      <c r="A2825" s="6" t="s">
        <v>327</v>
      </c>
      <c r="B2825" s="7" t="s">
        <v>1122</v>
      </c>
      <c r="C2825" s="7" t="s">
        <v>1123</v>
      </c>
      <c r="D2825" s="7" t="s">
        <v>1124</v>
      </c>
      <c r="E2825" s="6" t="s">
        <v>1125</v>
      </c>
      <c r="F2825" s="8"/>
      <c r="G2825" s="8"/>
      <c r="H2825" s="8"/>
    </row>
    <row r="2826" spans="1:8">
      <c r="A2826" s="6" t="s">
        <v>327</v>
      </c>
      <c r="B2826" s="7" t="s">
        <v>959</v>
      </c>
      <c r="C2826" s="7" t="s">
        <v>959</v>
      </c>
      <c r="D2826" s="7" t="s">
        <v>1488</v>
      </c>
      <c r="E2826" s="6" t="s">
        <v>1489</v>
      </c>
      <c r="F2826" s="8"/>
      <c r="G2826" s="8"/>
      <c r="H2826" s="8"/>
    </row>
    <row r="2827" spans="1:8">
      <c r="A2827" s="6" t="s">
        <v>327</v>
      </c>
      <c r="B2827" s="7" t="s">
        <v>1490</v>
      </c>
      <c r="C2827" s="7" t="s">
        <v>1490</v>
      </c>
      <c r="D2827" s="7" t="s">
        <v>1491</v>
      </c>
      <c r="E2827" s="6" t="s">
        <v>1492</v>
      </c>
      <c r="F2827" s="8"/>
      <c r="G2827" s="8"/>
      <c r="H2827" s="8"/>
    </row>
    <row r="2828" spans="1:8">
      <c r="A2828" s="6" t="s">
        <v>327</v>
      </c>
      <c r="B2828" s="7" t="s">
        <v>1647</v>
      </c>
      <c r="C2828" s="7" t="s">
        <v>1647</v>
      </c>
      <c r="D2828" s="7" t="s">
        <v>1648</v>
      </c>
      <c r="E2828" s="6" t="s">
        <v>862</v>
      </c>
      <c r="F2828" s="8" t="s">
        <v>6931</v>
      </c>
      <c r="G2828" s="8" t="s">
        <v>6929</v>
      </c>
      <c r="H2828" s="8" t="s">
        <v>7178</v>
      </c>
    </row>
    <row r="2829" spans="1:8">
      <c r="A2829" s="6" t="s">
        <v>327</v>
      </c>
      <c r="B2829" s="7" t="s">
        <v>3316</v>
      </c>
      <c r="C2829" s="7" t="s">
        <v>3316</v>
      </c>
      <c r="D2829" s="7" t="s">
        <v>3317</v>
      </c>
      <c r="E2829" s="6" t="s">
        <v>3318</v>
      </c>
      <c r="F2829" s="8"/>
      <c r="G2829" s="8"/>
      <c r="H2829" s="8"/>
    </row>
    <row r="2830" spans="1:8">
      <c r="A2830" s="6" t="s">
        <v>327</v>
      </c>
      <c r="B2830" s="7" t="s">
        <v>3319</v>
      </c>
      <c r="C2830" s="7" t="s">
        <v>3319</v>
      </c>
      <c r="D2830" s="7" t="s">
        <v>3320</v>
      </c>
      <c r="E2830" s="6" t="s">
        <v>3321</v>
      </c>
      <c r="F2830" s="8"/>
      <c r="G2830" s="8"/>
      <c r="H2830" s="8"/>
    </row>
    <row r="2831" spans="1:8">
      <c r="A2831" s="6" t="s">
        <v>327</v>
      </c>
      <c r="B2831" s="7" t="s">
        <v>1647</v>
      </c>
      <c r="C2831" s="7" t="s">
        <v>1647</v>
      </c>
      <c r="D2831" s="7" t="s">
        <v>3322</v>
      </c>
      <c r="E2831" s="6" t="s">
        <v>3323</v>
      </c>
      <c r="F2831" s="8" t="s">
        <v>6931</v>
      </c>
      <c r="G2831" s="8" t="s">
        <v>6929</v>
      </c>
      <c r="H2831" s="8" t="s">
        <v>6932</v>
      </c>
    </row>
    <row r="2832" spans="1:8">
      <c r="A2832" s="6" t="s">
        <v>327</v>
      </c>
      <c r="B2832" s="7" t="s">
        <v>1122</v>
      </c>
      <c r="C2832" s="7" t="s">
        <v>1122</v>
      </c>
      <c r="D2832" s="7" t="s">
        <v>3324</v>
      </c>
      <c r="E2832" s="6" t="s">
        <v>3325</v>
      </c>
      <c r="F2832" s="8"/>
      <c r="G2832" s="8"/>
      <c r="H2832" s="8"/>
    </row>
    <row r="2833" spans="1:8">
      <c r="A2833" s="6" t="s">
        <v>327</v>
      </c>
      <c r="B2833" s="7" t="s">
        <v>3326</v>
      </c>
      <c r="C2833" s="7" t="s">
        <v>3326</v>
      </c>
      <c r="D2833" s="7" t="s">
        <v>3327</v>
      </c>
      <c r="E2833" s="6" t="s">
        <v>3328</v>
      </c>
      <c r="F2833" s="8" t="s">
        <v>6934</v>
      </c>
      <c r="G2833" s="8" t="s">
        <v>6929</v>
      </c>
      <c r="H2833" s="8" t="s">
        <v>7275</v>
      </c>
    </row>
    <row r="2834" spans="1:8">
      <c r="A2834" s="6" t="s">
        <v>327</v>
      </c>
      <c r="B2834" s="7" t="s">
        <v>3329</v>
      </c>
      <c r="C2834" s="7" t="s">
        <v>3329</v>
      </c>
      <c r="D2834" s="7" t="s">
        <v>3330</v>
      </c>
      <c r="E2834" s="6" t="s">
        <v>1712</v>
      </c>
      <c r="F2834" s="8"/>
      <c r="G2834" s="8"/>
      <c r="H2834" s="8"/>
    </row>
    <row r="2835" spans="1:8">
      <c r="A2835" s="6" t="s">
        <v>327</v>
      </c>
      <c r="B2835" s="7" t="s">
        <v>48</v>
      </c>
      <c r="C2835" s="7" t="s">
        <v>48</v>
      </c>
      <c r="D2835" s="7" t="s">
        <v>3331</v>
      </c>
      <c r="E2835" s="6" t="s">
        <v>3332</v>
      </c>
      <c r="F2835" s="8"/>
      <c r="G2835" s="8"/>
      <c r="H2835" s="8"/>
    </row>
    <row r="2836" spans="1:8">
      <c r="A2836" s="6" t="s">
        <v>298</v>
      </c>
      <c r="B2836" s="7" t="s">
        <v>9</v>
      </c>
      <c r="C2836" s="7" t="s">
        <v>299</v>
      </c>
      <c r="D2836" s="7" t="s">
        <v>300</v>
      </c>
      <c r="E2836" s="6" t="s">
        <v>301</v>
      </c>
      <c r="F2836" s="8" t="s">
        <v>6943</v>
      </c>
      <c r="G2836" s="8" t="s">
        <v>6953</v>
      </c>
      <c r="H2836" s="8" t="s">
        <v>7271</v>
      </c>
    </row>
    <row r="2837" spans="1:8">
      <c r="A2837" s="6" t="s">
        <v>298</v>
      </c>
      <c r="B2837" s="7" t="s">
        <v>312</v>
      </c>
      <c r="C2837" s="7" t="s">
        <v>149</v>
      </c>
      <c r="D2837" s="7" t="s">
        <v>313</v>
      </c>
      <c r="E2837" s="6" t="s">
        <v>314</v>
      </c>
      <c r="F2837" s="8"/>
      <c r="G2837" s="8"/>
      <c r="H2837" s="8"/>
    </row>
    <row r="2838" spans="1:8">
      <c r="A2838" s="6" t="s">
        <v>298</v>
      </c>
      <c r="B2838" s="7" t="s">
        <v>493</v>
      </c>
      <c r="C2838" s="7" t="s">
        <v>493</v>
      </c>
      <c r="D2838" s="7" t="s">
        <v>494</v>
      </c>
      <c r="E2838" s="6" t="s">
        <v>495</v>
      </c>
      <c r="F2838" s="8"/>
      <c r="G2838" s="8"/>
      <c r="H2838" s="8"/>
    </row>
    <row r="2839" spans="1:8">
      <c r="A2839" s="6" t="s">
        <v>298</v>
      </c>
      <c r="B2839" s="7" t="s">
        <v>542</v>
      </c>
      <c r="C2839" s="7" t="s">
        <v>299</v>
      </c>
      <c r="D2839" s="7" t="s">
        <v>543</v>
      </c>
      <c r="E2839" s="6" t="s">
        <v>544</v>
      </c>
      <c r="F2839" s="8"/>
      <c r="G2839" s="8"/>
      <c r="H2839" s="8"/>
    </row>
    <row r="2840" spans="1:8">
      <c r="A2840" s="6" t="s">
        <v>298</v>
      </c>
      <c r="B2840" s="7" t="s">
        <v>149</v>
      </c>
      <c r="C2840" s="7" t="s">
        <v>149</v>
      </c>
      <c r="D2840" s="7" t="s">
        <v>876</v>
      </c>
      <c r="E2840" s="6" t="s">
        <v>315</v>
      </c>
      <c r="F2840" s="8"/>
      <c r="G2840" s="8"/>
      <c r="H2840" s="8"/>
    </row>
    <row r="2841" spans="1:8">
      <c r="A2841" s="6" t="s">
        <v>298</v>
      </c>
      <c r="B2841" s="7" t="s">
        <v>542</v>
      </c>
      <c r="C2841" s="7" t="s">
        <v>299</v>
      </c>
      <c r="D2841" s="7" t="s">
        <v>931</v>
      </c>
      <c r="E2841" s="6" t="s">
        <v>932</v>
      </c>
      <c r="F2841" s="8"/>
      <c r="G2841" s="8"/>
      <c r="H2841" s="8"/>
    </row>
    <row r="2842" spans="1:8">
      <c r="A2842" s="6" t="s">
        <v>298</v>
      </c>
      <c r="B2842" s="7" t="s">
        <v>542</v>
      </c>
      <c r="C2842" s="7" t="s">
        <v>299</v>
      </c>
      <c r="D2842" s="7" t="s">
        <v>933</v>
      </c>
      <c r="E2842" s="6" t="s">
        <v>934</v>
      </c>
      <c r="F2842" s="8"/>
      <c r="G2842" s="8"/>
      <c r="H2842" s="8"/>
    </row>
    <row r="2843" spans="1:8">
      <c r="A2843" s="6" t="s">
        <v>298</v>
      </c>
      <c r="B2843" s="7" t="s">
        <v>9</v>
      </c>
      <c r="C2843" s="7" t="s">
        <v>293</v>
      </c>
      <c r="D2843" s="7" t="s">
        <v>954</v>
      </c>
      <c r="E2843" s="6" t="s">
        <v>955</v>
      </c>
      <c r="F2843" s="8"/>
      <c r="G2843" s="8"/>
      <c r="H2843" s="8"/>
    </row>
    <row r="2844" spans="1:8">
      <c r="A2844" s="6" t="s">
        <v>298</v>
      </c>
      <c r="B2844" s="7" t="s">
        <v>1643</v>
      </c>
      <c r="C2844" s="7" t="s">
        <v>1644</v>
      </c>
      <c r="D2844" s="7" t="s">
        <v>1645</v>
      </c>
      <c r="E2844" s="6" t="s">
        <v>1646</v>
      </c>
      <c r="F2844" s="8"/>
      <c r="G2844" s="8"/>
      <c r="H2844" s="8"/>
    </row>
    <row r="2845" spans="1:8">
      <c r="A2845" s="6" t="s">
        <v>298</v>
      </c>
      <c r="B2845" s="7" t="s">
        <v>293</v>
      </c>
      <c r="C2845" s="7" t="s">
        <v>293</v>
      </c>
      <c r="D2845" s="7" t="s">
        <v>1726</v>
      </c>
      <c r="E2845" s="6" t="s">
        <v>1727</v>
      </c>
      <c r="F2845" s="8"/>
      <c r="G2845" s="8"/>
      <c r="H2845" s="8"/>
    </row>
    <row r="2846" spans="1:8">
      <c r="A2846" s="6" t="s">
        <v>298</v>
      </c>
      <c r="B2846" s="7" t="s">
        <v>6016</v>
      </c>
      <c r="C2846" s="7" t="s">
        <v>6016</v>
      </c>
      <c r="D2846" s="7" t="s">
        <v>6017</v>
      </c>
      <c r="E2846" s="6" t="s">
        <v>6018</v>
      </c>
      <c r="F2846" s="8"/>
      <c r="G2846" s="8"/>
      <c r="H2846" s="8"/>
    </row>
    <row r="2847" spans="1:8">
      <c r="A2847" s="6" t="s">
        <v>298</v>
      </c>
      <c r="B2847" s="7" t="s">
        <v>6019</v>
      </c>
      <c r="C2847" s="7" t="s">
        <v>6019</v>
      </c>
      <c r="D2847" s="7" t="s">
        <v>6020</v>
      </c>
      <c r="E2847" s="6" t="s">
        <v>6021</v>
      </c>
      <c r="F2847" s="8"/>
      <c r="G2847" s="8"/>
      <c r="H2847" s="8"/>
    </row>
    <row r="2848" spans="1:8">
      <c r="A2848" s="6" t="s">
        <v>298</v>
      </c>
      <c r="B2848" s="7" t="s">
        <v>6022</v>
      </c>
      <c r="C2848" s="7" t="s">
        <v>6022</v>
      </c>
      <c r="D2848" s="7" t="s">
        <v>6023</v>
      </c>
      <c r="E2848" s="6" t="s">
        <v>6024</v>
      </c>
      <c r="F2848" s="8"/>
      <c r="G2848" s="8"/>
      <c r="H2848" s="8"/>
    </row>
    <row r="2849" spans="1:8">
      <c r="A2849" s="6" t="s">
        <v>298</v>
      </c>
      <c r="B2849" s="7" t="s">
        <v>264</v>
      </c>
      <c r="C2849" s="7" t="s">
        <v>264</v>
      </c>
      <c r="D2849" s="7" t="s">
        <v>6025</v>
      </c>
      <c r="E2849" s="6" t="s">
        <v>6026</v>
      </c>
      <c r="F2849" s="8"/>
      <c r="G2849" s="8"/>
      <c r="H2849" s="8"/>
    </row>
    <row r="2850" spans="1:8">
      <c r="A2850" s="6" t="s">
        <v>298</v>
      </c>
      <c r="B2850" s="7" t="s">
        <v>264</v>
      </c>
      <c r="C2850" s="7" t="s">
        <v>264</v>
      </c>
      <c r="D2850" s="7" t="s">
        <v>6027</v>
      </c>
      <c r="E2850" s="6" t="s">
        <v>6028</v>
      </c>
      <c r="F2850" s="8"/>
      <c r="G2850" s="8"/>
      <c r="H2850" s="8"/>
    </row>
    <row r="2851" spans="1:8">
      <c r="A2851" s="6" t="s">
        <v>298</v>
      </c>
      <c r="B2851" s="7" t="s">
        <v>2397</v>
      </c>
      <c r="C2851" s="7" t="s">
        <v>2397</v>
      </c>
      <c r="D2851" s="7" t="s">
        <v>6029</v>
      </c>
      <c r="E2851" s="6" t="s">
        <v>6030</v>
      </c>
      <c r="F2851" s="8"/>
      <c r="G2851" s="8"/>
      <c r="H2851" s="8"/>
    </row>
    <row r="2852" spans="1:8">
      <c r="A2852" s="6" t="s">
        <v>298</v>
      </c>
      <c r="B2852" s="7" t="s">
        <v>1643</v>
      </c>
      <c r="C2852" s="7" t="s">
        <v>1643</v>
      </c>
      <c r="D2852" s="7" t="s">
        <v>6031</v>
      </c>
      <c r="E2852" s="6" t="s">
        <v>6032</v>
      </c>
      <c r="F2852" s="8"/>
      <c r="G2852" s="8"/>
      <c r="H2852" s="8"/>
    </row>
    <row r="2853" spans="1:8">
      <c r="A2853" s="6" t="s">
        <v>298</v>
      </c>
      <c r="B2853" s="7" t="s">
        <v>149</v>
      </c>
      <c r="C2853" s="7" t="s">
        <v>149</v>
      </c>
      <c r="D2853" s="7" t="s">
        <v>6033</v>
      </c>
      <c r="E2853" s="6" t="s">
        <v>6034</v>
      </c>
      <c r="F2853" s="8" t="s">
        <v>7021</v>
      </c>
      <c r="G2853" s="8" t="s">
        <v>6953</v>
      </c>
      <c r="H2853" s="8" t="s">
        <v>7276</v>
      </c>
    </row>
    <row r="2854" spans="1:8">
      <c r="A2854" s="6" t="s">
        <v>298</v>
      </c>
      <c r="B2854" s="7" t="s">
        <v>149</v>
      </c>
      <c r="C2854" s="7" t="s">
        <v>149</v>
      </c>
      <c r="D2854" s="7" t="s">
        <v>6035</v>
      </c>
      <c r="E2854" s="6" t="s">
        <v>6036</v>
      </c>
      <c r="F2854" s="8" t="s">
        <v>7021</v>
      </c>
      <c r="G2854" s="8" t="s">
        <v>6953</v>
      </c>
      <c r="H2854" s="8" t="s">
        <v>7276</v>
      </c>
    </row>
    <row r="2855" spans="1:8">
      <c r="A2855" s="6" t="s">
        <v>298</v>
      </c>
      <c r="B2855" s="7" t="s">
        <v>2467</v>
      </c>
      <c r="C2855" s="7" t="s">
        <v>2467</v>
      </c>
      <c r="D2855" s="7" t="s">
        <v>6037</v>
      </c>
      <c r="E2855" s="6" t="s">
        <v>6038</v>
      </c>
      <c r="F2855" s="8"/>
      <c r="G2855" s="8"/>
      <c r="H2855" s="8"/>
    </row>
    <row r="2856" spans="1:8">
      <c r="A2856" s="6" t="s">
        <v>298</v>
      </c>
      <c r="B2856" s="7" t="s">
        <v>609</v>
      </c>
      <c r="C2856" s="7" t="s">
        <v>1115</v>
      </c>
      <c r="D2856" s="7" t="s">
        <v>6039</v>
      </c>
      <c r="E2856" s="6" t="s">
        <v>1733</v>
      </c>
      <c r="F2856" s="8"/>
      <c r="G2856" s="8"/>
      <c r="H2856" s="8"/>
    </row>
    <row r="2857" spans="1:8">
      <c r="A2857" s="6" t="s">
        <v>298</v>
      </c>
      <c r="B2857" s="7" t="s">
        <v>6040</v>
      </c>
      <c r="C2857" s="7" t="s">
        <v>6040</v>
      </c>
      <c r="D2857" s="7" t="s">
        <v>6041</v>
      </c>
      <c r="E2857" s="6" t="s">
        <v>6042</v>
      </c>
      <c r="F2857" s="8" t="s">
        <v>3334</v>
      </c>
      <c r="G2857" s="8" t="s">
        <v>6944</v>
      </c>
      <c r="H2857" s="8" t="s">
        <v>6951</v>
      </c>
    </row>
    <row r="2858" spans="1:8">
      <c r="A2858" s="6" t="s">
        <v>298</v>
      </c>
      <c r="B2858" s="7" t="s">
        <v>6040</v>
      </c>
      <c r="C2858" s="7" t="s">
        <v>6040</v>
      </c>
      <c r="D2858" s="7" t="s">
        <v>6043</v>
      </c>
      <c r="E2858" s="6" t="s">
        <v>6044</v>
      </c>
      <c r="F2858" s="8"/>
      <c r="G2858" s="8"/>
      <c r="H2858" s="8"/>
    </row>
    <row r="2859" spans="1:8">
      <c r="A2859" s="6" t="s">
        <v>298</v>
      </c>
      <c r="B2859" s="7" t="s">
        <v>1462</v>
      </c>
      <c r="C2859" s="7" t="s">
        <v>293</v>
      </c>
      <c r="D2859" s="7" t="s">
        <v>6045</v>
      </c>
      <c r="E2859" s="6" t="s">
        <v>6046</v>
      </c>
      <c r="F2859" s="8"/>
      <c r="G2859" s="8"/>
      <c r="H2859" s="8"/>
    </row>
    <row r="2860" spans="1:8">
      <c r="A2860" s="6" t="s">
        <v>298</v>
      </c>
      <c r="B2860" s="7" t="s">
        <v>493</v>
      </c>
      <c r="C2860" s="7" t="s">
        <v>493</v>
      </c>
      <c r="D2860" s="7" t="s">
        <v>6047</v>
      </c>
      <c r="E2860" s="6" t="s">
        <v>6048</v>
      </c>
      <c r="F2860" s="8" t="s">
        <v>6939</v>
      </c>
      <c r="G2860" s="8" t="s">
        <v>6929</v>
      </c>
      <c r="H2860" s="8" t="s">
        <v>6940</v>
      </c>
    </row>
    <row r="2861" spans="1:8">
      <c r="A2861" s="6" t="s">
        <v>138</v>
      </c>
      <c r="B2861" s="7" t="s">
        <v>139</v>
      </c>
      <c r="C2861" s="7" t="s">
        <v>139</v>
      </c>
      <c r="D2861" s="7" t="s">
        <v>140</v>
      </c>
      <c r="E2861" s="6" t="s">
        <v>141</v>
      </c>
      <c r="F2861" s="8"/>
      <c r="G2861" s="8"/>
      <c r="H2861" s="8"/>
    </row>
    <row r="2862" spans="1:8">
      <c r="A2862" s="6" t="s">
        <v>138</v>
      </c>
      <c r="B2862" s="7" t="s">
        <v>270</v>
      </c>
      <c r="C2862" s="7" t="s">
        <v>270</v>
      </c>
      <c r="D2862" s="7" t="s">
        <v>271</v>
      </c>
      <c r="E2862" s="6" t="s">
        <v>272</v>
      </c>
      <c r="F2862" s="8"/>
      <c r="G2862" s="8"/>
      <c r="H2862" s="8"/>
    </row>
    <row r="2863" spans="1:8">
      <c r="A2863" s="6" t="s">
        <v>138</v>
      </c>
      <c r="B2863" s="7" t="s">
        <v>270</v>
      </c>
      <c r="C2863" s="7" t="s">
        <v>270</v>
      </c>
      <c r="D2863" s="7" t="s">
        <v>842</v>
      </c>
      <c r="E2863" s="6" t="s">
        <v>843</v>
      </c>
      <c r="F2863" s="8"/>
      <c r="G2863" s="8"/>
      <c r="H2863" s="8"/>
    </row>
    <row r="2864" spans="1:8">
      <c r="A2864" s="6" t="s">
        <v>138</v>
      </c>
      <c r="B2864" s="7" t="s">
        <v>2615</v>
      </c>
      <c r="C2864" s="7" t="s">
        <v>2615</v>
      </c>
      <c r="D2864" s="7" t="s">
        <v>2616</v>
      </c>
      <c r="E2864" s="6" t="s">
        <v>2617</v>
      </c>
      <c r="F2864" s="8"/>
      <c r="G2864" s="8"/>
      <c r="H2864" s="8"/>
    </row>
    <row r="2865" spans="1:8">
      <c r="A2865" s="6" t="s">
        <v>138</v>
      </c>
      <c r="B2865" s="7" t="s">
        <v>270</v>
      </c>
      <c r="C2865" s="7" t="s">
        <v>270</v>
      </c>
      <c r="D2865" s="7" t="s">
        <v>2618</v>
      </c>
      <c r="E2865" s="6" t="s">
        <v>2619</v>
      </c>
      <c r="F2865" s="8" t="s">
        <v>7041</v>
      </c>
      <c r="G2865" s="8" t="s">
        <v>6929</v>
      </c>
      <c r="H2865" s="8" t="s">
        <v>7239</v>
      </c>
    </row>
    <row r="2866" spans="1:8">
      <c r="A2866" s="6" t="s">
        <v>138</v>
      </c>
      <c r="B2866" s="7" t="s">
        <v>270</v>
      </c>
      <c r="C2866" s="7" t="s">
        <v>270</v>
      </c>
      <c r="D2866" s="7" t="s">
        <v>2620</v>
      </c>
      <c r="E2866" s="6" t="s">
        <v>2621</v>
      </c>
      <c r="F2866" s="8"/>
      <c r="G2866" s="8"/>
      <c r="H2866" s="8"/>
    </row>
    <row r="2867" spans="1:8">
      <c r="A2867" s="6" t="s">
        <v>4994</v>
      </c>
      <c r="B2867" s="7" t="s">
        <v>3343</v>
      </c>
      <c r="C2867" s="7" t="s">
        <v>501</v>
      </c>
      <c r="D2867" s="7" t="s">
        <v>4995</v>
      </c>
      <c r="E2867" s="6" t="s">
        <v>4996</v>
      </c>
      <c r="F2867" s="8" t="s">
        <v>6939</v>
      </c>
      <c r="G2867" s="8" t="s">
        <v>6929</v>
      </c>
      <c r="H2867" s="8" t="s">
        <v>7252</v>
      </c>
    </row>
    <row r="2868" spans="1:8">
      <c r="A2868" s="6" t="s">
        <v>4994</v>
      </c>
      <c r="B2868" s="7" t="s">
        <v>3343</v>
      </c>
      <c r="C2868" s="7" t="s">
        <v>3343</v>
      </c>
      <c r="D2868" s="7" t="s">
        <v>4997</v>
      </c>
      <c r="E2868" s="6" t="s">
        <v>4998</v>
      </c>
      <c r="F2868" s="8"/>
      <c r="G2868" s="8"/>
      <c r="H2868" s="8"/>
    </row>
    <row r="2869" spans="1:8">
      <c r="A2869" s="6" t="s">
        <v>4994</v>
      </c>
      <c r="B2869" s="7" t="s">
        <v>3343</v>
      </c>
      <c r="C2869" s="7" t="s">
        <v>3343</v>
      </c>
      <c r="D2869" s="7" t="s">
        <v>4999</v>
      </c>
      <c r="E2869" s="6" t="s">
        <v>2074</v>
      </c>
      <c r="F2869" s="8"/>
      <c r="G2869" s="8"/>
      <c r="H2869" s="8"/>
    </row>
    <row r="2870" spans="1:8">
      <c r="A2870" s="6" t="s">
        <v>4994</v>
      </c>
      <c r="B2870" s="7" t="s">
        <v>3343</v>
      </c>
      <c r="C2870" s="7" t="s">
        <v>3343</v>
      </c>
      <c r="D2870" s="7" t="s">
        <v>5000</v>
      </c>
      <c r="E2870" s="6" t="s">
        <v>5001</v>
      </c>
      <c r="F2870" s="8"/>
      <c r="G2870" s="8"/>
      <c r="H2870" s="8"/>
    </row>
    <row r="2871" spans="1:8">
      <c r="A2871" s="6" t="s">
        <v>1366</v>
      </c>
      <c r="B2871" s="7" t="s">
        <v>78</v>
      </c>
      <c r="C2871" s="7" t="s">
        <v>1367</v>
      </c>
      <c r="D2871" s="7" t="s">
        <v>1368</v>
      </c>
      <c r="E2871" s="6" t="s">
        <v>1369</v>
      </c>
      <c r="F2871" s="8"/>
      <c r="G2871" s="8"/>
      <c r="H2871" s="8"/>
    </row>
    <row r="2872" spans="1:8">
      <c r="A2872" s="6" t="s">
        <v>1366</v>
      </c>
      <c r="B2872" s="7" t="s">
        <v>78</v>
      </c>
      <c r="C2872" s="7" t="s">
        <v>1367</v>
      </c>
      <c r="D2872" s="7" t="s">
        <v>1395</v>
      </c>
      <c r="E2872" s="6" t="s">
        <v>1396</v>
      </c>
      <c r="F2872" s="8"/>
      <c r="G2872" s="8"/>
      <c r="H2872" s="8"/>
    </row>
    <row r="2873" spans="1:8">
      <c r="A2873" s="6" t="s">
        <v>1366</v>
      </c>
      <c r="B2873" s="7" t="s">
        <v>78</v>
      </c>
      <c r="C2873" s="7" t="s">
        <v>1367</v>
      </c>
      <c r="D2873" s="7" t="s">
        <v>1680</v>
      </c>
      <c r="E2873" s="6" t="s">
        <v>1681</v>
      </c>
      <c r="F2873" s="8"/>
      <c r="G2873" s="8"/>
      <c r="H2873" s="8"/>
    </row>
    <row r="2874" spans="1:8">
      <c r="A2874" s="6" t="s">
        <v>1366</v>
      </c>
      <c r="B2874" s="7" t="s">
        <v>78</v>
      </c>
      <c r="C2874" s="7" t="s">
        <v>78</v>
      </c>
      <c r="D2874" s="7" t="s">
        <v>3059</v>
      </c>
      <c r="E2874" s="6" t="s">
        <v>3060</v>
      </c>
      <c r="F2874" s="8" t="s">
        <v>6931</v>
      </c>
      <c r="G2874" s="8" t="s">
        <v>6953</v>
      </c>
      <c r="H2874" s="8" t="s">
        <v>6954</v>
      </c>
    </row>
    <row r="2875" spans="1:8">
      <c r="A2875" s="6" t="s">
        <v>1366</v>
      </c>
      <c r="B2875" s="7" t="s">
        <v>78</v>
      </c>
      <c r="C2875" s="7" t="s">
        <v>78</v>
      </c>
      <c r="D2875" s="7" t="s">
        <v>3061</v>
      </c>
      <c r="E2875" s="6" t="s">
        <v>3062</v>
      </c>
      <c r="F2875" s="8" t="s">
        <v>6931</v>
      </c>
      <c r="G2875" s="8" t="s">
        <v>6953</v>
      </c>
      <c r="H2875" s="8" t="s">
        <v>6954</v>
      </c>
    </row>
    <row r="2876" spans="1:8">
      <c r="A2876" s="6" t="s">
        <v>1366</v>
      </c>
      <c r="B2876" s="7" t="s">
        <v>264</v>
      </c>
      <c r="C2876" s="7" t="s">
        <v>135</v>
      </c>
      <c r="D2876" s="7" t="s">
        <v>3063</v>
      </c>
      <c r="E2876" s="6" t="s">
        <v>3064</v>
      </c>
      <c r="F2876" s="8"/>
      <c r="G2876" s="8"/>
      <c r="H2876" s="8"/>
    </row>
    <row r="2877" spans="1:8">
      <c r="A2877" s="6" t="s">
        <v>1366</v>
      </c>
      <c r="B2877" s="7" t="s">
        <v>264</v>
      </c>
      <c r="C2877" s="7" t="s">
        <v>3065</v>
      </c>
      <c r="D2877" s="7" t="s">
        <v>3066</v>
      </c>
      <c r="E2877" s="6" t="s">
        <v>3067</v>
      </c>
      <c r="F2877" s="8"/>
      <c r="G2877" s="8"/>
      <c r="H2877" s="8"/>
    </row>
    <row r="2878" spans="1:8">
      <c r="A2878" s="6" t="s">
        <v>1366</v>
      </c>
      <c r="B2878" s="7" t="s">
        <v>1411</v>
      </c>
      <c r="C2878" s="7" t="s">
        <v>78</v>
      </c>
      <c r="D2878" s="7" t="s">
        <v>3068</v>
      </c>
      <c r="E2878" s="6" t="s">
        <v>3069</v>
      </c>
      <c r="F2878" s="8"/>
      <c r="G2878" s="8"/>
      <c r="H2878" s="8"/>
    </row>
    <row r="2879" spans="1:8">
      <c r="A2879" s="6" t="s">
        <v>3510</v>
      </c>
      <c r="B2879" s="7" t="s">
        <v>9</v>
      </c>
      <c r="C2879" s="7" t="s">
        <v>134</v>
      </c>
      <c r="D2879" s="7" t="s">
        <v>3511</v>
      </c>
      <c r="E2879" s="6" t="s">
        <v>3512</v>
      </c>
      <c r="F2879" s="8" t="s">
        <v>6931</v>
      </c>
      <c r="G2879" s="8" t="s">
        <v>6999</v>
      </c>
      <c r="H2879" s="8" t="s">
        <v>7157</v>
      </c>
    </row>
    <row r="2880" spans="1:8">
      <c r="A2880" s="6" t="s">
        <v>3510</v>
      </c>
      <c r="B2880" s="7" t="s">
        <v>69</v>
      </c>
      <c r="C2880" s="7" t="s">
        <v>134</v>
      </c>
      <c r="D2880" s="7" t="s">
        <v>3513</v>
      </c>
      <c r="E2880" s="6" t="s">
        <v>3514</v>
      </c>
      <c r="F2880" s="8" t="s">
        <v>6931</v>
      </c>
      <c r="G2880" s="8" t="s">
        <v>6999</v>
      </c>
      <c r="H2880" s="8" t="s">
        <v>7157</v>
      </c>
    </row>
    <row r="2881" spans="1:8">
      <c r="A2881" s="6" t="s">
        <v>3510</v>
      </c>
      <c r="B2881" s="7" t="s">
        <v>69</v>
      </c>
      <c r="C2881" s="7" t="s">
        <v>1431</v>
      </c>
      <c r="D2881" s="7" t="s">
        <v>3515</v>
      </c>
      <c r="E2881" s="6" t="s">
        <v>3516</v>
      </c>
      <c r="F2881" s="8"/>
      <c r="G2881" s="8"/>
      <c r="H2881" s="8"/>
    </row>
    <row r="2882" spans="1:8">
      <c r="A2882" s="6" t="s">
        <v>1360</v>
      </c>
      <c r="B2882" s="7" t="s">
        <v>992</v>
      </c>
      <c r="C2882" s="7" t="s">
        <v>1361</v>
      </c>
      <c r="D2882" s="7" t="s">
        <v>1362</v>
      </c>
      <c r="E2882" s="6" t="s">
        <v>1363</v>
      </c>
      <c r="F2882" s="8"/>
      <c r="G2882" s="8"/>
      <c r="H2882" s="8"/>
    </row>
    <row r="2883" spans="1:8">
      <c r="A2883" s="6" t="s">
        <v>1360</v>
      </c>
      <c r="B2883" s="7" t="s">
        <v>992</v>
      </c>
      <c r="C2883" s="7" t="s">
        <v>1582</v>
      </c>
      <c r="D2883" s="7" t="s">
        <v>1583</v>
      </c>
      <c r="E2883" s="6" t="s">
        <v>1584</v>
      </c>
      <c r="F2883" s="8"/>
      <c r="G2883" s="8"/>
      <c r="H2883" s="8"/>
    </row>
    <row r="2884" spans="1:8">
      <c r="A2884" s="6" t="s">
        <v>1360</v>
      </c>
      <c r="B2884" s="7" t="s">
        <v>831</v>
      </c>
      <c r="C2884" s="7" t="s">
        <v>2440</v>
      </c>
      <c r="D2884" s="7" t="s">
        <v>2441</v>
      </c>
      <c r="E2884" s="6" t="s">
        <v>2442</v>
      </c>
      <c r="F2884" s="8"/>
      <c r="G2884" s="8"/>
      <c r="H2884" s="8"/>
    </row>
    <row r="2885" spans="1:8">
      <c r="A2885" s="6" t="s">
        <v>1360</v>
      </c>
      <c r="B2885" s="7" t="s">
        <v>831</v>
      </c>
      <c r="C2885" s="7" t="s">
        <v>2443</v>
      </c>
      <c r="D2885" s="7" t="s">
        <v>2444</v>
      </c>
      <c r="E2885" s="6" t="s">
        <v>2445</v>
      </c>
      <c r="F2885" s="8"/>
      <c r="G2885" s="8"/>
      <c r="H2885" s="8"/>
    </row>
    <row r="2886" spans="1:8">
      <c r="A2886" s="6" t="s">
        <v>1360</v>
      </c>
      <c r="B2886" s="7" t="s">
        <v>2446</v>
      </c>
      <c r="C2886" s="7" t="s">
        <v>2447</v>
      </c>
      <c r="D2886" s="7" t="s">
        <v>2448</v>
      </c>
      <c r="E2886" s="6" t="s">
        <v>2239</v>
      </c>
      <c r="F2886" s="8"/>
      <c r="G2886" s="8"/>
      <c r="H2886" s="8"/>
    </row>
    <row r="2887" spans="1:8">
      <c r="A2887" s="6" t="s">
        <v>1360</v>
      </c>
      <c r="B2887" s="7" t="s">
        <v>448</v>
      </c>
      <c r="C2887" s="7" t="s">
        <v>448</v>
      </c>
      <c r="D2887" s="7" t="s">
        <v>2449</v>
      </c>
      <c r="E2887" s="6" t="s">
        <v>2450</v>
      </c>
      <c r="F2887" s="8"/>
      <c r="G2887" s="8"/>
      <c r="H2887" s="8"/>
    </row>
    <row r="2888" spans="1:8">
      <c r="A2888" s="6" t="s">
        <v>1360</v>
      </c>
      <c r="B2888" s="7" t="s">
        <v>992</v>
      </c>
      <c r="C2888" s="7" t="s">
        <v>2451</v>
      </c>
      <c r="D2888" s="7" t="s">
        <v>2452</v>
      </c>
      <c r="E2888" s="6" t="s">
        <v>263</v>
      </c>
      <c r="F2888" s="8"/>
      <c r="G2888" s="8"/>
      <c r="H2888" s="8"/>
    </row>
    <row r="2889" spans="1:8">
      <c r="A2889" s="6" t="s">
        <v>1360</v>
      </c>
      <c r="B2889" s="7" t="s">
        <v>831</v>
      </c>
      <c r="C2889" s="7" t="s">
        <v>2453</v>
      </c>
      <c r="D2889" s="7" t="s">
        <v>2454</v>
      </c>
      <c r="E2889" s="6" t="s">
        <v>2455</v>
      </c>
      <c r="F2889" s="8"/>
      <c r="G2889" s="8"/>
      <c r="H2889" s="8"/>
    </row>
    <row r="2890" spans="1:8">
      <c r="A2890" s="6" t="s">
        <v>1360</v>
      </c>
      <c r="B2890" s="7" t="s">
        <v>992</v>
      </c>
      <c r="C2890" s="7" t="s">
        <v>2456</v>
      </c>
      <c r="D2890" s="7" t="s">
        <v>2457</v>
      </c>
      <c r="E2890" s="6" t="s">
        <v>2458</v>
      </c>
      <c r="F2890" s="8" t="s">
        <v>6931</v>
      </c>
      <c r="G2890" s="8" t="s">
        <v>6953</v>
      </c>
      <c r="H2890" s="8" t="s">
        <v>6927</v>
      </c>
    </row>
    <row r="2891" spans="1:8">
      <c r="A2891" s="6" t="s">
        <v>1360</v>
      </c>
      <c r="B2891" s="7" t="s">
        <v>992</v>
      </c>
      <c r="C2891" s="7" t="s">
        <v>2459</v>
      </c>
      <c r="D2891" s="7" t="s">
        <v>2460</v>
      </c>
      <c r="E2891" s="6" t="s">
        <v>2461</v>
      </c>
      <c r="F2891" s="8"/>
      <c r="G2891" s="8"/>
      <c r="H2891" s="8"/>
    </row>
    <row r="2892" spans="1:8">
      <c r="A2892" s="6" t="s">
        <v>3897</v>
      </c>
      <c r="B2892" s="7" t="s">
        <v>3898</v>
      </c>
      <c r="C2892" s="7" t="s">
        <v>3898</v>
      </c>
      <c r="D2892" s="7" t="s">
        <v>3899</v>
      </c>
      <c r="E2892" s="6" t="s">
        <v>3900</v>
      </c>
      <c r="F2892" s="8"/>
      <c r="G2892" s="8"/>
      <c r="H2892" s="8"/>
    </row>
    <row r="2893" spans="1:8">
      <c r="A2893" s="6" t="s">
        <v>3897</v>
      </c>
      <c r="B2893" s="7" t="s">
        <v>3901</v>
      </c>
      <c r="C2893" s="7" t="s">
        <v>3901</v>
      </c>
      <c r="D2893" s="7" t="s">
        <v>3902</v>
      </c>
      <c r="E2893" s="6" t="s">
        <v>3903</v>
      </c>
      <c r="F2893" s="8"/>
      <c r="G2893" s="8"/>
      <c r="H2893" s="8"/>
    </row>
    <row r="2894" spans="1:8">
      <c r="A2894" s="6" t="s">
        <v>943</v>
      </c>
      <c r="B2894" s="7" t="s">
        <v>9</v>
      </c>
      <c r="C2894" s="7" t="s">
        <v>944</v>
      </c>
      <c r="D2894" s="7" t="s">
        <v>945</v>
      </c>
      <c r="E2894" s="6" t="s">
        <v>946</v>
      </c>
      <c r="F2894" s="8"/>
      <c r="G2894" s="8"/>
      <c r="H2894" s="8"/>
    </row>
    <row r="2895" spans="1:8">
      <c r="A2895" s="6" t="s">
        <v>943</v>
      </c>
      <c r="B2895" s="7" t="s">
        <v>1909</v>
      </c>
      <c r="C2895" s="7" t="s">
        <v>1910</v>
      </c>
      <c r="D2895" s="7" t="s">
        <v>1911</v>
      </c>
      <c r="E2895" s="6" t="s">
        <v>1912</v>
      </c>
      <c r="F2895" s="8"/>
      <c r="G2895" s="8"/>
      <c r="H2895" s="8"/>
    </row>
    <row r="2896" spans="1:8">
      <c r="A2896" s="6" t="s">
        <v>943</v>
      </c>
      <c r="B2896" s="7" t="s">
        <v>1913</v>
      </c>
      <c r="C2896" s="7" t="s">
        <v>1913</v>
      </c>
      <c r="D2896" s="7" t="s">
        <v>1914</v>
      </c>
      <c r="E2896" s="6" t="s">
        <v>1915</v>
      </c>
      <c r="F2896" s="8"/>
      <c r="G2896" s="8"/>
      <c r="H2896" s="8"/>
    </row>
    <row r="2897" spans="1:8">
      <c r="A2897" s="6" t="s">
        <v>943</v>
      </c>
      <c r="B2897" s="7" t="s">
        <v>5172</v>
      </c>
      <c r="C2897" s="7" t="s">
        <v>9</v>
      </c>
      <c r="D2897" s="7" t="s">
        <v>5173</v>
      </c>
      <c r="E2897" s="6" t="s">
        <v>4968</v>
      </c>
      <c r="F2897" s="8"/>
      <c r="G2897" s="8"/>
      <c r="H2897" s="8"/>
    </row>
    <row r="2898" spans="1:8">
      <c r="A2898" s="6" t="s">
        <v>943</v>
      </c>
      <c r="B2898" s="7" t="s">
        <v>5174</v>
      </c>
      <c r="C2898" s="7" t="s">
        <v>1910</v>
      </c>
      <c r="D2898" s="7" t="s">
        <v>5175</v>
      </c>
      <c r="E2898" s="6" t="s">
        <v>5176</v>
      </c>
      <c r="F2898" s="8"/>
      <c r="G2898" s="8"/>
      <c r="H2898" s="8"/>
    </row>
    <row r="2899" spans="1:8">
      <c r="A2899" s="6" t="s">
        <v>943</v>
      </c>
      <c r="B2899" s="7" t="s">
        <v>4818</v>
      </c>
      <c r="C2899" s="7" t="s">
        <v>4818</v>
      </c>
      <c r="D2899" s="7" t="s">
        <v>5177</v>
      </c>
      <c r="E2899" s="6" t="s">
        <v>5178</v>
      </c>
      <c r="F2899" s="8"/>
      <c r="G2899" s="8"/>
      <c r="H2899" s="8"/>
    </row>
    <row r="2900" spans="1:8">
      <c r="A2900" s="6" t="s">
        <v>943</v>
      </c>
      <c r="B2900" s="7" t="s">
        <v>5179</v>
      </c>
      <c r="C2900" s="7" t="s">
        <v>5179</v>
      </c>
      <c r="D2900" s="7" t="s">
        <v>5180</v>
      </c>
      <c r="E2900" s="6" t="s">
        <v>5181</v>
      </c>
      <c r="F2900" s="8"/>
      <c r="G2900" s="8"/>
      <c r="H2900" s="8"/>
    </row>
    <row r="2901" spans="1:8">
      <c r="A2901" s="6" t="s">
        <v>943</v>
      </c>
      <c r="B2901" s="7" t="s">
        <v>5179</v>
      </c>
      <c r="C2901" s="7" t="s">
        <v>5179</v>
      </c>
      <c r="D2901" s="7" t="s">
        <v>5182</v>
      </c>
      <c r="E2901" s="6" t="s">
        <v>5183</v>
      </c>
      <c r="F2901" s="8"/>
      <c r="G2901" s="8"/>
      <c r="H2901" s="8"/>
    </row>
    <row r="2902" spans="1:8">
      <c r="A2902" s="6" t="s">
        <v>943</v>
      </c>
      <c r="B2902" s="7" t="s">
        <v>4809</v>
      </c>
      <c r="C2902" s="7" t="s">
        <v>4809</v>
      </c>
      <c r="D2902" s="7" t="s">
        <v>5184</v>
      </c>
      <c r="E2902" s="6" t="s">
        <v>5185</v>
      </c>
      <c r="F2902" s="8"/>
      <c r="G2902" s="8"/>
      <c r="H2902" s="8"/>
    </row>
    <row r="2903" spans="1:8">
      <c r="A2903" s="6" t="s">
        <v>943</v>
      </c>
      <c r="B2903" s="7" t="s">
        <v>1913</v>
      </c>
      <c r="C2903" s="7" t="s">
        <v>1913</v>
      </c>
      <c r="D2903" s="7" t="s">
        <v>5186</v>
      </c>
      <c r="E2903" s="6" t="s">
        <v>5187</v>
      </c>
      <c r="F2903" s="8" t="s">
        <v>6957</v>
      </c>
      <c r="G2903" s="8" t="s">
        <v>6929</v>
      </c>
      <c r="H2903" s="8" t="s">
        <v>6951</v>
      </c>
    </row>
    <row r="2904" spans="1:8">
      <c r="A2904" s="6" t="s">
        <v>943</v>
      </c>
      <c r="B2904" s="7" t="s">
        <v>5188</v>
      </c>
      <c r="C2904" s="7" t="s">
        <v>5188</v>
      </c>
      <c r="D2904" s="7" t="s">
        <v>5189</v>
      </c>
      <c r="E2904" s="6" t="s">
        <v>2071</v>
      </c>
      <c r="F2904" s="8" t="s">
        <v>6957</v>
      </c>
      <c r="G2904" s="8" t="s">
        <v>6929</v>
      </c>
      <c r="H2904" s="8" t="s">
        <v>6951</v>
      </c>
    </row>
    <row r="2905" spans="1:8">
      <c r="A2905" s="6" t="s">
        <v>943</v>
      </c>
      <c r="B2905" s="7" t="s">
        <v>5188</v>
      </c>
      <c r="C2905" s="7" t="s">
        <v>1910</v>
      </c>
      <c r="D2905" s="7" t="s">
        <v>5190</v>
      </c>
      <c r="E2905" s="6" t="s">
        <v>2621</v>
      </c>
      <c r="F2905" s="8"/>
      <c r="G2905" s="8"/>
      <c r="H2905" s="8"/>
    </row>
    <row r="2906" spans="1:8">
      <c r="A2906" s="6" t="s">
        <v>943</v>
      </c>
      <c r="B2906" s="7" t="s">
        <v>5188</v>
      </c>
      <c r="C2906" s="7" t="s">
        <v>1910</v>
      </c>
      <c r="D2906" s="7" t="s">
        <v>5191</v>
      </c>
      <c r="E2906" s="6" t="s">
        <v>5192</v>
      </c>
      <c r="F2906" s="8"/>
      <c r="G2906" s="8"/>
      <c r="H2906" s="8"/>
    </row>
    <row r="2907" spans="1:8">
      <c r="A2907" s="6" t="s">
        <v>943</v>
      </c>
      <c r="B2907" s="7" t="s">
        <v>1909</v>
      </c>
      <c r="C2907" s="7" t="s">
        <v>1910</v>
      </c>
      <c r="D2907" s="7" t="s">
        <v>5193</v>
      </c>
      <c r="E2907" s="6" t="s">
        <v>5194</v>
      </c>
      <c r="F2907" s="8"/>
      <c r="G2907" s="8"/>
      <c r="H2907" s="8"/>
    </row>
    <row r="2908" spans="1:8">
      <c r="A2908" s="6" t="s">
        <v>943</v>
      </c>
      <c r="B2908" s="7" t="s">
        <v>1909</v>
      </c>
      <c r="C2908" s="7" t="s">
        <v>1910</v>
      </c>
      <c r="D2908" s="7" t="s">
        <v>5195</v>
      </c>
      <c r="E2908" s="6" t="s">
        <v>5196</v>
      </c>
      <c r="F2908" s="8"/>
      <c r="G2908" s="8"/>
      <c r="H2908" s="8"/>
    </row>
    <row r="2909" spans="1:8">
      <c r="A2909" s="6" t="s">
        <v>943</v>
      </c>
      <c r="B2909" s="7" t="s">
        <v>5197</v>
      </c>
      <c r="C2909" s="7" t="s">
        <v>5197</v>
      </c>
      <c r="D2909" s="7" t="s">
        <v>5198</v>
      </c>
      <c r="E2909" s="6" t="s">
        <v>5199</v>
      </c>
      <c r="F2909" s="8"/>
      <c r="G2909" s="8"/>
      <c r="H2909" s="8"/>
    </row>
    <row r="2910" spans="1:8">
      <c r="A2910" s="6" t="s">
        <v>943</v>
      </c>
      <c r="B2910" s="7" t="s">
        <v>4416</v>
      </c>
      <c r="C2910" s="7" t="s">
        <v>4416</v>
      </c>
      <c r="D2910" s="7" t="s">
        <v>5200</v>
      </c>
      <c r="E2910" s="6" t="s">
        <v>5201</v>
      </c>
      <c r="F2910" s="8"/>
      <c r="G2910" s="8"/>
      <c r="H2910" s="8"/>
    </row>
    <row r="2911" spans="1:8">
      <c r="A2911" s="6" t="s">
        <v>943</v>
      </c>
      <c r="B2911" s="7" t="s">
        <v>944</v>
      </c>
      <c r="C2911" s="7" t="s">
        <v>1910</v>
      </c>
      <c r="D2911" s="7" t="s">
        <v>5202</v>
      </c>
      <c r="E2911" s="6" t="s">
        <v>946</v>
      </c>
      <c r="F2911" s="8"/>
      <c r="G2911" s="8"/>
      <c r="H2911" s="8"/>
    </row>
    <row r="2912" spans="1:8">
      <c r="A2912" s="6" t="s">
        <v>943</v>
      </c>
      <c r="B2912" s="7" t="s">
        <v>944</v>
      </c>
      <c r="C2912" s="7" t="s">
        <v>1910</v>
      </c>
      <c r="D2912" s="7" t="s">
        <v>5203</v>
      </c>
      <c r="E2912" s="6" t="s">
        <v>946</v>
      </c>
      <c r="F2912" s="8"/>
      <c r="G2912" s="8"/>
      <c r="H2912" s="8"/>
    </row>
    <row r="2913" spans="1:8">
      <c r="A2913" s="6" t="s">
        <v>943</v>
      </c>
      <c r="B2913" s="7" t="s">
        <v>944</v>
      </c>
      <c r="C2913" s="7" t="s">
        <v>1910</v>
      </c>
      <c r="D2913" s="7" t="s">
        <v>5204</v>
      </c>
      <c r="E2913" s="6" t="s">
        <v>5205</v>
      </c>
      <c r="F2913" s="8"/>
      <c r="G2913" s="8"/>
      <c r="H2913" s="8"/>
    </row>
    <row r="2914" spans="1:8">
      <c r="A2914" s="6" t="s">
        <v>943</v>
      </c>
      <c r="B2914" s="7" t="s">
        <v>944</v>
      </c>
      <c r="C2914" s="7" t="s">
        <v>1910</v>
      </c>
      <c r="D2914" s="7" t="s">
        <v>5206</v>
      </c>
      <c r="E2914" s="6" t="s">
        <v>5207</v>
      </c>
      <c r="F2914" s="8" t="s">
        <v>5162</v>
      </c>
      <c r="G2914" s="8" t="s">
        <v>6973</v>
      </c>
      <c r="H2914" s="8" t="s">
        <v>6951</v>
      </c>
    </row>
    <row r="2915" spans="1:8">
      <c r="A2915" s="6" t="s">
        <v>1903</v>
      </c>
      <c r="B2915" s="7" t="s">
        <v>725</v>
      </c>
      <c r="C2915" s="7" t="s">
        <v>725</v>
      </c>
      <c r="D2915" s="7" t="s">
        <v>1904</v>
      </c>
      <c r="E2915" s="6" t="s">
        <v>1809</v>
      </c>
      <c r="F2915" s="8"/>
      <c r="G2915" s="8"/>
      <c r="H2915" s="8"/>
    </row>
    <row r="2916" spans="1:8">
      <c r="A2916" s="6" t="s">
        <v>1903</v>
      </c>
      <c r="B2916" s="7" t="s">
        <v>74</v>
      </c>
      <c r="C2916" s="7" t="s">
        <v>9</v>
      </c>
      <c r="D2916" s="7" t="s">
        <v>2670</v>
      </c>
      <c r="E2916" s="6" t="s">
        <v>2671</v>
      </c>
      <c r="F2916" s="8"/>
      <c r="G2916" s="8"/>
      <c r="H2916" s="8"/>
    </row>
    <row r="2917" spans="1:8">
      <c r="A2917" s="6" t="s">
        <v>1903</v>
      </c>
      <c r="B2917" s="7" t="s">
        <v>386</v>
      </c>
      <c r="C2917" s="7" t="s">
        <v>386</v>
      </c>
      <c r="D2917" s="7" t="s">
        <v>2672</v>
      </c>
      <c r="E2917" s="6" t="s">
        <v>2673</v>
      </c>
      <c r="F2917" s="8"/>
      <c r="G2917" s="8"/>
      <c r="H2917" s="8"/>
    </row>
    <row r="2918" spans="1:8">
      <c r="A2918" s="6" t="s">
        <v>1903</v>
      </c>
      <c r="B2918" s="7" t="s">
        <v>386</v>
      </c>
      <c r="C2918" s="7" t="s">
        <v>386</v>
      </c>
      <c r="D2918" s="7" t="s">
        <v>2674</v>
      </c>
      <c r="E2918" s="6" t="s">
        <v>2675</v>
      </c>
      <c r="F2918" s="8" t="s">
        <v>7285</v>
      </c>
      <c r="G2918" s="8" t="s">
        <v>6973</v>
      </c>
      <c r="H2918" s="8" t="s">
        <v>7286</v>
      </c>
    </row>
    <row r="2919" spans="1:8">
      <c r="A2919" s="6" t="s">
        <v>1903</v>
      </c>
      <c r="B2919" s="7" t="s">
        <v>2676</v>
      </c>
      <c r="C2919" s="7" t="s">
        <v>2677</v>
      </c>
      <c r="D2919" s="7" t="s">
        <v>2678</v>
      </c>
      <c r="E2919" s="6" t="s">
        <v>2679</v>
      </c>
      <c r="F2919" s="8"/>
      <c r="G2919" s="8"/>
      <c r="H2919" s="8"/>
    </row>
    <row r="2920" spans="1:8">
      <c r="A2920" s="6" t="s">
        <v>1903</v>
      </c>
      <c r="B2920" s="7" t="s">
        <v>2676</v>
      </c>
      <c r="C2920" s="7" t="s">
        <v>2677</v>
      </c>
      <c r="D2920" s="7" t="s">
        <v>2681</v>
      </c>
      <c r="E2920" s="6" t="s">
        <v>2682</v>
      </c>
      <c r="F2920" s="8"/>
      <c r="G2920" s="8"/>
      <c r="H2920" s="8"/>
    </row>
    <row r="2921" spans="1:8">
      <c r="A2921" s="6" t="s">
        <v>1903</v>
      </c>
      <c r="B2921" s="7" t="s">
        <v>2676</v>
      </c>
      <c r="C2921" s="7" t="s">
        <v>2677</v>
      </c>
      <c r="D2921" s="7" t="s">
        <v>2683</v>
      </c>
      <c r="E2921" s="6" t="s">
        <v>2684</v>
      </c>
      <c r="F2921" s="8"/>
      <c r="G2921" s="8"/>
      <c r="H2921" s="8"/>
    </row>
    <row r="2922" spans="1:8">
      <c r="A2922" s="6" t="s">
        <v>2222</v>
      </c>
      <c r="B2922" s="7" t="s">
        <v>69</v>
      </c>
      <c r="C2922" s="7" t="s">
        <v>1052</v>
      </c>
      <c r="D2922" s="7" t="s">
        <v>2223</v>
      </c>
      <c r="E2922" s="6" t="s">
        <v>2224</v>
      </c>
      <c r="F2922" s="8" t="s">
        <v>3334</v>
      </c>
      <c r="G2922" s="8" t="s">
        <v>6929</v>
      </c>
      <c r="H2922" s="8" t="s">
        <v>6951</v>
      </c>
    </row>
    <row r="2923" spans="1:8">
      <c r="A2923" s="6" t="s">
        <v>319</v>
      </c>
      <c r="B2923" s="7" t="s">
        <v>320</v>
      </c>
      <c r="C2923" s="7" t="s">
        <v>320</v>
      </c>
      <c r="D2923" s="7" t="s">
        <v>321</v>
      </c>
      <c r="E2923" s="6" t="s">
        <v>322</v>
      </c>
      <c r="F2923" s="8"/>
      <c r="G2923" s="8"/>
      <c r="H2923" s="8"/>
    </row>
    <row r="2924" spans="1:8">
      <c r="A2924" s="6" t="s">
        <v>319</v>
      </c>
      <c r="B2924" s="7" t="s">
        <v>320</v>
      </c>
      <c r="C2924" s="7" t="s">
        <v>320</v>
      </c>
      <c r="D2924" s="7" t="s">
        <v>323</v>
      </c>
      <c r="E2924" s="6" t="s">
        <v>324</v>
      </c>
      <c r="F2924" s="8"/>
      <c r="G2924" s="8"/>
      <c r="H2924" s="8"/>
    </row>
    <row r="2925" spans="1:8">
      <c r="A2925" s="6" t="s">
        <v>319</v>
      </c>
      <c r="B2925" s="7" t="s">
        <v>320</v>
      </c>
      <c r="C2925" s="7" t="s">
        <v>320</v>
      </c>
      <c r="D2925" s="7" t="s">
        <v>325</v>
      </c>
      <c r="E2925" s="6" t="s">
        <v>326</v>
      </c>
      <c r="F2925" s="8"/>
      <c r="G2925" s="8"/>
      <c r="H2925" s="8"/>
    </row>
    <row r="2926" spans="1:8">
      <c r="A2926" s="6" t="s">
        <v>319</v>
      </c>
      <c r="B2926" s="7" t="s">
        <v>108</v>
      </c>
      <c r="C2926" s="7" t="s">
        <v>108</v>
      </c>
      <c r="D2926" s="7" t="s">
        <v>969</v>
      </c>
      <c r="E2926" s="6" t="s">
        <v>970</v>
      </c>
      <c r="F2926" s="8"/>
      <c r="G2926" s="8"/>
      <c r="H2926" s="8"/>
    </row>
    <row r="2927" spans="1:8">
      <c r="A2927" s="6" t="s">
        <v>319</v>
      </c>
      <c r="B2927" s="7" t="s">
        <v>108</v>
      </c>
      <c r="C2927" s="7" t="s">
        <v>108</v>
      </c>
      <c r="D2927" s="7" t="s">
        <v>997</v>
      </c>
      <c r="E2927" s="6" t="s">
        <v>998</v>
      </c>
      <c r="F2927" s="8"/>
      <c r="G2927" s="8"/>
      <c r="H2927" s="8"/>
    </row>
    <row r="2928" spans="1:8">
      <c r="A2928" s="6" t="s">
        <v>319</v>
      </c>
      <c r="B2928" s="7" t="s">
        <v>108</v>
      </c>
      <c r="C2928" s="7" t="s">
        <v>108</v>
      </c>
      <c r="D2928" s="7" t="s">
        <v>1001</v>
      </c>
      <c r="E2928" s="6" t="s">
        <v>1002</v>
      </c>
      <c r="F2928" s="8"/>
      <c r="G2928" s="8"/>
      <c r="H2928" s="8"/>
    </row>
    <row r="2929" spans="1:8">
      <c r="A2929" s="6" t="s">
        <v>319</v>
      </c>
      <c r="B2929" s="7" t="s">
        <v>1020</v>
      </c>
      <c r="C2929" s="7" t="s">
        <v>1020</v>
      </c>
      <c r="D2929" s="7" t="s">
        <v>1021</v>
      </c>
      <c r="E2929" s="6" t="s">
        <v>1022</v>
      </c>
      <c r="F2929" s="8"/>
      <c r="G2929" s="8"/>
      <c r="H2929" s="8"/>
    </row>
    <row r="2930" spans="1:8">
      <c r="A2930" s="6" t="s">
        <v>319</v>
      </c>
      <c r="B2930" s="7" t="s">
        <v>227</v>
      </c>
      <c r="C2930" s="7" t="s">
        <v>1160</v>
      </c>
      <c r="D2930" s="7" t="s">
        <v>1161</v>
      </c>
      <c r="E2930" s="6" t="s">
        <v>1162</v>
      </c>
      <c r="F2930" s="8"/>
      <c r="G2930" s="8"/>
      <c r="H2930" s="8"/>
    </row>
    <row r="2931" spans="1:8">
      <c r="A2931" s="6" t="s">
        <v>319</v>
      </c>
      <c r="B2931" s="7" t="s">
        <v>320</v>
      </c>
      <c r="C2931" s="7" t="s">
        <v>320</v>
      </c>
      <c r="D2931" s="7" t="s">
        <v>1495</v>
      </c>
      <c r="E2931" s="6" t="s">
        <v>1496</v>
      </c>
      <c r="F2931" s="8" t="s">
        <v>7021</v>
      </c>
      <c r="G2931" s="8" t="s">
        <v>6929</v>
      </c>
      <c r="H2931" s="8" t="s">
        <v>6927</v>
      </c>
    </row>
    <row r="2932" spans="1:8">
      <c r="A2932" s="6" t="s">
        <v>319</v>
      </c>
      <c r="B2932" s="7" t="s">
        <v>108</v>
      </c>
      <c r="C2932" s="7" t="s">
        <v>108</v>
      </c>
      <c r="D2932" s="7" t="s">
        <v>1497</v>
      </c>
      <c r="E2932" s="6" t="s">
        <v>1498</v>
      </c>
      <c r="F2932" s="8" t="s">
        <v>6939</v>
      </c>
      <c r="G2932" s="8" t="s">
        <v>6929</v>
      </c>
      <c r="H2932" s="8" t="s">
        <v>6967</v>
      </c>
    </row>
    <row r="2933" spans="1:8">
      <c r="A2933" s="6" t="s">
        <v>319</v>
      </c>
      <c r="B2933" s="7" t="s">
        <v>839</v>
      </c>
      <c r="C2933" s="7" t="s">
        <v>839</v>
      </c>
      <c r="D2933" s="7" t="s">
        <v>1499</v>
      </c>
      <c r="E2933" s="6" t="s">
        <v>823</v>
      </c>
      <c r="F2933" s="8"/>
      <c r="G2933" s="8"/>
      <c r="H2933" s="8"/>
    </row>
    <row r="2934" spans="1:8">
      <c r="A2934" s="6" t="s">
        <v>319</v>
      </c>
      <c r="B2934" s="7" t="s">
        <v>320</v>
      </c>
      <c r="C2934" s="7" t="s">
        <v>320</v>
      </c>
      <c r="D2934" s="7" t="s">
        <v>1500</v>
      </c>
      <c r="E2934" s="6" t="s">
        <v>1501</v>
      </c>
      <c r="F2934" s="8" t="s">
        <v>7021</v>
      </c>
      <c r="G2934" s="8" t="s">
        <v>6929</v>
      </c>
      <c r="H2934" s="8" t="s">
        <v>6927</v>
      </c>
    </row>
    <row r="2935" spans="1:8">
      <c r="A2935" s="6" t="s">
        <v>319</v>
      </c>
      <c r="B2935" s="7" t="s">
        <v>839</v>
      </c>
      <c r="C2935" s="7" t="s">
        <v>839</v>
      </c>
      <c r="D2935" s="7" t="s">
        <v>1502</v>
      </c>
      <c r="E2935" s="6" t="s">
        <v>1503</v>
      </c>
      <c r="F2935" s="8" t="s">
        <v>7021</v>
      </c>
      <c r="G2935" s="8" t="s">
        <v>6929</v>
      </c>
      <c r="H2935" s="8" t="s">
        <v>6927</v>
      </c>
    </row>
    <row r="2936" spans="1:8">
      <c r="A2936" s="6" t="s">
        <v>319</v>
      </c>
      <c r="B2936" s="7" t="s">
        <v>108</v>
      </c>
      <c r="C2936" s="7" t="s">
        <v>108</v>
      </c>
      <c r="D2936" s="7" t="s">
        <v>1892</v>
      </c>
      <c r="E2936" s="6" t="s">
        <v>1893</v>
      </c>
      <c r="F2936" s="8"/>
      <c r="G2936" s="8"/>
      <c r="H2936" s="8"/>
    </row>
    <row r="2937" spans="1:8">
      <c r="A2937" s="6" t="s">
        <v>319</v>
      </c>
      <c r="B2937" s="7" t="s">
        <v>839</v>
      </c>
      <c r="C2937" s="7" t="s">
        <v>839</v>
      </c>
      <c r="D2937" s="7" t="s">
        <v>5004</v>
      </c>
      <c r="E2937" s="6" t="s">
        <v>5005</v>
      </c>
      <c r="F2937" s="8" t="s">
        <v>7021</v>
      </c>
      <c r="G2937" s="8" t="s">
        <v>6929</v>
      </c>
      <c r="H2937" s="8" t="s">
        <v>6927</v>
      </c>
    </row>
    <row r="2938" spans="1:8">
      <c r="A2938" s="6" t="s">
        <v>2427</v>
      </c>
      <c r="B2938" s="7" t="s">
        <v>1411</v>
      </c>
      <c r="C2938" s="7" t="s">
        <v>270</v>
      </c>
      <c r="D2938" s="7" t="s">
        <v>2428</v>
      </c>
      <c r="E2938" s="6" t="s">
        <v>2429</v>
      </c>
      <c r="F2938" s="8" t="s">
        <v>6931</v>
      </c>
      <c r="G2938" s="8" t="s">
        <v>6929</v>
      </c>
      <c r="H2938" s="8" t="s">
        <v>7070</v>
      </c>
    </row>
    <row r="2939" spans="1:8">
      <c r="A2939" s="6" t="s">
        <v>2427</v>
      </c>
      <c r="B2939" s="7" t="s">
        <v>1411</v>
      </c>
      <c r="C2939" s="7" t="s">
        <v>2372</v>
      </c>
      <c r="D2939" s="7" t="s">
        <v>2430</v>
      </c>
      <c r="E2939" s="6" t="s">
        <v>2431</v>
      </c>
      <c r="F2939" s="8"/>
      <c r="G2939" s="8"/>
      <c r="H2939" s="8"/>
    </row>
    <row r="2940" spans="1:8">
      <c r="A2940" s="6" t="s">
        <v>2427</v>
      </c>
      <c r="B2940" s="7" t="s">
        <v>1411</v>
      </c>
      <c r="C2940" s="7" t="s">
        <v>2432</v>
      </c>
      <c r="D2940" s="7" t="s">
        <v>2433</v>
      </c>
      <c r="E2940" s="6" t="s">
        <v>2434</v>
      </c>
      <c r="F2940" s="8" t="s">
        <v>7120</v>
      </c>
      <c r="G2940" s="8" t="s">
        <v>6929</v>
      </c>
      <c r="H2940" s="8" t="s">
        <v>7068</v>
      </c>
    </row>
  </sheetData>
  <autoFilter ref="A1:I2940"/>
  <phoneticPr fontId="2" type="noConversion"/>
  <pageMargins left="0.70866141732283472" right="0.70866141732283472" top="0.74803149606299213" bottom="0.74803149606299213" header="0.31496062992125984" footer="0.31496062992125984"/>
  <pageSetup paperSize="9" scale="8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I2940"/>
  <sheetViews>
    <sheetView topLeftCell="A127" workbookViewId="0">
      <selection activeCell="E145" sqref="E145"/>
    </sheetView>
  </sheetViews>
  <sheetFormatPr defaultRowHeight="13.2"/>
  <cols>
    <col min="1" max="1" width="40" bestFit="1" customWidth="1"/>
    <col min="2" max="2" width="30.109375" customWidth="1"/>
    <col min="3" max="3" width="25.109375" customWidth="1"/>
    <col min="4" max="5" width="15" bestFit="1" customWidth="1"/>
    <col min="6" max="6" width="31.44140625" customWidth="1"/>
    <col min="7" max="7" width="17.88671875" bestFit="1" customWidth="1"/>
    <col min="8" max="8" width="39.5546875" customWidth="1"/>
  </cols>
  <sheetData>
    <row r="1" spans="1:8" ht="16.2" customHeight="1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5" t="s">
        <v>6922</v>
      </c>
      <c r="G1" s="5" t="s">
        <v>6923</v>
      </c>
      <c r="H1" s="5" t="s">
        <v>6924</v>
      </c>
    </row>
    <row r="2" spans="1:8">
      <c r="A2" s="6" t="s">
        <v>292</v>
      </c>
      <c r="B2" s="7" t="s">
        <v>293</v>
      </c>
      <c r="C2" s="7" t="s">
        <v>293</v>
      </c>
      <c r="D2" s="7" t="s">
        <v>294</v>
      </c>
      <c r="E2" s="6" t="s">
        <v>295</v>
      </c>
      <c r="F2" s="8" t="str">
        <f>VLOOKUP($D2,설문!$C$2:$G$444,3,FALSE)</f>
        <v>펀드매니저</v>
      </c>
      <c r="G2" s="8" t="str">
        <f>VLOOKUP($D2,설문!$C$2:$G$444,4,FALSE)</f>
        <v>금융회사,개인고객</v>
      </c>
      <c r="H2" s="8" t="str">
        <f>VLOOKUP($D2,설문!$C$2:$G$444,5,FALSE)</f>
        <v>국내주식/지수관련파생,ETF/ETN</v>
      </c>
    </row>
    <row r="3" spans="1:8">
      <c r="A3" s="6" t="s">
        <v>292</v>
      </c>
      <c r="B3" s="7" t="s">
        <v>355</v>
      </c>
      <c r="C3" s="7" t="s">
        <v>293</v>
      </c>
      <c r="D3" s="7" t="s">
        <v>356</v>
      </c>
      <c r="E3" s="6" t="s">
        <v>357</v>
      </c>
      <c r="F3" s="8" t="e">
        <f>VLOOKUP($D3,설문!$C$2:$G$444,3,FALSE)</f>
        <v>#N/A</v>
      </c>
      <c r="G3" s="8" t="e">
        <f>VLOOKUP($D3,설문!$C$2:$G$444,4,FALSE)</f>
        <v>#N/A</v>
      </c>
      <c r="H3" s="8" t="e">
        <f>VLOOKUP($D3,설문!$C$2:$G$444,5,FALSE)</f>
        <v>#N/A</v>
      </c>
    </row>
    <row r="4" spans="1:8">
      <c r="A4" s="6" t="s">
        <v>3046</v>
      </c>
      <c r="B4" s="7" t="s">
        <v>9</v>
      </c>
      <c r="C4" s="7" t="s">
        <v>9</v>
      </c>
      <c r="D4" s="7" t="s">
        <v>3047</v>
      </c>
      <c r="E4" s="6" t="s">
        <v>3048</v>
      </c>
      <c r="F4" s="8" t="e">
        <f>VLOOKUP($D4,설문!$C$2:$G$444,3,FALSE)</f>
        <v>#N/A</v>
      </c>
      <c r="G4" s="8" t="e">
        <f>VLOOKUP($D4,설문!$C$2:$G$444,4,FALSE)</f>
        <v>#N/A</v>
      </c>
      <c r="H4" s="8" t="e">
        <f>VLOOKUP($D4,설문!$C$2:$G$444,5,FALSE)</f>
        <v>#N/A</v>
      </c>
    </row>
    <row r="5" spans="1:8">
      <c r="A5" s="6" t="s">
        <v>1243</v>
      </c>
      <c r="B5" s="7" t="s">
        <v>9</v>
      </c>
      <c r="C5" s="7" t="s">
        <v>9</v>
      </c>
      <c r="D5" s="7" t="s">
        <v>1244</v>
      </c>
      <c r="E5" s="6" t="s">
        <v>1245</v>
      </c>
      <c r="F5" s="8" t="e">
        <f>VLOOKUP($D5,설문!$C$2:$G$444,3,FALSE)</f>
        <v>#N/A</v>
      </c>
      <c r="G5" s="8" t="e">
        <f>VLOOKUP($D5,설문!$C$2:$G$444,4,FALSE)</f>
        <v>#N/A</v>
      </c>
      <c r="H5" s="8" t="e">
        <f>VLOOKUP($D5,설문!$C$2:$G$444,5,FALSE)</f>
        <v>#N/A</v>
      </c>
    </row>
    <row r="6" spans="1:8">
      <c r="A6" s="6" t="s">
        <v>1797</v>
      </c>
      <c r="B6" s="7" t="s">
        <v>1798</v>
      </c>
      <c r="C6" s="7" t="s">
        <v>1798</v>
      </c>
      <c r="D6" s="7" t="s">
        <v>1799</v>
      </c>
      <c r="E6" s="6" t="s">
        <v>1800</v>
      </c>
      <c r="F6" s="8" t="e">
        <f>VLOOKUP($D6,설문!$C$2:$G$444,3,FALSE)</f>
        <v>#N/A</v>
      </c>
      <c r="G6" s="8" t="e">
        <f>VLOOKUP($D6,설문!$C$2:$G$444,4,FALSE)</f>
        <v>#N/A</v>
      </c>
      <c r="H6" s="8" t="e">
        <f>VLOOKUP($D6,설문!$C$2:$G$444,5,FALSE)</f>
        <v>#N/A</v>
      </c>
    </row>
    <row r="7" spans="1:8">
      <c r="A7" s="6" t="s">
        <v>1797</v>
      </c>
      <c r="B7" s="7" t="s">
        <v>1798</v>
      </c>
      <c r="C7" s="7" t="s">
        <v>1798</v>
      </c>
      <c r="D7" s="7" t="s">
        <v>2067</v>
      </c>
      <c r="E7" s="6" t="s">
        <v>2068</v>
      </c>
      <c r="F7" s="8" t="e">
        <f>VLOOKUP($D7,설문!$C$2:$G$444,3,FALSE)</f>
        <v>#N/A</v>
      </c>
      <c r="G7" s="8" t="e">
        <f>VLOOKUP($D7,설문!$C$2:$G$444,4,FALSE)</f>
        <v>#N/A</v>
      </c>
      <c r="H7" s="8" t="e">
        <f>VLOOKUP($D7,설문!$C$2:$G$444,5,FALSE)</f>
        <v>#N/A</v>
      </c>
    </row>
    <row r="8" spans="1:8">
      <c r="A8" s="6" t="s">
        <v>1797</v>
      </c>
      <c r="B8" s="7" t="s">
        <v>1798</v>
      </c>
      <c r="C8" s="7" t="s">
        <v>1798</v>
      </c>
      <c r="D8" s="7" t="s">
        <v>2069</v>
      </c>
      <c r="E8" s="6" t="s">
        <v>2070</v>
      </c>
      <c r="F8" s="8" t="e">
        <f>VLOOKUP($D8,설문!$C$2:$G$444,3,FALSE)</f>
        <v>#N/A</v>
      </c>
      <c r="G8" s="8" t="e">
        <f>VLOOKUP($D8,설문!$C$2:$G$444,4,FALSE)</f>
        <v>#N/A</v>
      </c>
      <c r="H8" s="8" t="e">
        <f>VLOOKUP($D8,설문!$C$2:$G$444,5,FALSE)</f>
        <v>#N/A</v>
      </c>
    </row>
    <row r="9" spans="1:8">
      <c r="A9" s="6" t="s">
        <v>5099</v>
      </c>
      <c r="B9" s="7" t="s">
        <v>1240</v>
      </c>
      <c r="C9" s="7" t="s">
        <v>1240</v>
      </c>
      <c r="D9" s="7" t="s">
        <v>5100</v>
      </c>
      <c r="E9" s="6" t="s">
        <v>5101</v>
      </c>
      <c r="F9" s="8" t="e">
        <f>VLOOKUP($D9,설문!$C$2:$G$444,3,FALSE)</f>
        <v>#N/A</v>
      </c>
      <c r="G9" s="8" t="e">
        <f>VLOOKUP($D9,설문!$C$2:$G$444,4,FALSE)</f>
        <v>#N/A</v>
      </c>
      <c r="H9" s="8" t="e">
        <f>VLOOKUP($D9,설문!$C$2:$G$444,5,FALSE)</f>
        <v>#N/A</v>
      </c>
    </row>
    <row r="10" spans="1:8">
      <c r="A10" s="6" t="s">
        <v>5099</v>
      </c>
      <c r="B10" s="7" t="s">
        <v>5102</v>
      </c>
      <c r="C10" s="7" t="s">
        <v>202</v>
      </c>
      <c r="D10" s="7" t="s">
        <v>5103</v>
      </c>
      <c r="E10" s="6" t="s">
        <v>5104</v>
      </c>
      <c r="F10" s="8" t="e">
        <f>VLOOKUP($D10,설문!$C$2:$G$444,3,FALSE)</f>
        <v>#N/A</v>
      </c>
      <c r="G10" s="8" t="e">
        <f>VLOOKUP($D10,설문!$C$2:$G$444,4,FALSE)</f>
        <v>#N/A</v>
      </c>
      <c r="H10" s="8" t="e">
        <f>VLOOKUP($D10,설문!$C$2:$G$444,5,FALSE)</f>
        <v>#N/A</v>
      </c>
    </row>
    <row r="11" spans="1:8">
      <c r="A11" s="6" t="s">
        <v>5099</v>
      </c>
      <c r="B11" s="7" t="s">
        <v>5105</v>
      </c>
      <c r="C11" s="7" t="s">
        <v>1305</v>
      </c>
      <c r="D11" s="9" t="s">
        <v>7288</v>
      </c>
      <c r="E11" s="6" t="s">
        <v>5107</v>
      </c>
      <c r="F11" s="8" t="str">
        <f>VLOOKUP($D11,설문!$C$2:$G$444,3,FALSE)</f>
        <v>트레이더</v>
      </c>
      <c r="G11" s="8" t="str">
        <f>VLOOKUP($D11,설문!$C$2:$G$444,4,FALSE)</f>
        <v>금융회사</v>
      </c>
      <c r="H11" s="8" t="str">
        <f>VLOOKUP($D11,설문!$C$2:$G$444,5,FALSE)</f>
        <v>국내주식/지수,국내주식/지수관련파생</v>
      </c>
    </row>
    <row r="12" spans="1:8">
      <c r="A12" s="6" t="s">
        <v>5099</v>
      </c>
      <c r="B12" s="7" t="s">
        <v>5108</v>
      </c>
      <c r="C12" s="7" t="s">
        <v>1305</v>
      </c>
      <c r="D12" s="7" t="s">
        <v>5109</v>
      </c>
      <c r="E12" s="6" t="s">
        <v>5110</v>
      </c>
      <c r="F12" s="8" t="e">
        <f>VLOOKUP($D12,설문!$C$2:$G$444,3,FALSE)</f>
        <v>#N/A</v>
      </c>
      <c r="G12" s="8" t="e">
        <f>VLOOKUP($D12,설문!$C$2:$G$444,4,FALSE)</f>
        <v>#N/A</v>
      </c>
      <c r="H12" s="8" t="e">
        <f>VLOOKUP($D12,설문!$C$2:$G$444,5,FALSE)</f>
        <v>#N/A</v>
      </c>
    </row>
    <row r="13" spans="1:8">
      <c r="A13" s="6" t="s">
        <v>5099</v>
      </c>
      <c r="B13" s="7" t="s">
        <v>5108</v>
      </c>
      <c r="C13" s="7" t="s">
        <v>202</v>
      </c>
      <c r="D13" s="7" t="s">
        <v>5111</v>
      </c>
      <c r="E13" s="6" t="s">
        <v>5112</v>
      </c>
      <c r="F13" s="8" t="e">
        <f>VLOOKUP($D13,설문!$C$2:$G$444,3,FALSE)</f>
        <v>#N/A</v>
      </c>
      <c r="G13" s="8" t="e">
        <f>VLOOKUP($D13,설문!$C$2:$G$444,4,FALSE)</f>
        <v>#N/A</v>
      </c>
      <c r="H13" s="8" t="e">
        <f>VLOOKUP($D13,설문!$C$2:$G$444,5,FALSE)</f>
        <v>#N/A</v>
      </c>
    </row>
    <row r="14" spans="1:8">
      <c r="A14" s="6" t="s">
        <v>5099</v>
      </c>
      <c r="B14" s="7" t="s">
        <v>5108</v>
      </c>
      <c r="C14" s="7" t="s">
        <v>202</v>
      </c>
      <c r="D14" s="7" t="s">
        <v>5113</v>
      </c>
      <c r="E14" s="6" t="s">
        <v>5114</v>
      </c>
      <c r="F14" s="8" t="e">
        <f>VLOOKUP($D14,설문!$C$2:$G$444,3,FALSE)</f>
        <v>#N/A</v>
      </c>
      <c r="G14" s="8" t="e">
        <f>VLOOKUP($D14,설문!$C$2:$G$444,4,FALSE)</f>
        <v>#N/A</v>
      </c>
      <c r="H14" s="8" t="e">
        <f>VLOOKUP($D14,설문!$C$2:$G$444,5,FALSE)</f>
        <v>#N/A</v>
      </c>
    </row>
    <row r="15" spans="1:8">
      <c r="A15" s="6" t="s">
        <v>5099</v>
      </c>
      <c r="B15" s="7" t="s">
        <v>5115</v>
      </c>
      <c r="C15" s="7" t="s">
        <v>1305</v>
      </c>
      <c r="D15" s="7" t="s">
        <v>5116</v>
      </c>
      <c r="E15" s="6" t="s">
        <v>5117</v>
      </c>
      <c r="F15" s="8" t="str">
        <f>VLOOKUP($D15,설문!$C$2:$G$444,3,FALSE)</f>
        <v>세일즈</v>
      </c>
      <c r="G15" s="8" t="str">
        <f>VLOOKUP($D15,설문!$C$2:$G$444,4,FALSE)</f>
        <v>금융회사</v>
      </c>
      <c r="H15" s="8" t="str">
        <f>VLOOKUP($D15,설문!$C$2:$G$444,5,FALSE)</f>
        <v>국내주식/지수</v>
      </c>
    </row>
    <row r="16" spans="1:8">
      <c r="A16" s="6" t="s">
        <v>5099</v>
      </c>
      <c r="B16" s="7" t="s">
        <v>5118</v>
      </c>
      <c r="C16" s="7" t="s">
        <v>1305</v>
      </c>
      <c r="D16" s="7" t="s">
        <v>5119</v>
      </c>
      <c r="E16" s="6" t="s">
        <v>5120</v>
      </c>
      <c r="F16" s="8" t="e">
        <f>VLOOKUP($D16,설문!$C$2:$G$444,3,FALSE)</f>
        <v>#N/A</v>
      </c>
      <c r="G16" s="8" t="e">
        <f>VLOOKUP($D16,설문!$C$2:$G$444,4,FALSE)</f>
        <v>#N/A</v>
      </c>
      <c r="H16" s="8" t="e">
        <f>VLOOKUP($D16,설문!$C$2:$G$444,5,FALSE)</f>
        <v>#N/A</v>
      </c>
    </row>
    <row r="17" spans="1:8">
      <c r="A17" s="6" t="s">
        <v>5099</v>
      </c>
      <c r="B17" s="7" t="s">
        <v>5118</v>
      </c>
      <c r="C17" s="7" t="s">
        <v>202</v>
      </c>
      <c r="D17" s="7" t="s">
        <v>5121</v>
      </c>
      <c r="E17" s="6" t="s">
        <v>5122</v>
      </c>
      <c r="F17" s="8" t="e">
        <f>VLOOKUP($D17,설문!$C$2:$G$444,3,FALSE)</f>
        <v>#N/A</v>
      </c>
      <c r="G17" s="8" t="e">
        <f>VLOOKUP($D17,설문!$C$2:$G$444,4,FALSE)</f>
        <v>#N/A</v>
      </c>
      <c r="H17" s="8" t="e">
        <f>VLOOKUP($D17,설문!$C$2:$G$444,5,FALSE)</f>
        <v>#N/A</v>
      </c>
    </row>
    <row r="18" spans="1:8">
      <c r="A18" s="6" t="s">
        <v>5099</v>
      </c>
      <c r="B18" s="7" t="s">
        <v>5118</v>
      </c>
      <c r="C18" s="7" t="s">
        <v>1305</v>
      </c>
      <c r="D18" s="7" t="s">
        <v>5123</v>
      </c>
      <c r="E18" s="6" t="s">
        <v>5124</v>
      </c>
      <c r="F18" s="8" t="e">
        <f>VLOOKUP($D18,설문!$C$2:$G$444,3,FALSE)</f>
        <v>#N/A</v>
      </c>
      <c r="G18" s="8" t="e">
        <f>VLOOKUP($D18,설문!$C$2:$G$444,4,FALSE)</f>
        <v>#N/A</v>
      </c>
      <c r="H18" s="8" t="e">
        <f>VLOOKUP($D18,설문!$C$2:$G$444,5,FALSE)</f>
        <v>#N/A</v>
      </c>
    </row>
    <row r="19" spans="1:8">
      <c r="A19" s="6" t="s">
        <v>5099</v>
      </c>
      <c r="B19" s="7" t="s">
        <v>5125</v>
      </c>
      <c r="C19" s="7" t="s">
        <v>5126</v>
      </c>
      <c r="D19" s="7" t="s">
        <v>5127</v>
      </c>
      <c r="E19" s="6" t="s">
        <v>5128</v>
      </c>
      <c r="F19" s="8" t="e">
        <f>VLOOKUP($D19,설문!$C$2:$G$444,3,FALSE)</f>
        <v>#N/A</v>
      </c>
      <c r="G19" s="8" t="e">
        <f>VLOOKUP($D19,설문!$C$2:$G$444,4,FALSE)</f>
        <v>#N/A</v>
      </c>
      <c r="H19" s="8" t="e">
        <f>VLOOKUP($D19,설문!$C$2:$G$444,5,FALSE)</f>
        <v>#N/A</v>
      </c>
    </row>
    <row r="20" spans="1:8">
      <c r="A20" s="6" t="s">
        <v>5099</v>
      </c>
      <c r="B20" s="7" t="s">
        <v>5129</v>
      </c>
      <c r="C20" s="7" t="s">
        <v>5130</v>
      </c>
      <c r="D20" s="7" t="s">
        <v>5131</v>
      </c>
      <c r="E20" s="6" t="s">
        <v>5132</v>
      </c>
      <c r="F20" s="8" t="e">
        <f>VLOOKUP($D20,설문!$C$2:$G$444,3,FALSE)</f>
        <v>#N/A</v>
      </c>
      <c r="G20" s="8" t="e">
        <f>VLOOKUP($D20,설문!$C$2:$G$444,4,FALSE)</f>
        <v>#N/A</v>
      </c>
      <c r="H20" s="8" t="e">
        <f>VLOOKUP($D20,설문!$C$2:$G$444,5,FALSE)</f>
        <v>#N/A</v>
      </c>
    </row>
    <row r="21" spans="1:8">
      <c r="A21" s="6" t="s">
        <v>5099</v>
      </c>
      <c r="B21" s="7" t="s">
        <v>4966</v>
      </c>
      <c r="C21" s="7" t="s">
        <v>3075</v>
      </c>
      <c r="D21" s="7" t="s">
        <v>5133</v>
      </c>
      <c r="E21" s="6" t="s">
        <v>4966</v>
      </c>
      <c r="F21" s="8" t="e">
        <f>VLOOKUP($D21,설문!$C$2:$G$444,3,FALSE)</f>
        <v>#N/A</v>
      </c>
      <c r="G21" s="8" t="e">
        <f>VLOOKUP($D21,설문!$C$2:$G$444,4,FALSE)</f>
        <v>#N/A</v>
      </c>
      <c r="H21" s="8" t="e">
        <f>VLOOKUP($D21,설문!$C$2:$G$444,5,FALSE)</f>
        <v>#N/A</v>
      </c>
    </row>
    <row r="22" spans="1:8">
      <c r="A22" s="6" t="s">
        <v>5099</v>
      </c>
      <c r="B22" s="7" t="s">
        <v>4966</v>
      </c>
      <c r="C22" s="7" t="s">
        <v>3075</v>
      </c>
      <c r="D22" s="7" t="s">
        <v>5134</v>
      </c>
      <c r="E22" s="6" t="s">
        <v>4966</v>
      </c>
      <c r="F22" s="8" t="e">
        <f>VLOOKUP($D22,설문!$C$2:$G$444,3,FALSE)</f>
        <v>#N/A</v>
      </c>
      <c r="G22" s="8" t="e">
        <f>VLOOKUP($D22,설문!$C$2:$G$444,4,FALSE)</f>
        <v>#N/A</v>
      </c>
      <c r="H22" s="8" t="e">
        <f>VLOOKUP($D22,설문!$C$2:$G$444,5,FALSE)</f>
        <v>#N/A</v>
      </c>
    </row>
    <row r="23" spans="1:8">
      <c r="A23" s="6" t="s">
        <v>5099</v>
      </c>
      <c r="B23" s="7" t="s">
        <v>4966</v>
      </c>
      <c r="C23" s="7" t="s">
        <v>3075</v>
      </c>
      <c r="D23" s="7" t="s">
        <v>5135</v>
      </c>
      <c r="E23" s="6" t="s">
        <v>4966</v>
      </c>
      <c r="F23" s="8" t="e">
        <f>VLOOKUP($D23,설문!$C$2:$G$444,3,FALSE)</f>
        <v>#N/A</v>
      </c>
      <c r="G23" s="8" t="e">
        <f>VLOOKUP($D23,설문!$C$2:$G$444,4,FALSE)</f>
        <v>#N/A</v>
      </c>
      <c r="H23" s="8" t="e">
        <f>VLOOKUP($D23,설문!$C$2:$G$444,5,FALSE)</f>
        <v>#N/A</v>
      </c>
    </row>
    <row r="24" spans="1:8">
      <c r="A24" s="6" t="s">
        <v>3070</v>
      </c>
      <c r="B24" s="7" t="s">
        <v>1798</v>
      </c>
      <c r="C24" s="7" t="s">
        <v>3071</v>
      </c>
      <c r="D24" s="7" t="s">
        <v>3072</v>
      </c>
      <c r="E24" s="6" t="s">
        <v>3073</v>
      </c>
      <c r="F24" s="8" t="e">
        <f>VLOOKUP($D24,설문!$C$2:$G$444,3,FALSE)</f>
        <v>#N/A</v>
      </c>
      <c r="G24" s="8" t="e">
        <f>VLOOKUP($D24,설문!$C$2:$G$444,4,FALSE)</f>
        <v>#N/A</v>
      </c>
      <c r="H24" s="8" t="e">
        <f>VLOOKUP($D24,설문!$C$2:$G$444,5,FALSE)</f>
        <v>#N/A</v>
      </c>
    </row>
    <row r="25" spans="1:8">
      <c r="A25" s="6" t="s">
        <v>5167</v>
      </c>
      <c r="B25" s="7" t="s">
        <v>1798</v>
      </c>
      <c r="C25" s="7" t="s">
        <v>1798</v>
      </c>
      <c r="D25" s="7" t="s">
        <v>5168</v>
      </c>
      <c r="E25" s="6" t="s">
        <v>5169</v>
      </c>
      <c r="F25" s="8" t="e">
        <f>VLOOKUP($D25,설문!$C$2:$G$444,3,FALSE)</f>
        <v>#N/A</v>
      </c>
      <c r="G25" s="8" t="e">
        <f>VLOOKUP($D25,설문!$C$2:$G$444,4,FALSE)</f>
        <v>#N/A</v>
      </c>
      <c r="H25" s="8" t="e">
        <f>VLOOKUP($D25,설문!$C$2:$G$444,5,FALSE)</f>
        <v>#N/A</v>
      </c>
    </row>
    <row r="26" spans="1:8">
      <c r="A26" s="6" t="s">
        <v>5167</v>
      </c>
      <c r="B26" s="7" t="s">
        <v>1798</v>
      </c>
      <c r="C26" s="7" t="s">
        <v>1798</v>
      </c>
      <c r="D26" s="7" t="s">
        <v>5170</v>
      </c>
      <c r="E26" s="6" t="s">
        <v>5171</v>
      </c>
      <c r="F26" s="8" t="e">
        <f>VLOOKUP($D26,설문!$C$2:$G$444,3,FALSE)</f>
        <v>#N/A</v>
      </c>
      <c r="G26" s="8" t="e">
        <f>VLOOKUP($D26,설문!$C$2:$G$444,4,FALSE)</f>
        <v>#N/A</v>
      </c>
      <c r="H26" s="8" t="e">
        <f>VLOOKUP($D26,설문!$C$2:$G$444,5,FALSE)</f>
        <v>#N/A</v>
      </c>
    </row>
    <row r="27" spans="1:8">
      <c r="A27" s="6" t="s">
        <v>638</v>
      </c>
      <c r="B27" s="7" t="s">
        <v>483</v>
      </c>
      <c r="C27" s="7" t="s">
        <v>483</v>
      </c>
      <c r="D27" s="7" t="s">
        <v>639</v>
      </c>
      <c r="E27" s="6" t="s">
        <v>640</v>
      </c>
      <c r="F27" s="8" t="e">
        <f>VLOOKUP($D27,설문!$C$2:$G$444,3,FALSE)</f>
        <v>#N/A</v>
      </c>
      <c r="G27" s="8" t="e">
        <f>VLOOKUP($D27,설문!$C$2:$G$444,4,FALSE)</f>
        <v>#N/A</v>
      </c>
      <c r="H27" s="8" t="e">
        <f>VLOOKUP($D27,설문!$C$2:$G$444,5,FALSE)</f>
        <v>#N/A</v>
      </c>
    </row>
    <row r="28" spans="1:8">
      <c r="A28" s="6" t="s">
        <v>638</v>
      </c>
      <c r="B28" s="7" t="s">
        <v>1060</v>
      </c>
      <c r="C28" s="7" t="s">
        <v>1061</v>
      </c>
      <c r="D28" s="9" t="s">
        <v>7289</v>
      </c>
      <c r="E28" s="6" t="s">
        <v>1063</v>
      </c>
      <c r="F28" s="8" t="str">
        <f>VLOOKUP($D28,설문!$C$2:$G$444,3,FALSE)</f>
        <v>분석 및 전략</v>
      </c>
      <c r="G28" s="8" t="str">
        <f>VLOOKUP($D28,설문!$C$2:$G$444,4,FALSE)</f>
        <v>금융회사,기타</v>
      </c>
      <c r="H28" s="8" t="str">
        <f>VLOOKUP($D28,설문!$C$2:$G$444,5,FALSE)</f>
        <v>국고채/통안채,원화 구조화채권,외화 구조화채권,대체투자(부동산/인프라)</v>
      </c>
    </row>
    <row r="29" spans="1:8">
      <c r="A29" s="6" t="s">
        <v>638</v>
      </c>
      <c r="B29" s="7" t="s">
        <v>1763</v>
      </c>
      <c r="C29" s="7" t="s">
        <v>1764</v>
      </c>
      <c r="D29" s="7" t="s">
        <v>1765</v>
      </c>
      <c r="E29" s="6" t="s">
        <v>1766</v>
      </c>
      <c r="F29" s="8" t="str">
        <f>VLOOKUP($D29,설문!$C$2:$G$444,3,FALSE)</f>
        <v>펀드매니저</v>
      </c>
      <c r="G29" s="8" t="str">
        <f>VLOOKUP($D29,설문!$C$2:$G$444,4,FALSE)</f>
        <v>금융회사,금융 유관기관</v>
      </c>
      <c r="H29" s="8" t="str">
        <f>VLOOKUP($D29,설문!$C$2:$G$444,5,FALSE)</f>
        <v>국내주식/지수,국고채/통안채,단기자금,국채선물,Korean Paper,외화채권(KP제외),원화 구조화채권,외화 구조화채권,FX Spot &amp; FX Swap,CRS &amp; FX Option,FRA/이자율옵션,IB(발행, M&amp;A 등),대체투자(부동산/인프라)</v>
      </c>
    </row>
    <row r="30" spans="1:8">
      <c r="A30" s="6" t="s">
        <v>638</v>
      </c>
      <c r="B30" s="7" t="s">
        <v>1411</v>
      </c>
      <c r="C30" s="7" t="s">
        <v>3721</v>
      </c>
      <c r="D30" s="7" t="s">
        <v>3722</v>
      </c>
      <c r="E30" s="6" t="s">
        <v>1511</v>
      </c>
      <c r="F30" s="8" t="e">
        <f>VLOOKUP($D30,설문!$C$2:$G$444,3,FALSE)</f>
        <v>#N/A</v>
      </c>
      <c r="G30" s="8" t="e">
        <f>VLOOKUP($D30,설문!$C$2:$G$444,4,FALSE)</f>
        <v>#N/A</v>
      </c>
      <c r="H30" s="8" t="e">
        <f>VLOOKUP($D30,설문!$C$2:$G$444,5,FALSE)</f>
        <v>#N/A</v>
      </c>
    </row>
    <row r="31" spans="1:8">
      <c r="A31" s="6" t="s">
        <v>638</v>
      </c>
      <c r="B31" s="7" t="s">
        <v>1763</v>
      </c>
      <c r="C31" s="7" t="s">
        <v>1764</v>
      </c>
      <c r="D31" s="7" t="s">
        <v>3723</v>
      </c>
      <c r="E31" s="6" t="s">
        <v>3724</v>
      </c>
      <c r="F31" s="8" t="e">
        <f>VLOOKUP($D31,설문!$C$2:$G$444,3,FALSE)</f>
        <v>#N/A</v>
      </c>
      <c r="G31" s="8" t="e">
        <f>VLOOKUP($D31,설문!$C$2:$G$444,4,FALSE)</f>
        <v>#N/A</v>
      </c>
      <c r="H31" s="8" t="e">
        <f>VLOOKUP($D31,설문!$C$2:$G$444,5,FALSE)</f>
        <v>#N/A</v>
      </c>
    </row>
    <row r="32" spans="1:8">
      <c r="A32" s="6" t="s">
        <v>638</v>
      </c>
      <c r="B32" s="7" t="s">
        <v>1411</v>
      </c>
      <c r="C32" s="7" t="s">
        <v>3721</v>
      </c>
      <c r="D32" s="7" t="s">
        <v>3725</v>
      </c>
      <c r="E32" s="6" t="s">
        <v>3726</v>
      </c>
      <c r="F32" s="8" t="str">
        <f>VLOOKUP($D32,설문!$C$2:$G$444,3,FALSE)</f>
        <v>펀드매니저</v>
      </c>
      <c r="G32" s="8" t="str">
        <f>VLOOKUP($D32,설문!$C$2:$G$444,4,FALSE)</f>
        <v>금융회사</v>
      </c>
      <c r="H32" s="8" t="str">
        <f>VLOOKUP($D32,설문!$C$2:$G$444,5,FALSE)</f>
        <v>IB(발행, M&amp;A 등),대체투자(부동산/인프라)</v>
      </c>
    </row>
    <row r="33" spans="1:8">
      <c r="A33" s="6" t="s">
        <v>638</v>
      </c>
      <c r="B33" s="7" t="s">
        <v>1411</v>
      </c>
      <c r="C33" s="7" t="s">
        <v>3721</v>
      </c>
      <c r="D33" s="7" t="s">
        <v>3727</v>
      </c>
      <c r="E33" s="6" t="s">
        <v>3728</v>
      </c>
      <c r="F33" s="8" t="e">
        <f>VLOOKUP($D33,설문!$C$2:$G$444,3,FALSE)</f>
        <v>#N/A</v>
      </c>
      <c r="G33" s="8" t="e">
        <f>VLOOKUP($D33,설문!$C$2:$G$444,4,FALSE)</f>
        <v>#N/A</v>
      </c>
      <c r="H33" s="8" t="e">
        <f>VLOOKUP($D33,설문!$C$2:$G$444,5,FALSE)</f>
        <v>#N/A</v>
      </c>
    </row>
    <row r="34" spans="1:8">
      <c r="A34" s="6" t="s">
        <v>638</v>
      </c>
      <c r="B34" s="7" t="s">
        <v>483</v>
      </c>
      <c r="C34" s="7" t="s">
        <v>483</v>
      </c>
      <c r="D34" s="7" t="s">
        <v>3729</v>
      </c>
      <c r="E34" s="6" t="s">
        <v>3730</v>
      </c>
      <c r="F34" s="8" t="str">
        <f>VLOOKUP($D34,설문!$C$2:$G$444,3,FALSE)</f>
        <v>펀드매니저</v>
      </c>
      <c r="G34" s="8" t="str">
        <f>VLOOKUP($D34,설문!$C$2:$G$444,4,FALSE)</f>
        <v>금융회사</v>
      </c>
      <c r="H34" s="8" t="str">
        <f>VLOOKUP($D34,설문!$C$2:$G$444,5,FALSE)</f>
        <v>국내주식/지수,국고채/통안채,원화 구조화채권</v>
      </c>
    </row>
    <row r="35" spans="1:8">
      <c r="A35" s="6" t="s">
        <v>638</v>
      </c>
      <c r="B35" s="7" t="s">
        <v>1060</v>
      </c>
      <c r="C35" s="7" t="s">
        <v>1060</v>
      </c>
      <c r="D35" s="7" t="s">
        <v>3731</v>
      </c>
      <c r="E35" s="6" t="s">
        <v>3732</v>
      </c>
      <c r="F35" s="8" t="e">
        <f>VLOOKUP($D35,설문!$C$2:$G$444,3,FALSE)</f>
        <v>#N/A</v>
      </c>
      <c r="G35" s="8" t="e">
        <f>VLOOKUP($D35,설문!$C$2:$G$444,4,FALSE)</f>
        <v>#N/A</v>
      </c>
      <c r="H35" s="8" t="e">
        <f>VLOOKUP($D35,설문!$C$2:$G$444,5,FALSE)</f>
        <v>#N/A</v>
      </c>
    </row>
    <row r="36" spans="1:8">
      <c r="A36" s="6" t="s">
        <v>660</v>
      </c>
      <c r="B36" s="7" t="s">
        <v>661</v>
      </c>
      <c r="C36" s="7" t="s">
        <v>662</v>
      </c>
      <c r="D36" s="7" t="s">
        <v>663</v>
      </c>
      <c r="E36" s="6" t="s">
        <v>664</v>
      </c>
      <c r="F36" s="8" t="e">
        <f>VLOOKUP($D36,설문!$C$2:$G$444,3,FALSE)</f>
        <v>#N/A</v>
      </c>
      <c r="G36" s="8" t="e">
        <f>VLOOKUP($D36,설문!$C$2:$G$444,4,FALSE)</f>
        <v>#N/A</v>
      </c>
      <c r="H36" s="8" t="e">
        <f>VLOOKUP($D36,설문!$C$2:$G$444,5,FALSE)</f>
        <v>#N/A</v>
      </c>
    </row>
    <row r="37" spans="1:8">
      <c r="A37" s="6" t="s">
        <v>660</v>
      </c>
      <c r="B37" s="7" t="s">
        <v>1270</v>
      </c>
      <c r="C37" s="7" t="s">
        <v>1270</v>
      </c>
      <c r="D37" s="7" t="s">
        <v>1271</v>
      </c>
      <c r="E37" s="6" t="s">
        <v>1272</v>
      </c>
      <c r="F37" s="8" t="e">
        <f>VLOOKUP($D37,설문!$C$2:$G$444,3,FALSE)</f>
        <v>#N/A</v>
      </c>
      <c r="G37" s="8" t="e">
        <f>VLOOKUP($D37,설문!$C$2:$G$444,4,FALSE)</f>
        <v>#N/A</v>
      </c>
      <c r="H37" s="8" t="e">
        <f>VLOOKUP($D37,설문!$C$2:$G$444,5,FALSE)</f>
        <v>#N/A</v>
      </c>
    </row>
    <row r="38" spans="1:8">
      <c r="A38" s="6" t="s">
        <v>660</v>
      </c>
      <c r="B38" s="7" t="s">
        <v>1319</v>
      </c>
      <c r="C38" s="7" t="s">
        <v>1320</v>
      </c>
      <c r="D38" s="7" t="s">
        <v>1321</v>
      </c>
      <c r="E38" s="6" t="s">
        <v>1322</v>
      </c>
      <c r="F38" s="8" t="e">
        <f>VLOOKUP($D38,설문!$C$2:$G$444,3,FALSE)</f>
        <v>#N/A</v>
      </c>
      <c r="G38" s="8" t="e">
        <f>VLOOKUP($D38,설문!$C$2:$G$444,4,FALSE)</f>
        <v>#N/A</v>
      </c>
      <c r="H38" s="8" t="e">
        <f>VLOOKUP($D38,설문!$C$2:$G$444,5,FALSE)</f>
        <v>#N/A</v>
      </c>
    </row>
    <row r="39" spans="1:8">
      <c r="A39" s="6" t="s">
        <v>660</v>
      </c>
      <c r="B39" s="7" t="s">
        <v>31</v>
      </c>
      <c r="C39" s="7" t="s">
        <v>4240</v>
      </c>
      <c r="D39" s="7" t="s">
        <v>4241</v>
      </c>
      <c r="E39" s="6" t="s">
        <v>4242</v>
      </c>
      <c r="F39" s="8" t="e">
        <f>VLOOKUP($D39,설문!$C$2:$G$444,3,FALSE)</f>
        <v>#N/A</v>
      </c>
      <c r="G39" s="8" t="e">
        <f>VLOOKUP($D39,설문!$C$2:$G$444,4,FALSE)</f>
        <v>#N/A</v>
      </c>
      <c r="H39" s="8" t="e">
        <f>VLOOKUP($D39,설문!$C$2:$G$444,5,FALSE)</f>
        <v>#N/A</v>
      </c>
    </row>
    <row r="40" spans="1:8">
      <c r="A40" s="6" t="s">
        <v>660</v>
      </c>
      <c r="B40" s="7" t="s">
        <v>31</v>
      </c>
      <c r="C40" s="7" t="s">
        <v>4240</v>
      </c>
      <c r="D40" s="7" t="s">
        <v>4243</v>
      </c>
      <c r="E40" s="6" t="s">
        <v>4244</v>
      </c>
      <c r="F40" s="8" t="e">
        <f>VLOOKUP($D40,설문!$C$2:$G$444,3,FALSE)</f>
        <v>#N/A</v>
      </c>
      <c r="G40" s="8" t="e">
        <f>VLOOKUP($D40,설문!$C$2:$G$444,4,FALSE)</f>
        <v>#N/A</v>
      </c>
      <c r="H40" s="8" t="e">
        <f>VLOOKUP($D40,설문!$C$2:$G$444,5,FALSE)</f>
        <v>#N/A</v>
      </c>
    </row>
    <row r="41" spans="1:8">
      <c r="A41" s="6" t="s">
        <v>660</v>
      </c>
      <c r="B41" s="7" t="s">
        <v>31</v>
      </c>
      <c r="C41" s="7" t="s">
        <v>4240</v>
      </c>
      <c r="D41" s="7" t="s">
        <v>4245</v>
      </c>
      <c r="E41" s="6" t="s">
        <v>4246</v>
      </c>
      <c r="F41" s="8" t="e">
        <f>VLOOKUP($D41,설문!$C$2:$G$444,3,FALSE)</f>
        <v>#N/A</v>
      </c>
      <c r="G41" s="8" t="e">
        <f>VLOOKUP($D41,설문!$C$2:$G$444,4,FALSE)</f>
        <v>#N/A</v>
      </c>
      <c r="H41" s="8" t="e">
        <f>VLOOKUP($D41,설문!$C$2:$G$444,5,FALSE)</f>
        <v>#N/A</v>
      </c>
    </row>
    <row r="42" spans="1:8">
      <c r="A42" s="6" t="s">
        <v>660</v>
      </c>
      <c r="B42" s="7" t="s">
        <v>31</v>
      </c>
      <c r="C42" s="7" t="s">
        <v>4247</v>
      </c>
      <c r="D42" s="7" t="s">
        <v>4248</v>
      </c>
      <c r="E42" s="6" t="s">
        <v>4242</v>
      </c>
      <c r="F42" s="8" t="str">
        <f>VLOOKUP($D42,설문!$C$2:$G$444,3,FALSE)</f>
        <v>백오피스</v>
      </c>
      <c r="G42" s="8" t="str">
        <f>VLOOKUP($D42,설문!$C$2:$G$444,4,FALSE)</f>
        <v>금융회사,금융 유관기관</v>
      </c>
      <c r="H42" s="8" t="str">
        <f>VLOOKUP($D42,설문!$C$2:$G$444,5,FALSE)</f>
        <v>단기자금,FX Spot &amp; FX Swap</v>
      </c>
    </row>
    <row r="43" spans="1:8">
      <c r="A43" s="6" t="s">
        <v>660</v>
      </c>
      <c r="B43" s="7" t="s">
        <v>31</v>
      </c>
      <c r="C43" s="7" t="s">
        <v>4247</v>
      </c>
      <c r="D43" s="7" t="s">
        <v>4249</v>
      </c>
      <c r="E43" s="6" t="s">
        <v>4250</v>
      </c>
      <c r="F43" s="8" t="e">
        <f>VLOOKUP($D43,설문!$C$2:$G$444,3,FALSE)</f>
        <v>#N/A</v>
      </c>
      <c r="G43" s="8" t="e">
        <f>VLOOKUP($D43,설문!$C$2:$G$444,4,FALSE)</f>
        <v>#N/A</v>
      </c>
      <c r="H43" s="8" t="e">
        <f>VLOOKUP($D43,설문!$C$2:$G$444,5,FALSE)</f>
        <v>#N/A</v>
      </c>
    </row>
    <row r="44" spans="1:8">
      <c r="A44" s="6" t="s">
        <v>660</v>
      </c>
      <c r="B44" s="7" t="s">
        <v>3950</v>
      </c>
      <c r="C44" s="7" t="s">
        <v>4251</v>
      </c>
      <c r="D44" s="7" t="s">
        <v>4252</v>
      </c>
      <c r="E44" s="6" t="s">
        <v>4253</v>
      </c>
      <c r="F44" s="8" t="str">
        <f>VLOOKUP($D44,설문!$C$2:$G$444,3,FALSE)</f>
        <v>트레이더</v>
      </c>
      <c r="G44" s="8" t="str">
        <f>VLOOKUP($D44,설문!$C$2:$G$444,4,FALSE)</f>
        <v>금융회사</v>
      </c>
      <c r="H44" s="8" t="str">
        <f>VLOOKUP($D44,설문!$C$2:$G$444,5,FALSE)</f>
        <v>국내주식/지수</v>
      </c>
    </row>
    <row r="45" spans="1:8">
      <c r="A45" s="6" t="s">
        <v>660</v>
      </c>
      <c r="B45" s="7" t="s">
        <v>3950</v>
      </c>
      <c r="C45" s="7" t="s">
        <v>183</v>
      </c>
      <c r="D45" s="7" t="s">
        <v>4254</v>
      </c>
      <c r="E45" s="6" t="s">
        <v>4255</v>
      </c>
      <c r="F45" s="8" t="e">
        <f>VLOOKUP($D45,설문!$C$2:$G$444,3,FALSE)</f>
        <v>#N/A</v>
      </c>
      <c r="G45" s="8" t="e">
        <f>VLOOKUP($D45,설문!$C$2:$G$444,4,FALSE)</f>
        <v>#N/A</v>
      </c>
      <c r="H45" s="8" t="e">
        <f>VLOOKUP($D45,설문!$C$2:$G$444,5,FALSE)</f>
        <v>#N/A</v>
      </c>
    </row>
    <row r="46" spans="1:8">
      <c r="A46" s="6" t="s">
        <v>660</v>
      </c>
      <c r="B46" s="7" t="s">
        <v>3950</v>
      </c>
      <c r="C46" s="7" t="s">
        <v>4256</v>
      </c>
      <c r="D46" s="7" t="s">
        <v>4257</v>
      </c>
      <c r="E46" s="6" t="s">
        <v>4258</v>
      </c>
      <c r="F46" s="8" t="str">
        <f>VLOOKUP($D46,설문!$C$2:$G$444,3,FALSE)</f>
        <v>트레이더</v>
      </c>
      <c r="G46" s="8" t="str">
        <f>VLOOKUP($D46,설문!$C$2:$G$444,4,FALSE)</f>
        <v>금융회사</v>
      </c>
      <c r="H46" s="8" t="str">
        <f>VLOOKUP($D46,설문!$C$2:$G$444,5,FALSE)</f>
        <v>국내주식/지수,외화채권(KP제외)</v>
      </c>
    </row>
    <row r="47" spans="1:8">
      <c r="A47" s="6" t="s">
        <v>660</v>
      </c>
      <c r="B47" s="7" t="s">
        <v>3950</v>
      </c>
      <c r="C47" s="7" t="s">
        <v>4259</v>
      </c>
      <c r="D47" s="7" t="s">
        <v>4260</v>
      </c>
      <c r="E47" s="6" t="s">
        <v>4261</v>
      </c>
      <c r="F47" s="8" t="e">
        <f>VLOOKUP($D47,설문!$C$2:$G$444,3,FALSE)</f>
        <v>#N/A</v>
      </c>
      <c r="G47" s="8" t="e">
        <f>VLOOKUP($D47,설문!$C$2:$G$444,4,FALSE)</f>
        <v>#N/A</v>
      </c>
      <c r="H47" s="8" t="e">
        <f>VLOOKUP($D47,설문!$C$2:$G$444,5,FALSE)</f>
        <v>#N/A</v>
      </c>
    </row>
    <row r="48" spans="1:8">
      <c r="A48" s="6" t="s">
        <v>660</v>
      </c>
      <c r="B48" s="7" t="s">
        <v>3950</v>
      </c>
      <c r="C48" s="7" t="s">
        <v>662</v>
      </c>
      <c r="D48" s="7" t="s">
        <v>4262</v>
      </c>
      <c r="E48" s="6" t="s">
        <v>4263</v>
      </c>
      <c r="F48" s="8" t="e">
        <f>VLOOKUP($D48,설문!$C$2:$G$444,3,FALSE)</f>
        <v>#N/A</v>
      </c>
      <c r="G48" s="8" t="e">
        <f>VLOOKUP($D48,설문!$C$2:$G$444,4,FALSE)</f>
        <v>#N/A</v>
      </c>
      <c r="H48" s="8" t="e">
        <f>VLOOKUP($D48,설문!$C$2:$G$444,5,FALSE)</f>
        <v>#N/A</v>
      </c>
    </row>
    <row r="49" spans="1:8">
      <c r="A49" s="6" t="s">
        <v>660</v>
      </c>
      <c r="B49" s="7" t="s">
        <v>3950</v>
      </c>
      <c r="C49" s="7" t="s">
        <v>4256</v>
      </c>
      <c r="D49" s="7" t="s">
        <v>4264</v>
      </c>
      <c r="E49" s="6" t="s">
        <v>4265</v>
      </c>
      <c r="F49" s="8" t="e">
        <f>VLOOKUP($D49,설문!$C$2:$G$444,3,FALSE)</f>
        <v>#N/A</v>
      </c>
      <c r="G49" s="8" t="e">
        <f>VLOOKUP($D49,설문!$C$2:$G$444,4,FALSE)</f>
        <v>#N/A</v>
      </c>
      <c r="H49" s="8" t="e">
        <f>VLOOKUP($D49,설문!$C$2:$G$444,5,FALSE)</f>
        <v>#N/A</v>
      </c>
    </row>
    <row r="50" spans="1:8">
      <c r="A50" s="6" t="s">
        <v>660</v>
      </c>
      <c r="B50" s="7" t="s">
        <v>3950</v>
      </c>
      <c r="C50" s="7" t="s">
        <v>4259</v>
      </c>
      <c r="D50" s="7" t="s">
        <v>4266</v>
      </c>
      <c r="E50" s="6" t="s">
        <v>4267</v>
      </c>
      <c r="F50" s="8" t="str">
        <f>VLOOKUP($D50,설문!$C$2:$G$444,3,FALSE)</f>
        <v>딜러</v>
      </c>
      <c r="G50" s="8" t="str">
        <f>VLOOKUP($D50,설문!$C$2:$G$444,4,FALSE)</f>
        <v>금융회사</v>
      </c>
      <c r="H50" s="8" t="str">
        <f>VLOOKUP($D50,설문!$C$2:$G$444,5,FALSE)</f>
        <v>국내주식/지수,국고채/통안채,회사채,RP,국채선물,국내주식/지수관련파생,원화 이자율스왑</v>
      </c>
    </row>
    <row r="51" spans="1:8">
      <c r="A51" s="6" t="s">
        <v>660</v>
      </c>
      <c r="B51" s="7" t="s">
        <v>3950</v>
      </c>
      <c r="C51" s="7" t="s">
        <v>4251</v>
      </c>
      <c r="D51" s="7" t="s">
        <v>4268</v>
      </c>
      <c r="E51" s="6" t="s">
        <v>4269</v>
      </c>
      <c r="F51" s="8" t="str">
        <f>VLOOKUP($D51,설문!$C$2:$G$444,3,FALSE)</f>
        <v>펀드매니저</v>
      </c>
      <c r="G51" s="8" t="str">
        <f>VLOOKUP($D51,설문!$C$2:$G$444,4,FALSE)</f>
        <v>금융회사</v>
      </c>
      <c r="H51" s="8" t="str">
        <f>VLOOKUP($D51,설문!$C$2:$G$444,5,FALSE)</f>
        <v>국고채/통안채,회사채,국채선물</v>
      </c>
    </row>
    <row r="52" spans="1:8">
      <c r="A52" s="6" t="s">
        <v>660</v>
      </c>
      <c r="B52" s="7" t="s">
        <v>3950</v>
      </c>
      <c r="C52" s="7" t="s">
        <v>183</v>
      </c>
      <c r="D52" s="7" t="s">
        <v>4270</v>
      </c>
      <c r="E52" s="6" t="s">
        <v>4271</v>
      </c>
      <c r="F52" s="8" t="e">
        <f>VLOOKUP($D52,설문!$C$2:$G$444,3,FALSE)</f>
        <v>#N/A</v>
      </c>
      <c r="G52" s="8" t="e">
        <f>VLOOKUP($D52,설문!$C$2:$G$444,4,FALSE)</f>
        <v>#N/A</v>
      </c>
      <c r="H52" s="8" t="e">
        <f>VLOOKUP($D52,설문!$C$2:$G$444,5,FALSE)</f>
        <v>#N/A</v>
      </c>
    </row>
    <row r="53" spans="1:8">
      <c r="A53" s="6" t="s">
        <v>660</v>
      </c>
      <c r="B53" s="7" t="s">
        <v>3950</v>
      </c>
      <c r="C53" s="7" t="s">
        <v>4256</v>
      </c>
      <c r="D53" s="7" t="s">
        <v>4272</v>
      </c>
      <c r="E53" s="6" t="s">
        <v>4273</v>
      </c>
      <c r="F53" s="8" t="e">
        <f>VLOOKUP($D53,설문!$C$2:$G$444,3,FALSE)</f>
        <v>#N/A</v>
      </c>
      <c r="G53" s="8" t="e">
        <f>VLOOKUP($D53,설문!$C$2:$G$444,4,FALSE)</f>
        <v>#N/A</v>
      </c>
      <c r="H53" s="8" t="e">
        <f>VLOOKUP($D53,설문!$C$2:$G$444,5,FALSE)</f>
        <v>#N/A</v>
      </c>
    </row>
    <row r="54" spans="1:8">
      <c r="A54" s="6" t="s">
        <v>660</v>
      </c>
      <c r="B54" s="7" t="s">
        <v>3950</v>
      </c>
      <c r="C54" s="7" t="s">
        <v>4256</v>
      </c>
      <c r="D54" s="7" t="s">
        <v>4274</v>
      </c>
      <c r="E54" s="6" t="s">
        <v>4275</v>
      </c>
      <c r="F54" s="8" t="e">
        <f>VLOOKUP($D54,설문!$C$2:$G$444,3,FALSE)</f>
        <v>#N/A</v>
      </c>
      <c r="G54" s="8" t="e">
        <f>VLOOKUP($D54,설문!$C$2:$G$444,4,FALSE)</f>
        <v>#N/A</v>
      </c>
      <c r="H54" s="8" t="e">
        <f>VLOOKUP($D54,설문!$C$2:$G$444,5,FALSE)</f>
        <v>#N/A</v>
      </c>
    </row>
    <row r="55" spans="1:8">
      <c r="A55" s="6" t="s">
        <v>660</v>
      </c>
      <c r="B55" s="7" t="s">
        <v>3950</v>
      </c>
      <c r="C55" s="7" t="s">
        <v>183</v>
      </c>
      <c r="D55" s="7" t="s">
        <v>4276</v>
      </c>
      <c r="E55" s="6" t="s">
        <v>4277</v>
      </c>
      <c r="F55" s="8" t="str">
        <f>VLOOKUP($D55,설문!$C$2:$G$444,3,FALSE)</f>
        <v>딜러</v>
      </c>
      <c r="G55" s="8" t="str">
        <f>VLOOKUP($D55,설문!$C$2:$G$444,4,FALSE)</f>
        <v>금융회사</v>
      </c>
      <c r="H55" s="8" t="str">
        <f>VLOOKUP($D55,설문!$C$2:$G$444,5,FALSE)</f>
        <v>국고채/통안채,국채선물,원화 이자율스왑,외화 이자율스왑,CRS &amp; FX Option</v>
      </c>
    </row>
    <row r="56" spans="1:8">
      <c r="A56" s="6" t="s">
        <v>660</v>
      </c>
      <c r="B56" s="7" t="s">
        <v>3950</v>
      </c>
      <c r="C56" s="7" t="s">
        <v>183</v>
      </c>
      <c r="D56" s="7" t="s">
        <v>4278</v>
      </c>
      <c r="E56" s="6" t="s">
        <v>3733</v>
      </c>
      <c r="F56" s="8" t="e">
        <f>VLOOKUP($D56,설문!$C$2:$G$444,3,FALSE)</f>
        <v>#N/A</v>
      </c>
      <c r="G56" s="8" t="e">
        <f>VLOOKUP($D56,설문!$C$2:$G$444,4,FALSE)</f>
        <v>#N/A</v>
      </c>
      <c r="H56" s="8" t="e">
        <f>VLOOKUP($D56,설문!$C$2:$G$444,5,FALSE)</f>
        <v>#N/A</v>
      </c>
    </row>
    <row r="57" spans="1:8">
      <c r="A57" s="6" t="s">
        <v>660</v>
      </c>
      <c r="B57" s="7" t="s">
        <v>4279</v>
      </c>
      <c r="C57" s="7" t="s">
        <v>4279</v>
      </c>
      <c r="D57" s="7" t="s">
        <v>4280</v>
      </c>
      <c r="E57" s="6" t="s">
        <v>4281</v>
      </c>
      <c r="F57" s="8" t="e">
        <f>VLOOKUP($D57,설문!$C$2:$G$444,3,FALSE)</f>
        <v>#N/A</v>
      </c>
      <c r="G57" s="8" t="e">
        <f>VLOOKUP($D57,설문!$C$2:$G$444,4,FALSE)</f>
        <v>#N/A</v>
      </c>
      <c r="H57" s="8" t="e">
        <f>VLOOKUP($D57,설문!$C$2:$G$444,5,FALSE)</f>
        <v>#N/A</v>
      </c>
    </row>
    <row r="58" spans="1:8">
      <c r="A58" s="6" t="s">
        <v>660</v>
      </c>
      <c r="B58" s="7" t="s">
        <v>1319</v>
      </c>
      <c r="C58" s="7" t="s">
        <v>4282</v>
      </c>
      <c r="D58" s="7" t="s">
        <v>4283</v>
      </c>
      <c r="E58" s="6" t="s">
        <v>4284</v>
      </c>
      <c r="F58" s="8" t="e">
        <f>VLOOKUP($D58,설문!$C$2:$G$444,3,FALSE)</f>
        <v>#N/A</v>
      </c>
      <c r="G58" s="8" t="e">
        <f>VLOOKUP($D58,설문!$C$2:$G$444,4,FALSE)</f>
        <v>#N/A</v>
      </c>
      <c r="H58" s="8" t="e">
        <f>VLOOKUP($D58,설문!$C$2:$G$444,5,FALSE)</f>
        <v>#N/A</v>
      </c>
    </row>
    <row r="59" spans="1:8">
      <c r="A59" s="6" t="s">
        <v>660</v>
      </c>
      <c r="B59" s="7" t="s">
        <v>1319</v>
      </c>
      <c r="C59" s="7" t="s">
        <v>4282</v>
      </c>
      <c r="D59" s="7" t="s">
        <v>4285</v>
      </c>
      <c r="E59" s="6" t="s">
        <v>4284</v>
      </c>
      <c r="F59" s="8" t="e">
        <f>VLOOKUP($D59,설문!$C$2:$G$444,3,FALSE)</f>
        <v>#N/A</v>
      </c>
      <c r="G59" s="8" t="e">
        <f>VLOOKUP($D59,설문!$C$2:$G$444,4,FALSE)</f>
        <v>#N/A</v>
      </c>
      <c r="H59" s="8" t="e">
        <f>VLOOKUP($D59,설문!$C$2:$G$444,5,FALSE)</f>
        <v>#N/A</v>
      </c>
    </row>
    <row r="60" spans="1:8">
      <c r="A60" s="6" t="s">
        <v>660</v>
      </c>
      <c r="B60" s="7" t="s">
        <v>4221</v>
      </c>
      <c r="C60" s="7" t="s">
        <v>4221</v>
      </c>
      <c r="D60" s="7" t="s">
        <v>4286</v>
      </c>
      <c r="E60" s="6" t="s">
        <v>2663</v>
      </c>
      <c r="F60" s="8" t="e">
        <f>VLOOKUP($D60,설문!$C$2:$G$444,3,FALSE)</f>
        <v>#N/A</v>
      </c>
      <c r="G60" s="8" t="e">
        <f>VLOOKUP($D60,설문!$C$2:$G$444,4,FALSE)</f>
        <v>#N/A</v>
      </c>
      <c r="H60" s="8" t="e">
        <f>VLOOKUP($D60,설문!$C$2:$G$444,5,FALSE)</f>
        <v>#N/A</v>
      </c>
    </row>
    <row r="61" spans="1:8">
      <c r="A61" s="6" t="s">
        <v>660</v>
      </c>
      <c r="B61" s="7" t="s">
        <v>4221</v>
      </c>
      <c r="C61" s="7" t="s">
        <v>4221</v>
      </c>
      <c r="D61" s="7" t="s">
        <v>4287</v>
      </c>
      <c r="E61" s="6" t="s">
        <v>3279</v>
      </c>
      <c r="F61" s="8" t="e">
        <f>VLOOKUP($D61,설문!$C$2:$G$444,3,FALSE)</f>
        <v>#N/A</v>
      </c>
      <c r="G61" s="8" t="e">
        <f>VLOOKUP($D61,설문!$C$2:$G$444,4,FALSE)</f>
        <v>#N/A</v>
      </c>
      <c r="H61" s="8" t="e">
        <f>VLOOKUP($D61,설문!$C$2:$G$444,5,FALSE)</f>
        <v>#N/A</v>
      </c>
    </row>
    <row r="62" spans="1:8">
      <c r="A62" s="6" t="s">
        <v>660</v>
      </c>
      <c r="B62" s="7" t="s">
        <v>4221</v>
      </c>
      <c r="C62" s="7" t="s">
        <v>4221</v>
      </c>
      <c r="D62" s="7" t="s">
        <v>4288</v>
      </c>
      <c r="E62" s="6" t="s">
        <v>4289</v>
      </c>
      <c r="F62" s="8" t="e">
        <f>VLOOKUP($D62,설문!$C$2:$G$444,3,FALSE)</f>
        <v>#N/A</v>
      </c>
      <c r="G62" s="8" t="e">
        <f>VLOOKUP($D62,설문!$C$2:$G$444,4,FALSE)</f>
        <v>#N/A</v>
      </c>
      <c r="H62" s="8" t="e">
        <f>VLOOKUP($D62,설문!$C$2:$G$444,5,FALSE)</f>
        <v>#N/A</v>
      </c>
    </row>
    <row r="63" spans="1:8">
      <c r="A63" s="6" t="s">
        <v>660</v>
      </c>
      <c r="B63" s="7" t="s">
        <v>4221</v>
      </c>
      <c r="C63" s="7" t="s">
        <v>4221</v>
      </c>
      <c r="D63" s="7" t="s">
        <v>4290</v>
      </c>
      <c r="E63" s="6" t="s">
        <v>4291</v>
      </c>
      <c r="F63" s="8" t="str">
        <f>VLOOKUP($D63,설문!$C$2:$G$444,3,FALSE)</f>
        <v>백오피스,분석 및 전략</v>
      </c>
      <c r="G63" s="8" t="str">
        <f>VLOOKUP($D63,설문!$C$2:$G$444,4,FALSE)</f>
        <v>금융회사,일반기업고객,개인고객</v>
      </c>
      <c r="H63" s="8" t="str">
        <f>VLOOKUP($D63,설문!$C$2:$G$444,5,FALSE)</f>
        <v>국고채/통안채,회사채,원화 구조화채권,국내주식/지수관련파생</v>
      </c>
    </row>
    <row r="64" spans="1:8">
      <c r="A64" s="6" t="s">
        <v>660</v>
      </c>
      <c r="B64" s="7" t="s">
        <v>606</v>
      </c>
      <c r="C64" s="7" t="s">
        <v>1100</v>
      </c>
      <c r="D64" s="7" t="s">
        <v>4292</v>
      </c>
      <c r="E64" s="6" t="s">
        <v>4293</v>
      </c>
      <c r="F64" s="8" t="e">
        <f>VLOOKUP($D64,설문!$C$2:$G$444,3,FALSE)</f>
        <v>#N/A</v>
      </c>
      <c r="G64" s="8" t="e">
        <f>VLOOKUP($D64,설문!$C$2:$G$444,4,FALSE)</f>
        <v>#N/A</v>
      </c>
      <c r="H64" s="8" t="e">
        <f>VLOOKUP($D64,설문!$C$2:$G$444,5,FALSE)</f>
        <v>#N/A</v>
      </c>
    </row>
    <row r="65" spans="1:8">
      <c r="A65" s="6" t="s">
        <v>660</v>
      </c>
      <c r="B65" s="7" t="s">
        <v>606</v>
      </c>
      <c r="C65" s="7" t="s">
        <v>1100</v>
      </c>
      <c r="D65" s="7" t="s">
        <v>4294</v>
      </c>
      <c r="E65" s="6" t="s">
        <v>4295</v>
      </c>
      <c r="F65" s="8" t="e">
        <f>VLOOKUP($D65,설문!$C$2:$G$444,3,FALSE)</f>
        <v>#N/A</v>
      </c>
      <c r="G65" s="8" t="e">
        <f>VLOOKUP($D65,설문!$C$2:$G$444,4,FALSE)</f>
        <v>#N/A</v>
      </c>
      <c r="H65" s="8" t="e">
        <f>VLOOKUP($D65,설문!$C$2:$G$444,5,FALSE)</f>
        <v>#N/A</v>
      </c>
    </row>
    <row r="66" spans="1:8">
      <c r="A66" s="6" t="s">
        <v>660</v>
      </c>
      <c r="B66" s="7" t="s">
        <v>606</v>
      </c>
      <c r="C66" s="7" t="s">
        <v>1100</v>
      </c>
      <c r="D66" s="7" t="s">
        <v>4296</v>
      </c>
      <c r="E66" s="6" t="s">
        <v>4297</v>
      </c>
      <c r="F66" s="8" t="str">
        <f>VLOOKUP($D66,설문!$C$2:$G$444,3,FALSE)</f>
        <v>펀드매니저,분석 및 전략</v>
      </c>
      <c r="G66" s="8" t="str">
        <f>VLOOKUP($D66,설문!$C$2:$G$444,4,FALSE)</f>
        <v>금융회사</v>
      </c>
      <c r="H66" s="8" t="str">
        <f>VLOOKUP($D66,설문!$C$2:$G$444,5,FALSE)</f>
        <v>국고채/통안채,회사채,단기자금,원화 구조화채권</v>
      </c>
    </row>
    <row r="67" spans="1:8">
      <c r="A67" s="6" t="s">
        <v>660</v>
      </c>
      <c r="B67" s="7" t="s">
        <v>4298</v>
      </c>
      <c r="C67" s="7" t="s">
        <v>4298</v>
      </c>
      <c r="D67" s="7" t="s">
        <v>4299</v>
      </c>
      <c r="E67" s="6" t="s">
        <v>4300</v>
      </c>
      <c r="F67" s="8" t="e">
        <f>VLOOKUP($D67,설문!$C$2:$G$444,3,FALSE)</f>
        <v>#N/A</v>
      </c>
      <c r="G67" s="8" t="e">
        <f>VLOOKUP($D67,설문!$C$2:$G$444,4,FALSE)</f>
        <v>#N/A</v>
      </c>
      <c r="H67" s="8" t="e">
        <f>VLOOKUP($D67,설문!$C$2:$G$444,5,FALSE)</f>
        <v>#N/A</v>
      </c>
    </row>
    <row r="68" spans="1:8">
      <c r="A68" s="6" t="s">
        <v>5306</v>
      </c>
      <c r="B68" s="7" t="s">
        <v>5307</v>
      </c>
      <c r="C68" s="7" t="s">
        <v>5308</v>
      </c>
      <c r="D68" s="7" t="s">
        <v>5309</v>
      </c>
      <c r="E68" s="6" t="s">
        <v>5310</v>
      </c>
      <c r="F68" s="8" t="e">
        <f>VLOOKUP($D68,설문!$C$2:$G$444,3,FALSE)</f>
        <v>#N/A</v>
      </c>
      <c r="G68" s="8" t="e">
        <f>VLOOKUP($D68,설문!$C$2:$G$444,4,FALSE)</f>
        <v>#N/A</v>
      </c>
      <c r="H68" s="8" t="e">
        <f>VLOOKUP($D68,설문!$C$2:$G$444,5,FALSE)</f>
        <v>#N/A</v>
      </c>
    </row>
    <row r="69" spans="1:8">
      <c r="A69" s="6" t="s">
        <v>6</v>
      </c>
      <c r="B69" s="7" t="s">
        <v>7</v>
      </c>
      <c r="C69" s="7" t="s">
        <v>7</v>
      </c>
      <c r="D69" s="7" t="s">
        <v>8</v>
      </c>
      <c r="E69" s="6" t="s">
        <v>10</v>
      </c>
      <c r="F69" s="8" t="e">
        <f>VLOOKUP($D69,설문!$C$2:$G$444,3,FALSE)</f>
        <v>#N/A</v>
      </c>
      <c r="G69" s="8" t="e">
        <f>VLOOKUP($D69,설문!$C$2:$G$444,4,FALSE)</f>
        <v>#N/A</v>
      </c>
      <c r="H69" s="8" t="e">
        <f>VLOOKUP($D69,설문!$C$2:$G$444,5,FALSE)</f>
        <v>#N/A</v>
      </c>
    </row>
    <row r="70" spans="1:8">
      <c r="A70" s="6" t="s">
        <v>6</v>
      </c>
      <c r="B70" s="7" t="s">
        <v>289</v>
      </c>
      <c r="C70" s="7" t="s">
        <v>289</v>
      </c>
      <c r="D70" s="7" t="s">
        <v>290</v>
      </c>
      <c r="E70" s="6" t="s">
        <v>291</v>
      </c>
      <c r="F70" s="8" t="e">
        <f>VLOOKUP($D70,설문!$C$2:$G$444,3,FALSE)</f>
        <v>#N/A</v>
      </c>
      <c r="G70" s="8" t="e">
        <f>VLOOKUP($D70,설문!$C$2:$G$444,4,FALSE)</f>
        <v>#N/A</v>
      </c>
      <c r="H70" s="8" t="e">
        <f>VLOOKUP($D70,설문!$C$2:$G$444,5,FALSE)</f>
        <v>#N/A</v>
      </c>
    </row>
    <row r="71" spans="1:8">
      <c r="A71" s="6" t="s">
        <v>6</v>
      </c>
      <c r="B71" s="7" t="s">
        <v>112</v>
      </c>
      <c r="C71" s="7" t="s">
        <v>112</v>
      </c>
      <c r="D71" s="7" t="s">
        <v>302</v>
      </c>
      <c r="E71" s="6" t="s">
        <v>303</v>
      </c>
      <c r="F71" s="8" t="e">
        <f>VLOOKUP($D71,설문!$C$2:$G$444,3,FALSE)</f>
        <v>#N/A</v>
      </c>
      <c r="G71" s="8" t="e">
        <f>VLOOKUP($D71,설문!$C$2:$G$444,4,FALSE)</f>
        <v>#N/A</v>
      </c>
      <c r="H71" s="8" t="e">
        <f>VLOOKUP($D71,설문!$C$2:$G$444,5,FALSE)</f>
        <v>#N/A</v>
      </c>
    </row>
    <row r="72" spans="1:8">
      <c r="A72" s="6" t="s">
        <v>6</v>
      </c>
      <c r="B72" s="7" t="s">
        <v>316</v>
      </c>
      <c r="C72" s="7" t="s">
        <v>316</v>
      </c>
      <c r="D72" s="7" t="s">
        <v>317</v>
      </c>
      <c r="E72" s="6" t="s">
        <v>318</v>
      </c>
      <c r="F72" s="8" t="e">
        <f>VLOOKUP($D72,설문!$C$2:$G$444,3,FALSE)</f>
        <v>#N/A</v>
      </c>
      <c r="G72" s="8" t="e">
        <f>VLOOKUP($D72,설문!$C$2:$G$444,4,FALSE)</f>
        <v>#N/A</v>
      </c>
      <c r="H72" s="8" t="e">
        <f>VLOOKUP($D72,설문!$C$2:$G$444,5,FALSE)</f>
        <v>#N/A</v>
      </c>
    </row>
    <row r="73" spans="1:8">
      <c r="A73" s="6" t="s">
        <v>6</v>
      </c>
      <c r="B73" s="7" t="s">
        <v>443</v>
      </c>
      <c r="C73" s="7" t="s">
        <v>444</v>
      </c>
      <c r="D73" s="7" t="s">
        <v>445</v>
      </c>
      <c r="E73" s="6" t="s">
        <v>446</v>
      </c>
      <c r="F73" s="8" t="e">
        <f>VLOOKUP($D73,설문!$C$2:$G$444,3,FALSE)</f>
        <v>#N/A</v>
      </c>
      <c r="G73" s="8" t="e">
        <f>VLOOKUP($D73,설문!$C$2:$G$444,4,FALSE)</f>
        <v>#N/A</v>
      </c>
      <c r="H73" s="8" t="e">
        <f>VLOOKUP($D73,설문!$C$2:$G$444,5,FALSE)</f>
        <v>#N/A</v>
      </c>
    </row>
    <row r="74" spans="1:8">
      <c r="A74" s="6" t="s">
        <v>6</v>
      </c>
      <c r="B74" s="7" t="s">
        <v>443</v>
      </c>
      <c r="C74" s="7" t="s">
        <v>444</v>
      </c>
      <c r="D74" s="7" t="s">
        <v>548</v>
      </c>
      <c r="E74" s="6" t="s">
        <v>549</v>
      </c>
      <c r="F74" s="8" t="e">
        <f>VLOOKUP($D74,설문!$C$2:$G$444,3,FALSE)</f>
        <v>#N/A</v>
      </c>
      <c r="G74" s="8" t="e">
        <f>VLOOKUP($D74,설문!$C$2:$G$444,4,FALSE)</f>
        <v>#N/A</v>
      </c>
      <c r="H74" s="8" t="e">
        <f>VLOOKUP($D74,설문!$C$2:$G$444,5,FALSE)</f>
        <v>#N/A</v>
      </c>
    </row>
    <row r="75" spans="1:8">
      <c r="A75" s="6" t="s">
        <v>6</v>
      </c>
      <c r="B75" s="7" t="s">
        <v>623</v>
      </c>
      <c r="C75" s="7" t="s">
        <v>623</v>
      </c>
      <c r="D75" s="7" t="s">
        <v>624</v>
      </c>
      <c r="E75" s="6" t="s">
        <v>625</v>
      </c>
      <c r="F75" s="8" t="e">
        <f>VLOOKUP($D75,설문!$C$2:$G$444,3,FALSE)</f>
        <v>#N/A</v>
      </c>
      <c r="G75" s="8" t="e">
        <f>VLOOKUP($D75,설문!$C$2:$G$444,4,FALSE)</f>
        <v>#N/A</v>
      </c>
      <c r="H75" s="8" t="e">
        <f>VLOOKUP($D75,설문!$C$2:$G$444,5,FALSE)</f>
        <v>#N/A</v>
      </c>
    </row>
    <row r="76" spans="1:8">
      <c r="A76" s="6" t="s">
        <v>6</v>
      </c>
      <c r="B76" s="7" t="s">
        <v>623</v>
      </c>
      <c r="C76" s="7" t="s">
        <v>623</v>
      </c>
      <c r="D76" s="7" t="s">
        <v>626</v>
      </c>
      <c r="E76" s="6" t="s">
        <v>627</v>
      </c>
      <c r="F76" s="8" t="e">
        <f>VLOOKUP($D76,설문!$C$2:$G$444,3,FALSE)</f>
        <v>#N/A</v>
      </c>
      <c r="G76" s="8" t="e">
        <f>VLOOKUP($D76,설문!$C$2:$G$444,4,FALSE)</f>
        <v>#N/A</v>
      </c>
      <c r="H76" s="8" t="e">
        <f>VLOOKUP($D76,설문!$C$2:$G$444,5,FALSE)</f>
        <v>#N/A</v>
      </c>
    </row>
    <row r="77" spans="1:8">
      <c r="A77" s="6" t="s">
        <v>6</v>
      </c>
      <c r="B77" s="7" t="s">
        <v>631</v>
      </c>
      <c r="C77" s="7" t="s">
        <v>632</v>
      </c>
      <c r="D77" s="7" t="s">
        <v>633</v>
      </c>
      <c r="E77" s="6" t="s">
        <v>634</v>
      </c>
      <c r="F77" s="8" t="e">
        <f>VLOOKUP($D77,설문!$C$2:$G$444,3,FALSE)</f>
        <v>#N/A</v>
      </c>
      <c r="G77" s="8" t="e">
        <f>VLOOKUP($D77,설문!$C$2:$G$444,4,FALSE)</f>
        <v>#N/A</v>
      </c>
      <c r="H77" s="8" t="e">
        <f>VLOOKUP($D77,설문!$C$2:$G$444,5,FALSE)</f>
        <v>#N/A</v>
      </c>
    </row>
    <row r="78" spans="1:8">
      <c r="A78" s="6" t="s">
        <v>6</v>
      </c>
      <c r="B78" s="7" t="s">
        <v>635</v>
      </c>
      <c r="C78" s="7" t="s">
        <v>635</v>
      </c>
      <c r="D78" s="7" t="s">
        <v>636</v>
      </c>
      <c r="E78" s="6" t="s">
        <v>637</v>
      </c>
      <c r="F78" s="8" t="str">
        <f>VLOOKUP($D78,설문!$C$2:$G$444,3,FALSE)</f>
        <v>기타,세일즈,백오피스</v>
      </c>
      <c r="G78" s="8" t="str">
        <f>VLOOKUP($D78,설문!$C$2:$G$444,4,FALSE)</f>
        <v>금융회사,일반기업고객,기타</v>
      </c>
      <c r="H78" s="8" t="str">
        <f>VLOOKUP($D78,설문!$C$2:$G$444,5,FALSE)</f>
        <v>회사채,Korean Paper,원화 구조화채권,외화 구조화채권</v>
      </c>
    </row>
    <row r="79" spans="1:8">
      <c r="A79" s="6" t="s">
        <v>6</v>
      </c>
      <c r="B79" s="7" t="s">
        <v>665</v>
      </c>
      <c r="C79" s="7" t="s">
        <v>666</v>
      </c>
      <c r="D79" s="7" t="s">
        <v>667</v>
      </c>
      <c r="E79" s="6" t="s">
        <v>668</v>
      </c>
      <c r="F79" s="8" t="e">
        <f>VLOOKUP($D79,설문!$C$2:$G$444,3,FALSE)</f>
        <v>#N/A</v>
      </c>
      <c r="G79" s="8" t="e">
        <f>VLOOKUP($D79,설문!$C$2:$G$444,4,FALSE)</f>
        <v>#N/A</v>
      </c>
      <c r="H79" s="8" t="e">
        <f>VLOOKUP($D79,설문!$C$2:$G$444,5,FALSE)</f>
        <v>#N/A</v>
      </c>
    </row>
    <row r="80" spans="1:8">
      <c r="A80" s="6" t="s">
        <v>6</v>
      </c>
      <c r="B80" s="7" t="s">
        <v>613</v>
      </c>
      <c r="C80" s="7" t="s">
        <v>613</v>
      </c>
      <c r="D80" s="7" t="s">
        <v>669</v>
      </c>
      <c r="E80" s="6" t="s">
        <v>670</v>
      </c>
      <c r="F80" s="8" t="e">
        <f>VLOOKUP($D80,설문!$C$2:$G$444,3,FALSE)</f>
        <v>#N/A</v>
      </c>
      <c r="G80" s="8" t="e">
        <f>VLOOKUP($D80,설문!$C$2:$G$444,4,FALSE)</f>
        <v>#N/A</v>
      </c>
      <c r="H80" s="8" t="e">
        <f>VLOOKUP($D80,설문!$C$2:$G$444,5,FALSE)</f>
        <v>#N/A</v>
      </c>
    </row>
    <row r="81" spans="1:8">
      <c r="A81" s="6" t="s">
        <v>6</v>
      </c>
      <c r="B81" s="7" t="s">
        <v>635</v>
      </c>
      <c r="C81" s="7" t="s">
        <v>671</v>
      </c>
      <c r="D81" s="7" t="s">
        <v>672</v>
      </c>
      <c r="E81" s="6" t="s">
        <v>673</v>
      </c>
      <c r="F81" s="8" t="e">
        <f>VLOOKUP($D81,설문!$C$2:$G$444,3,FALSE)</f>
        <v>#N/A</v>
      </c>
      <c r="G81" s="8" t="e">
        <f>VLOOKUP($D81,설문!$C$2:$G$444,4,FALSE)</f>
        <v>#N/A</v>
      </c>
      <c r="H81" s="8" t="e">
        <f>VLOOKUP($D81,설문!$C$2:$G$444,5,FALSE)</f>
        <v>#N/A</v>
      </c>
    </row>
    <row r="82" spans="1:8">
      <c r="A82" s="6" t="s">
        <v>6</v>
      </c>
      <c r="B82" s="7" t="s">
        <v>443</v>
      </c>
      <c r="C82" s="7" t="s">
        <v>444</v>
      </c>
      <c r="D82" s="7" t="s">
        <v>693</v>
      </c>
      <c r="E82" s="6" t="s">
        <v>694</v>
      </c>
      <c r="F82" s="8" t="e">
        <f>VLOOKUP($D82,설문!$C$2:$G$444,3,FALSE)</f>
        <v>#N/A</v>
      </c>
      <c r="G82" s="8" t="e">
        <f>VLOOKUP($D82,설문!$C$2:$G$444,4,FALSE)</f>
        <v>#N/A</v>
      </c>
      <c r="H82" s="8" t="e">
        <f>VLOOKUP($D82,설문!$C$2:$G$444,5,FALSE)</f>
        <v>#N/A</v>
      </c>
    </row>
    <row r="83" spans="1:8">
      <c r="A83" s="6" t="s">
        <v>6</v>
      </c>
      <c r="B83" s="7" t="s">
        <v>712</v>
      </c>
      <c r="C83" s="7" t="s">
        <v>713</v>
      </c>
      <c r="D83" s="7" t="s">
        <v>714</v>
      </c>
      <c r="E83" s="6" t="s">
        <v>715</v>
      </c>
      <c r="F83" s="8" t="e">
        <f>VLOOKUP($D83,설문!$C$2:$G$444,3,FALSE)</f>
        <v>#N/A</v>
      </c>
      <c r="G83" s="8" t="e">
        <f>VLOOKUP($D83,설문!$C$2:$G$444,4,FALSE)</f>
        <v>#N/A</v>
      </c>
      <c r="H83" s="8" t="e">
        <f>VLOOKUP($D83,설문!$C$2:$G$444,5,FALSE)</f>
        <v>#N/A</v>
      </c>
    </row>
    <row r="84" spans="1:8">
      <c r="A84" s="6" t="s">
        <v>6</v>
      </c>
      <c r="B84" s="7" t="s">
        <v>895</v>
      </c>
      <c r="C84" s="7" t="s">
        <v>895</v>
      </c>
      <c r="D84" s="7" t="s">
        <v>896</v>
      </c>
      <c r="E84" s="6" t="s">
        <v>897</v>
      </c>
      <c r="F84" s="8" t="e">
        <f>VLOOKUP($D84,설문!$C$2:$G$444,3,FALSE)</f>
        <v>#N/A</v>
      </c>
      <c r="G84" s="8" t="e">
        <f>VLOOKUP($D84,설문!$C$2:$G$444,4,FALSE)</f>
        <v>#N/A</v>
      </c>
      <c r="H84" s="8" t="e">
        <f>VLOOKUP($D84,설문!$C$2:$G$444,5,FALSE)</f>
        <v>#N/A</v>
      </c>
    </row>
    <row r="85" spans="1:8">
      <c r="A85" s="6" t="s">
        <v>6</v>
      </c>
      <c r="B85" s="7" t="s">
        <v>962</v>
      </c>
      <c r="C85" s="7" t="s">
        <v>962</v>
      </c>
      <c r="D85" s="7" t="s">
        <v>963</v>
      </c>
      <c r="E85" s="6" t="s">
        <v>964</v>
      </c>
      <c r="F85" s="8" t="str">
        <f>VLOOKUP($D85,설문!$C$2:$G$444,3,FALSE)</f>
        <v>기타,분석 및 전략</v>
      </c>
      <c r="G85" s="8" t="str">
        <f>VLOOKUP($D85,설문!$C$2:$G$444,4,FALSE)</f>
        <v>기타</v>
      </c>
      <c r="H85" s="8" t="str">
        <f>VLOOKUP($D85,설문!$C$2:$G$444,5,FALSE)</f>
        <v>국내주식/지수,국내주식/지수관련파생,신용파생,원자재파생,ELS/DLS,대체투자(부동산/인프라)</v>
      </c>
    </row>
    <row r="86" spans="1:8">
      <c r="A86" s="6" t="s">
        <v>6</v>
      </c>
      <c r="B86" s="7" t="s">
        <v>613</v>
      </c>
      <c r="C86" s="7" t="s">
        <v>613</v>
      </c>
      <c r="D86" s="7" t="s">
        <v>971</v>
      </c>
      <c r="E86" s="6" t="s">
        <v>972</v>
      </c>
      <c r="F86" s="8" t="e">
        <f>VLOOKUP($D86,설문!$C$2:$G$444,3,FALSE)</f>
        <v>#N/A</v>
      </c>
      <c r="G86" s="8" t="e">
        <f>VLOOKUP($D86,설문!$C$2:$G$444,4,FALSE)</f>
        <v>#N/A</v>
      </c>
      <c r="H86" s="8" t="e">
        <f>VLOOKUP($D86,설문!$C$2:$G$444,5,FALSE)</f>
        <v>#N/A</v>
      </c>
    </row>
    <row r="87" spans="1:8">
      <c r="A87" s="6" t="s">
        <v>6</v>
      </c>
      <c r="B87" s="7" t="s">
        <v>1049</v>
      </c>
      <c r="C87" s="7" t="s">
        <v>1049</v>
      </c>
      <c r="D87" s="7" t="s">
        <v>1050</v>
      </c>
      <c r="E87" s="6" t="s">
        <v>1051</v>
      </c>
      <c r="F87" s="8" t="str">
        <f>VLOOKUP($D87,설문!$C$2:$G$444,3,FALSE)</f>
        <v>트레이더</v>
      </c>
      <c r="G87" s="8" t="str">
        <f>VLOOKUP($D87,설문!$C$2:$G$444,4,FALSE)</f>
        <v>금융회사,일반기업고객</v>
      </c>
      <c r="H87" s="8" t="str">
        <f>VLOOKUP($D87,설문!$C$2:$G$444,5,FALSE)</f>
        <v>국고채/통안채,회사채,국채선물</v>
      </c>
    </row>
    <row r="88" spans="1:8">
      <c r="A88" s="6" t="s">
        <v>6</v>
      </c>
      <c r="B88" s="7" t="s">
        <v>1066</v>
      </c>
      <c r="C88" s="7" t="s">
        <v>1066</v>
      </c>
      <c r="D88" s="7" t="s">
        <v>1067</v>
      </c>
      <c r="E88" s="6" t="s">
        <v>1068</v>
      </c>
      <c r="F88" s="8" t="e">
        <f>VLOOKUP($D88,설문!$C$2:$G$444,3,FALSE)</f>
        <v>#N/A</v>
      </c>
      <c r="G88" s="8" t="e">
        <f>VLOOKUP($D88,설문!$C$2:$G$444,4,FALSE)</f>
        <v>#N/A</v>
      </c>
      <c r="H88" s="8" t="e">
        <f>VLOOKUP($D88,설문!$C$2:$G$444,5,FALSE)</f>
        <v>#N/A</v>
      </c>
    </row>
    <row r="89" spans="1:8">
      <c r="A89" s="6" t="s">
        <v>6</v>
      </c>
      <c r="B89" s="7" t="s">
        <v>1066</v>
      </c>
      <c r="C89" s="7" t="s">
        <v>1066</v>
      </c>
      <c r="D89" s="7" t="s">
        <v>1069</v>
      </c>
      <c r="E89" s="6" t="s">
        <v>1070</v>
      </c>
      <c r="F89" s="8" t="e">
        <f>VLOOKUP($D89,설문!$C$2:$G$444,3,FALSE)</f>
        <v>#N/A</v>
      </c>
      <c r="G89" s="8" t="e">
        <f>VLOOKUP($D89,설문!$C$2:$G$444,4,FALSE)</f>
        <v>#N/A</v>
      </c>
      <c r="H89" s="8" t="e">
        <f>VLOOKUP($D89,설문!$C$2:$G$444,5,FALSE)</f>
        <v>#N/A</v>
      </c>
    </row>
    <row r="90" spans="1:8">
      <c r="A90" s="6" t="s">
        <v>6</v>
      </c>
      <c r="B90" s="7" t="s">
        <v>112</v>
      </c>
      <c r="C90" s="7" t="s">
        <v>112</v>
      </c>
      <c r="D90" s="7" t="s">
        <v>1071</v>
      </c>
      <c r="E90" s="6" t="s">
        <v>1072</v>
      </c>
      <c r="F90" s="8" t="e">
        <f>VLOOKUP($D90,설문!$C$2:$G$444,3,FALSE)</f>
        <v>#N/A</v>
      </c>
      <c r="G90" s="8" t="e">
        <f>VLOOKUP($D90,설문!$C$2:$G$444,4,FALSE)</f>
        <v>#N/A</v>
      </c>
      <c r="H90" s="8" t="e">
        <f>VLOOKUP($D90,설문!$C$2:$G$444,5,FALSE)</f>
        <v>#N/A</v>
      </c>
    </row>
    <row r="91" spans="1:8">
      <c r="A91" s="6" t="s">
        <v>6</v>
      </c>
      <c r="B91" s="7" t="s">
        <v>1089</v>
      </c>
      <c r="C91" s="7" t="s">
        <v>1089</v>
      </c>
      <c r="D91" s="7" t="s">
        <v>1090</v>
      </c>
      <c r="E91" s="6" t="s">
        <v>1091</v>
      </c>
      <c r="F91" s="8" t="e">
        <f>VLOOKUP($D91,설문!$C$2:$G$444,3,FALSE)</f>
        <v>#N/A</v>
      </c>
      <c r="G91" s="8" t="e">
        <f>VLOOKUP($D91,설문!$C$2:$G$444,4,FALSE)</f>
        <v>#N/A</v>
      </c>
      <c r="H91" s="8" t="e">
        <f>VLOOKUP($D91,설문!$C$2:$G$444,5,FALSE)</f>
        <v>#N/A</v>
      </c>
    </row>
    <row r="92" spans="1:8">
      <c r="A92" s="6" t="s">
        <v>6</v>
      </c>
      <c r="B92" s="7" t="s">
        <v>162</v>
      </c>
      <c r="C92" s="7" t="s">
        <v>162</v>
      </c>
      <c r="D92" s="7" t="s">
        <v>1102</v>
      </c>
      <c r="E92" s="6" t="s">
        <v>1103</v>
      </c>
      <c r="F92" s="8" t="e">
        <f>VLOOKUP($D92,설문!$C$2:$G$444,3,FALSE)</f>
        <v>#N/A</v>
      </c>
      <c r="G92" s="8" t="e">
        <f>VLOOKUP($D92,설문!$C$2:$G$444,4,FALSE)</f>
        <v>#N/A</v>
      </c>
      <c r="H92" s="8" t="e">
        <f>VLOOKUP($D92,설문!$C$2:$G$444,5,FALSE)</f>
        <v>#N/A</v>
      </c>
    </row>
    <row r="93" spans="1:8">
      <c r="A93" s="6" t="s">
        <v>6</v>
      </c>
      <c r="B93" s="7" t="s">
        <v>1089</v>
      </c>
      <c r="C93" s="7" t="s">
        <v>1089</v>
      </c>
      <c r="D93" s="7" t="s">
        <v>1111</v>
      </c>
      <c r="E93" s="6" t="s">
        <v>1112</v>
      </c>
      <c r="F93" s="8" t="str">
        <f>VLOOKUP($D93,설문!$C$2:$G$444,3,FALSE)</f>
        <v>세일즈,분석 및 전략</v>
      </c>
      <c r="G93" s="8" t="str">
        <f>VLOOKUP($D93,설문!$C$2:$G$444,4,FALSE)</f>
        <v>금융회사,일반기업고객,개인고객</v>
      </c>
      <c r="H93" s="8" t="str">
        <f>VLOOKUP($D93,설문!$C$2:$G$444,5,FALSE)</f>
        <v>단기자금,외화 이자율스왑,CRS &amp; FX Option,신용파생,ELW,ELS/DLS,대체투자(부동산/인프라)</v>
      </c>
    </row>
    <row r="94" spans="1:8">
      <c r="A94" s="6" t="s">
        <v>6</v>
      </c>
      <c r="B94" s="7" t="s">
        <v>1089</v>
      </c>
      <c r="C94" s="7" t="s">
        <v>1089</v>
      </c>
      <c r="D94" s="7" t="s">
        <v>1113</v>
      </c>
      <c r="E94" s="6" t="s">
        <v>1114</v>
      </c>
      <c r="F94" s="8" t="e">
        <f>VLOOKUP($D94,설문!$C$2:$G$444,3,FALSE)</f>
        <v>#N/A</v>
      </c>
      <c r="G94" s="8" t="e">
        <f>VLOOKUP($D94,설문!$C$2:$G$444,4,FALSE)</f>
        <v>#N/A</v>
      </c>
      <c r="H94" s="8" t="e">
        <f>VLOOKUP($D94,설문!$C$2:$G$444,5,FALSE)</f>
        <v>#N/A</v>
      </c>
    </row>
    <row r="95" spans="1:8">
      <c r="A95" s="6" t="s">
        <v>6</v>
      </c>
      <c r="B95" s="7" t="s">
        <v>1128</v>
      </c>
      <c r="C95" s="7" t="s">
        <v>1128</v>
      </c>
      <c r="D95" s="7" t="s">
        <v>1129</v>
      </c>
      <c r="E95" s="6" t="s">
        <v>1130</v>
      </c>
      <c r="F95" s="8" t="e">
        <f>VLOOKUP($D95,설문!$C$2:$G$444,3,FALSE)</f>
        <v>#N/A</v>
      </c>
      <c r="G95" s="8" t="e">
        <f>VLOOKUP($D95,설문!$C$2:$G$444,4,FALSE)</f>
        <v>#N/A</v>
      </c>
      <c r="H95" s="8" t="e">
        <f>VLOOKUP($D95,설문!$C$2:$G$444,5,FALSE)</f>
        <v>#N/A</v>
      </c>
    </row>
    <row r="96" spans="1:8">
      <c r="A96" s="6" t="s">
        <v>6</v>
      </c>
      <c r="B96" s="7" t="s">
        <v>1145</v>
      </c>
      <c r="C96" s="7" t="s">
        <v>1145</v>
      </c>
      <c r="D96" s="7" t="s">
        <v>1146</v>
      </c>
      <c r="E96" s="6" t="s">
        <v>1147</v>
      </c>
      <c r="F96" s="8" t="e">
        <f>VLOOKUP($D96,설문!$C$2:$G$444,3,FALSE)</f>
        <v>#N/A</v>
      </c>
      <c r="G96" s="8" t="e">
        <f>VLOOKUP($D96,설문!$C$2:$G$444,4,FALSE)</f>
        <v>#N/A</v>
      </c>
      <c r="H96" s="8" t="e">
        <f>VLOOKUP($D96,설문!$C$2:$G$444,5,FALSE)</f>
        <v>#N/A</v>
      </c>
    </row>
    <row r="97" spans="1:8">
      <c r="A97" s="6" t="s">
        <v>6</v>
      </c>
      <c r="B97" s="7" t="s">
        <v>635</v>
      </c>
      <c r="C97" s="7" t="s">
        <v>635</v>
      </c>
      <c r="D97" s="7" t="s">
        <v>1185</v>
      </c>
      <c r="E97" s="6" t="s">
        <v>1186</v>
      </c>
      <c r="F97" s="8" t="e">
        <f>VLOOKUP($D97,설문!$C$2:$G$444,3,FALSE)</f>
        <v>#N/A</v>
      </c>
      <c r="G97" s="8" t="e">
        <f>VLOOKUP($D97,설문!$C$2:$G$444,4,FALSE)</f>
        <v>#N/A</v>
      </c>
      <c r="H97" s="8" t="e">
        <f>VLOOKUP($D97,설문!$C$2:$G$444,5,FALSE)</f>
        <v>#N/A</v>
      </c>
    </row>
    <row r="98" spans="1:8">
      <c r="A98" s="6" t="s">
        <v>6</v>
      </c>
      <c r="B98" s="7" t="s">
        <v>1066</v>
      </c>
      <c r="C98" s="7" t="s">
        <v>1066</v>
      </c>
      <c r="D98" s="7" t="s">
        <v>1253</v>
      </c>
      <c r="E98" s="6" t="s">
        <v>1254</v>
      </c>
      <c r="F98" s="8" t="e">
        <f>VLOOKUP($D98,설문!$C$2:$G$444,3,FALSE)</f>
        <v>#N/A</v>
      </c>
      <c r="G98" s="8" t="e">
        <f>VLOOKUP($D98,설문!$C$2:$G$444,4,FALSE)</f>
        <v>#N/A</v>
      </c>
      <c r="H98" s="8" t="e">
        <f>VLOOKUP($D98,설문!$C$2:$G$444,5,FALSE)</f>
        <v>#N/A</v>
      </c>
    </row>
    <row r="99" spans="1:8">
      <c r="A99" s="6" t="s">
        <v>6</v>
      </c>
      <c r="B99" s="7" t="s">
        <v>443</v>
      </c>
      <c r="C99" s="7" t="s">
        <v>443</v>
      </c>
      <c r="D99" s="7" t="s">
        <v>1352</v>
      </c>
      <c r="E99" s="6" t="s">
        <v>1353</v>
      </c>
      <c r="F99" s="8" t="e">
        <f>VLOOKUP($D99,설문!$C$2:$G$444,3,FALSE)</f>
        <v>#N/A</v>
      </c>
      <c r="G99" s="8" t="e">
        <f>VLOOKUP($D99,설문!$C$2:$G$444,4,FALSE)</f>
        <v>#N/A</v>
      </c>
      <c r="H99" s="8" t="e">
        <f>VLOOKUP($D99,설문!$C$2:$G$444,5,FALSE)</f>
        <v>#N/A</v>
      </c>
    </row>
    <row r="100" spans="1:8">
      <c r="A100" s="6" t="s">
        <v>6</v>
      </c>
      <c r="B100" s="7" t="s">
        <v>1481</v>
      </c>
      <c r="C100" s="7" t="s">
        <v>1482</v>
      </c>
      <c r="D100" s="7" t="s">
        <v>1483</v>
      </c>
      <c r="E100" s="6" t="s">
        <v>1484</v>
      </c>
      <c r="F100" s="8" t="e">
        <f>VLOOKUP($D100,설문!$C$2:$G$444,3,FALSE)</f>
        <v>#N/A</v>
      </c>
      <c r="G100" s="8" t="e">
        <f>VLOOKUP($D100,설문!$C$2:$G$444,4,FALSE)</f>
        <v>#N/A</v>
      </c>
      <c r="H100" s="8" t="e">
        <f>VLOOKUP($D100,설문!$C$2:$G$444,5,FALSE)</f>
        <v>#N/A</v>
      </c>
    </row>
    <row r="101" spans="1:8">
      <c r="A101" s="6" t="s">
        <v>6</v>
      </c>
      <c r="B101" s="7" t="s">
        <v>1089</v>
      </c>
      <c r="C101" s="7" t="s">
        <v>1089</v>
      </c>
      <c r="D101" s="7" t="s">
        <v>1520</v>
      </c>
      <c r="E101" s="6" t="s">
        <v>1521</v>
      </c>
      <c r="F101" s="8" t="str">
        <f>VLOOKUP($D101,설문!$C$2:$G$444,3,FALSE)</f>
        <v>세일즈</v>
      </c>
      <c r="G101" s="8" t="str">
        <f>VLOOKUP($D101,설문!$C$2:$G$444,4,FALSE)</f>
        <v>금융회사,일반기업고객</v>
      </c>
      <c r="H101" s="8" t="str">
        <f>VLOOKUP($D101,설문!$C$2:$G$444,5,FALSE)</f>
        <v>국내주식/지수,국고채/통안채</v>
      </c>
    </row>
    <row r="102" spans="1:8">
      <c r="A102" s="6" t="s">
        <v>6</v>
      </c>
      <c r="B102" s="7" t="s">
        <v>712</v>
      </c>
      <c r="C102" s="7" t="s">
        <v>1586</v>
      </c>
      <c r="D102" s="7" t="s">
        <v>1587</v>
      </c>
      <c r="E102" s="6" t="s">
        <v>1588</v>
      </c>
      <c r="F102" s="8" t="e">
        <f>VLOOKUP($D102,설문!$C$2:$G$444,3,FALSE)</f>
        <v>#N/A</v>
      </c>
      <c r="G102" s="8" t="e">
        <f>VLOOKUP($D102,설문!$C$2:$G$444,4,FALSE)</f>
        <v>#N/A</v>
      </c>
      <c r="H102" s="8" t="e">
        <f>VLOOKUP($D102,설문!$C$2:$G$444,5,FALSE)</f>
        <v>#N/A</v>
      </c>
    </row>
    <row r="103" spans="1:8">
      <c r="A103" s="6" t="s">
        <v>6</v>
      </c>
      <c r="B103" s="7" t="s">
        <v>443</v>
      </c>
      <c r="C103" s="7" t="s">
        <v>443</v>
      </c>
      <c r="D103" s="7" t="s">
        <v>1666</v>
      </c>
      <c r="E103" s="6" t="s">
        <v>1667</v>
      </c>
      <c r="F103" s="8" t="str">
        <f>VLOOKUP($D103,설문!$C$2:$G$444,3,FALSE)</f>
        <v>트레이더</v>
      </c>
      <c r="G103" s="8" t="str">
        <f>VLOOKUP($D103,설문!$C$2:$G$444,4,FALSE)</f>
        <v>금융회사</v>
      </c>
      <c r="H103" s="8" t="str">
        <f>VLOOKUP($D103,설문!$C$2:$G$444,5,FALSE)</f>
        <v>국내주식/지수,국내주식/지수관련파생,해외주식/지수,해외주식/지수관련파생,ETF/ETN,ELW,ELS/DLS</v>
      </c>
    </row>
    <row r="104" spans="1:8">
      <c r="A104" s="6" t="s">
        <v>6</v>
      </c>
      <c r="B104" s="7" t="s">
        <v>1481</v>
      </c>
      <c r="C104" s="7" t="s">
        <v>1482</v>
      </c>
      <c r="D104" s="7" t="s">
        <v>1682</v>
      </c>
      <c r="E104" s="6" t="s">
        <v>1683</v>
      </c>
      <c r="F104" s="8" t="e">
        <f>VLOOKUP($D104,설문!$C$2:$G$444,3,FALSE)</f>
        <v>#N/A</v>
      </c>
      <c r="G104" s="8" t="e">
        <f>VLOOKUP($D104,설문!$C$2:$G$444,4,FALSE)</f>
        <v>#N/A</v>
      </c>
      <c r="H104" s="8" t="e">
        <f>VLOOKUP($D104,설문!$C$2:$G$444,5,FALSE)</f>
        <v>#N/A</v>
      </c>
    </row>
    <row r="105" spans="1:8">
      <c r="A105" s="6" t="s">
        <v>6</v>
      </c>
      <c r="B105" s="7" t="s">
        <v>1481</v>
      </c>
      <c r="C105" s="7" t="s">
        <v>1482</v>
      </c>
      <c r="D105" s="7" t="s">
        <v>1789</v>
      </c>
      <c r="E105" s="6" t="s">
        <v>1790</v>
      </c>
      <c r="F105" s="8" t="str">
        <f>VLOOKUP($D105,설문!$C$2:$G$444,3,FALSE)</f>
        <v>펀드매니저</v>
      </c>
      <c r="G105" s="8" t="str">
        <f>VLOOKUP($D105,설문!$C$2:$G$444,4,FALSE)</f>
        <v>금융회사,일반기업고객,개인고객</v>
      </c>
      <c r="H105" s="8" t="str">
        <f>VLOOKUP($D105,설문!$C$2:$G$444,5,FALSE)</f>
        <v>국내주식/지수,국고채/통안채,회사채,단기자금,ETF/ETN,ELS/DLS,대체투자(부동산/인프라)</v>
      </c>
    </row>
    <row r="106" spans="1:8">
      <c r="A106" s="6" t="s">
        <v>6</v>
      </c>
      <c r="B106" s="7" t="s">
        <v>1794</v>
      </c>
      <c r="C106" s="7" t="s">
        <v>1794</v>
      </c>
      <c r="D106" s="7" t="s">
        <v>1795</v>
      </c>
      <c r="E106" s="6" t="s">
        <v>1796</v>
      </c>
      <c r="F106" s="8" t="e">
        <f>VLOOKUP($D106,설문!$C$2:$G$444,3,FALSE)</f>
        <v>#N/A</v>
      </c>
      <c r="G106" s="8" t="e">
        <f>VLOOKUP($D106,설문!$C$2:$G$444,4,FALSE)</f>
        <v>#N/A</v>
      </c>
      <c r="H106" s="8" t="e">
        <f>VLOOKUP($D106,설문!$C$2:$G$444,5,FALSE)</f>
        <v>#N/A</v>
      </c>
    </row>
    <row r="107" spans="1:8">
      <c r="A107" s="6" t="s">
        <v>6</v>
      </c>
      <c r="B107" s="7" t="s">
        <v>1671</v>
      </c>
      <c r="C107" s="7" t="s">
        <v>1671</v>
      </c>
      <c r="D107" s="7" t="s">
        <v>1825</v>
      </c>
      <c r="E107" s="6" t="s">
        <v>1826</v>
      </c>
      <c r="F107" s="8" t="e">
        <f>VLOOKUP($D107,설문!$C$2:$G$444,3,FALSE)</f>
        <v>#N/A</v>
      </c>
      <c r="G107" s="8" t="e">
        <f>VLOOKUP($D107,설문!$C$2:$G$444,4,FALSE)</f>
        <v>#N/A</v>
      </c>
      <c r="H107" s="8" t="e">
        <f>VLOOKUP($D107,설문!$C$2:$G$444,5,FALSE)</f>
        <v>#N/A</v>
      </c>
    </row>
    <row r="108" spans="1:8">
      <c r="A108" s="6" t="s">
        <v>6</v>
      </c>
      <c r="B108" s="7" t="s">
        <v>112</v>
      </c>
      <c r="C108" s="7" t="s">
        <v>112</v>
      </c>
      <c r="D108" s="7" t="s">
        <v>1844</v>
      </c>
      <c r="E108" s="6" t="s">
        <v>1845</v>
      </c>
      <c r="F108" s="8" t="e">
        <f>VLOOKUP($D108,설문!$C$2:$G$444,3,FALSE)</f>
        <v>#N/A</v>
      </c>
      <c r="G108" s="8" t="e">
        <f>VLOOKUP($D108,설문!$C$2:$G$444,4,FALSE)</f>
        <v>#N/A</v>
      </c>
      <c r="H108" s="8" t="e">
        <f>VLOOKUP($D108,설문!$C$2:$G$444,5,FALSE)</f>
        <v>#N/A</v>
      </c>
    </row>
    <row r="109" spans="1:8">
      <c r="A109" s="6" t="s">
        <v>6</v>
      </c>
      <c r="B109" s="7" t="s">
        <v>606</v>
      </c>
      <c r="C109" s="7" t="s">
        <v>606</v>
      </c>
      <c r="D109" s="7" t="s">
        <v>1869</v>
      </c>
      <c r="E109" s="6" t="s">
        <v>1870</v>
      </c>
      <c r="F109" s="8" t="e">
        <f>VLOOKUP($D109,설문!$C$2:$G$444,3,FALSE)</f>
        <v>#N/A</v>
      </c>
      <c r="G109" s="8" t="e">
        <f>VLOOKUP($D109,설문!$C$2:$G$444,4,FALSE)</f>
        <v>#N/A</v>
      </c>
      <c r="H109" s="8" t="e">
        <f>VLOOKUP($D109,설문!$C$2:$G$444,5,FALSE)</f>
        <v>#N/A</v>
      </c>
    </row>
    <row r="110" spans="1:8">
      <c r="A110" s="6" t="s">
        <v>6</v>
      </c>
      <c r="B110" s="7" t="s">
        <v>606</v>
      </c>
      <c r="C110" s="7" t="s">
        <v>606</v>
      </c>
      <c r="D110" s="7" t="s">
        <v>1871</v>
      </c>
      <c r="E110" s="6" t="s">
        <v>1872</v>
      </c>
      <c r="F110" s="8" t="e">
        <f>VLOOKUP($D110,설문!$C$2:$G$444,3,FALSE)</f>
        <v>#N/A</v>
      </c>
      <c r="G110" s="8" t="e">
        <f>VLOOKUP($D110,설문!$C$2:$G$444,4,FALSE)</f>
        <v>#N/A</v>
      </c>
      <c r="H110" s="8" t="e">
        <f>VLOOKUP($D110,설문!$C$2:$G$444,5,FALSE)</f>
        <v>#N/A</v>
      </c>
    </row>
    <row r="111" spans="1:8">
      <c r="A111" s="6" t="s">
        <v>6</v>
      </c>
      <c r="B111" s="7" t="s">
        <v>443</v>
      </c>
      <c r="C111" s="7" t="s">
        <v>443</v>
      </c>
      <c r="D111" s="7" t="s">
        <v>1944</v>
      </c>
      <c r="E111" s="6" t="s">
        <v>1945</v>
      </c>
      <c r="F111" s="8" t="e">
        <f>VLOOKUP($D111,설문!$C$2:$G$444,3,FALSE)</f>
        <v>#N/A</v>
      </c>
      <c r="G111" s="8" t="e">
        <f>VLOOKUP($D111,설문!$C$2:$G$444,4,FALSE)</f>
        <v>#N/A</v>
      </c>
      <c r="H111" s="8" t="e">
        <f>VLOOKUP($D111,설문!$C$2:$G$444,5,FALSE)</f>
        <v>#N/A</v>
      </c>
    </row>
    <row r="112" spans="1:8">
      <c r="A112" s="6" t="s">
        <v>6</v>
      </c>
      <c r="B112" s="7" t="s">
        <v>5311</v>
      </c>
      <c r="C112" s="7" t="s">
        <v>5311</v>
      </c>
      <c r="D112" s="7" t="s">
        <v>5312</v>
      </c>
      <c r="E112" s="6" t="s">
        <v>5313</v>
      </c>
      <c r="F112" s="8" t="e">
        <f>VLOOKUP($D112,설문!$C$2:$G$444,3,FALSE)</f>
        <v>#N/A</v>
      </c>
      <c r="G112" s="8" t="e">
        <f>VLOOKUP($D112,설문!$C$2:$G$444,4,FALSE)</f>
        <v>#N/A</v>
      </c>
      <c r="H112" s="8" t="e">
        <f>VLOOKUP($D112,설문!$C$2:$G$444,5,FALSE)</f>
        <v>#N/A</v>
      </c>
    </row>
    <row r="113" spans="1:8">
      <c r="A113" s="6" t="s">
        <v>6</v>
      </c>
      <c r="B113" s="7" t="s">
        <v>613</v>
      </c>
      <c r="C113" s="7" t="s">
        <v>613</v>
      </c>
      <c r="D113" s="7" t="s">
        <v>5314</v>
      </c>
      <c r="E113" s="6" t="s">
        <v>5315</v>
      </c>
      <c r="F113" s="8" t="str">
        <f>VLOOKUP($D113,설문!$C$2:$G$444,3,FALSE)</f>
        <v>트레이더</v>
      </c>
      <c r="G113" s="8" t="str">
        <f>VLOOKUP($D113,설문!$C$2:$G$444,4,FALSE)</f>
        <v>금융회사,금융 유관기관</v>
      </c>
      <c r="H113" s="8" t="str">
        <f>VLOOKUP($D113,설문!$C$2:$G$444,5,FALSE)</f>
        <v>국내주식/지수</v>
      </c>
    </row>
    <row r="114" spans="1:8">
      <c r="A114" s="6" t="s">
        <v>6</v>
      </c>
      <c r="B114" s="7" t="s">
        <v>5316</v>
      </c>
      <c r="C114" s="7" t="s">
        <v>5316</v>
      </c>
      <c r="D114" s="7" t="s">
        <v>5317</v>
      </c>
      <c r="E114" s="6" t="s">
        <v>5318</v>
      </c>
      <c r="F114" s="8" t="e">
        <f>VLOOKUP($D114,설문!$C$2:$G$444,3,FALSE)</f>
        <v>#N/A</v>
      </c>
      <c r="G114" s="8" t="e">
        <f>VLOOKUP($D114,설문!$C$2:$G$444,4,FALSE)</f>
        <v>#N/A</v>
      </c>
      <c r="H114" s="8" t="e">
        <f>VLOOKUP($D114,설문!$C$2:$G$444,5,FALSE)</f>
        <v>#N/A</v>
      </c>
    </row>
    <row r="115" spans="1:8">
      <c r="A115" s="6" t="s">
        <v>6</v>
      </c>
      <c r="B115" s="7" t="s">
        <v>112</v>
      </c>
      <c r="C115" s="7" t="s">
        <v>112</v>
      </c>
      <c r="D115" s="7" t="s">
        <v>5319</v>
      </c>
      <c r="E115" s="6" t="s">
        <v>5320</v>
      </c>
      <c r="F115" s="8" t="e">
        <f>VLOOKUP($D115,설문!$C$2:$G$444,3,FALSE)</f>
        <v>#N/A</v>
      </c>
      <c r="G115" s="8" t="e">
        <f>VLOOKUP($D115,설문!$C$2:$G$444,4,FALSE)</f>
        <v>#N/A</v>
      </c>
      <c r="H115" s="8" t="e">
        <f>VLOOKUP($D115,설문!$C$2:$G$444,5,FALSE)</f>
        <v>#N/A</v>
      </c>
    </row>
    <row r="116" spans="1:8">
      <c r="A116" s="6" t="s">
        <v>6</v>
      </c>
      <c r="B116" s="7" t="s">
        <v>112</v>
      </c>
      <c r="C116" s="7" t="s">
        <v>112</v>
      </c>
      <c r="D116" s="7" t="s">
        <v>5321</v>
      </c>
      <c r="E116" s="6" t="s">
        <v>5322</v>
      </c>
      <c r="F116" s="8" t="e">
        <f>VLOOKUP($D116,설문!$C$2:$G$444,3,FALSE)</f>
        <v>#N/A</v>
      </c>
      <c r="G116" s="8" t="e">
        <f>VLOOKUP($D116,설문!$C$2:$G$444,4,FALSE)</f>
        <v>#N/A</v>
      </c>
      <c r="H116" s="8" t="e">
        <f>VLOOKUP($D116,설문!$C$2:$G$444,5,FALSE)</f>
        <v>#N/A</v>
      </c>
    </row>
    <row r="117" spans="1:8">
      <c r="A117" s="6" t="s">
        <v>6</v>
      </c>
      <c r="B117" s="7" t="s">
        <v>112</v>
      </c>
      <c r="C117" s="7" t="s">
        <v>112</v>
      </c>
      <c r="D117" s="7" t="s">
        <v>5323</v>
      </c>
      <c r="E117" s="6" t="s">
        <v>5324</v>
      </c>
      <c r="F117" s="8" t="e">
        <f>VLOOKUP($D117,설문!$C$2:$G$444,3,FALSE)</f>
        <v>#N/A</v>
      </c>
      <c r="G117" s="8" t="e">
        <f>VLOOKUP($D117,설문!$C$2:$G$444,4,FALSE)</f>
        <v>#N/A</v>
      </c>
      <c r="H117" s="8" t="e">
        <f>VLOOKUP($D117,설문!$C$2:$G$444,5,FALSE)</f>
        <v>#N/A</v>
      </c>
    </row>
    <row r="118" spans="1:8">
      <c r="A118" s="6" t="s">
        <v>6</v>
      </c>
      <c r="B118" s="7" t="s">
        <v>665</v>
      </c>
      <c r="C118" s="7" t="s">
        <v>666</v>
      </c>
      <c r="D118" s="7" t="s">
        <v>5325</v>
      </c>
      <c r="E118" s="6" t="s">
        <v>5326</v>
      </c>
      <c r="F118" s="8" t="e">
        <f>VLOOKUP($D118,설문!$C$2:$G$444,3,FALSE)</f>
        <v>#N/A</v>
      </c>
      <c r="G118" s="8" t="e">
        <f>VLOOKUP($D118,설문!$C$2:$G$444,4,FALSE)</f>
        <v>#N/A</v>
      </c>
      <c r="H118" s="8" t="e">
        <f>VLOOKUP($D118,설문!$C$2:$G$444,5,FALSE)</f>
        <v>#N/A</v>
      </c>
    </row>
    <row r="119" spans="1:8">
      <c r="A119" s="6" t="s">
        <v>6</v>
      </c>
      <c r="B119" s="7" t="s">
        <v>112</v>
      </c>
      <c r="C119" s="7" t="s">
        <v>112</v>
      </c>
      <c r="D119" s="7" t="s">
        <v>5327</v>
      </c>
      <c r="E119" s="6" t="s">
        <v>3358</v>
      </c>
      <c r="F119" s="8" t="e">
        <f>VLOOKUP($D119,설문!$C$2:$G$444,3,FALSE)</f>
        <v>#N/A</v>
      </c>
      <c r="G119" s="8" t="e">
        <f>VLOOKUP($D119,설문!$C$2:$G$444,4,FALSE)</f>
        <v>#N/A</v>
      </c>
      <c r="H119" s="8" t="e">
        <f>VLOOKUP($D119,설문!$C$2:$G$444,5,FALSE)</f>
        <v>#N/A</v>
      </c>
    </row>
    <row r="120" spans="1:8">
      <c r="A120" s="6" t="s">
        <v>6</v>
      </c>
      <c r="B120" s="7" t="s">
        <v>112</v>
      </c>
      <c r="C120" s="7" t="s">
        <v>112</v>
      </c>
      <c r="D120" s="7" t="s">
        <v>5328</v>
      </c>
      <c r="E120" s="6" t="s">
        <v>5329</v>
      </c>
      <c r="F120" s="8" t="e">
        <f>VLOOKUP($D120,설문!$C$2:$G$444,3,FALSE)</f>
        <v>#N/A</v>
      </c>
      <c r="G120" s="8" t="e">
        <f>VLOOKUP($D120,설문!$C$2:$G$444,4,FALSE)</f>
        <v>#N/A</v>
      </c>
      <c r="H120" s="8" t="e">
        <f>VLOOKUP($D120,설문!$C$2:$G$444,5,FALSE)</f>
        <v>#N/A</v>
      </c>
    </row>
    <row r="121" spans="1:8">
      <c r="A121" s="6" t="s">
        <v>6</v>
      </c>
      <c r="B121" s="7" t="s">
        <v>1145</v>
      </c>
      <c r="C121" s="7" t="s">
        <v>1145</v>
      </c>
      <c r="D121" s="7" t="s">
        <v>5330</v>
      </c>
      <c r="E121" s="6" t="s">
        <v>5331</v>
      </c>
      <c r="F121" s="8" t="e">
        <f>VLOOKUP($D121,설문!$C$2:$G$444,3,FALSE)</f>
        <v>#N/A</v>
      </c>
      <c r="G121" s="8" t="e">
        <f>VLOOKUP($D121,설문!$C$2:$G$444,4,FALSE)</f>
        <v>#N/A</v>
      </c>
      <c r="H121" s="8" t="e">
        <f>VLOOKUP($D121,설문!$C$2:$G$444,5,FALSE)</f>
        <v>#N/A</v>
      </c>
    </row>
    <row r="122" spans="1:8">
      <c r="A122" s="6" t="s">
        <v>6</v>
      </c>
      <c r="B122" s="7" t="s">
        <v>1794</v>
      </c>
      <c r="C122" s="7" t="s">
        <v>1794</v>
      </c>
      <c r="D122" s="7" t="s">
        <v>5332</v>
      </c>
      <c r="E122" s="6" t="s">
        <v>5333</v>
      </c>
      <c r="F122" s="8" t="e">
        <f>VLOOKUP($D122,설문!$C$2:$G$444,3,FALSE)</f>
        <v>#N/A</v>
      </c>
      <c r="G122" s="8" t="e">
        <f>VLOOKUP($D122,설문!$C$2:$G$444,4,FALSE)</f>
        <v>#N/A</v>
      </c>
      <c r="H122" s="8" t="e">
        <f>VLOOKUP($D122,설문!$C$2:$G$444,5,FALSE)</f>
        <v>#N/A</v>
      </c>
    </row>
    <row r="123" spans="1:8">
      <c r="A123" s="6" t="s">
        <v>6</v>
      </c>
      <c r="B123" s="7" t="s">
        <v>1794</v>
      </c>
      <c r="C123" s="7" t="s">
        <v>1794</v>
      </c>
      <c r="D123" s="7" t="s">
        <v>5334</v>
      </c>
      <c r="E123" s="6" t="s">
        <v>5335</v>
      </c>
      <c r="F123" s="8" t="e">
        <f>VLOOKUP($D123,설문!$C$2:$G$444,3,FALSE)</f>
        <v>#N/A</v>
      </c>
      <c r="G123" s="8" t="e">
        <f>VLOOKUP($D123,설문!$C$2:$G$444,4,FALSE)</f>
        <v>#N/A</v>
      </c>
      <c r="H123" s="8" t="e">
        <f>VLOOKUP($D123,설문!$C$2:$G$444,5,FALSE)</f>
        <v>#N/A</v>
      </c>
    </row>
    <row r="124" spans="1:8">
      <c r="A124" s="6" t="s">
        <v>6</v>
      </c>
      <c r="B124" s="7" t="s">
        <v>1794</v>
      </c>
      <c r="C124" s="7" t="s">
        <v>1794</v>
      </c>
      <c r="D124" s="7" t="s">
        <v>5336</v>
      </c>
      <c r="E124" s="6" t="s">
        <v>5337</v>
      </c>
      <c r="F124" s="8" t="str">
        <f>VLOOKUP($D124,설문!$C$2:$G$444,3,FALSE)</f>
        <v>트레이더</v>
      </c>
      <c r="G124" s="8" t="str">
        <f>VLOOKUP($D124,설문!$C$2:$G$444,4,FALSE)</f>
        <v>금융회사</v>
      </c>
      <c r="H124" s="8" t="str">
        <f>VLOOKUP($D124,설문!$C$2:$G$444,5,FALSE)</f>
        <v>원화 이자율스왑,외화 이자율스왑,FX Spot &amp; FX Swap</v>
      </c>
    </row>
    <row r="125" spans="1:8">
      <c r="A125" s="6" t="s">
        <v>6</v>
      </c>
      <c r="B125" s="7" t="s">
        <v>443</v>
      </c>
      <c r="C125" s="7" t="s">
        <v>443</v>
      </c>
      <c r="D125" s="7" t="s">
        <v>5338</v>
      </c>
      <c r="E125" s="6" t="s">
        <v>5339</v>
      </c>
      <c r="F125" s="8" t="e">
        <f>VLOOKUP($D125,설문!$C$2:$G$444,3,FALSE)</f>
        <v>#N/A</v>
      </c>
      <c r="G125" s="8" t="e">
        <f>VLOOKUP($D125,설문!$C$2:$G$444,4,FALSE)</f>
        <v>#N/A</v>
      </c>
      <c r="H125" s="8" t="e">
        <f>VLOOKUP($D125,설문!$C$2:$G$444,5,FALSE)</f>
        <v>#N/A</v>
      </c>
    </row>
    <row r="126" spans="1:8">
      <c r="A126" s="6" t="s">
        <v>6</v>
      </c>
      <c r="B126" s="7" t="s">
        <v>443</v>
      </c>
      <c r="C126" s="7" t="s">
        <v>443</v>
      </c>
      <c r="D126" s="7" t="s">
        <v>5340</v>
      </c>
      <c r="E126" s="6" t="s">
        <v>5341</v>
      </c>
      <c r="F126" s="8" t="str">
        <f>VLOOKUP($D126,설문!$C$2:$G$444,3,FALSE)</f>
        <v>트레이더</v>
      </c>
      <c r="G126" s="8" t="str">
        <f>VLOOKUP($D126,설문!$C$2:$G$444,4,FALSE)</f>
        <v>금융회사,일반기업고객,개인고객</v>
      </c>
      <c r="H126" s="8" t="str">
        <f>VLOOKUP($D126,설문!$C$2:$G$444,5,FALSE)</f>
        <v>ELS/DLS</v>
      </c>
    </row>
    <row r="127" spans="1:8">
      <c r="A127" s="6" t="s">
        <v>6</v>
      </c>
      <c r="B127" s="7" t="s">
        <v>650</v>
      </c>
      <c r="C127" s="7" t="s">
        <v>650</v>
      </c>
      <c r="D127" s="7" t="s">
        <v>5342</v>
      </c>
      <c r="E127" s="6" t="s">
        <v>5343</v>
      </c>
      <c r="F127" s="8" t="e">
        <f>VLOOKUP($D127,설문!$C$2:$G$444,3,FALSE)</f>
        <v>#N/A</v>
      </c>
      <c r="G127" s="8" t="e">
        <f>VLOOKUP($D127,설문!$C$2:$G$444,4,FALSE)</f>
        <v>#N/A</v>
      </c>
      <c r="H127" s="8" t="e">
        <f>VLOOKUP($D127,설문!$C$2:$G$444,5,FALSE)</f>
        <v>#N/A</v>
      </c>
    </row>
    <row r="128" spans="1:8">
      <c r="A128" s="6" t="s">
        <v>6</v>
      </c>
      <c r="B128" s="7" t="s">
        <v>5344</v>
      </c>
      <c r="C128" s="7" t="s">
        <v>5344</v>
      </c>
      <c r="D128" s="7" t="s">
        <v>5345</v>
      </c>
      <c r="E128" s="6" t="s">
        <v>3012</v>
      </c>
      <c r="F128" s="8" t="str">
        <f>VLOOKUP($D128,설문!$C$2:$G$444,3,FALSE)</f>
        <v>브로커</v>
      </c>
      <c r="G128" s="8" t="str">
        <f>VLOOKUP($D128,설문!$C$2:$G$444,4,FALSE)</f>
        <v>금융회사</v>
      </c>
      <c r="H128" s="8" t="str">
        <f>VLOOKUP($D128,설문!$C$2:$G$444,5,FALSE)</f>
        <v>국내주식/지수,국내주식/지수관련파생</v>
      </c>
    </row>
    <row r="129" spans="1:8">
      <c r="A129" s="6" t="s">
        <v>6</v>
      </c>
      <c r="B129" s="7" t="s">
        <v>623</v>
      </c>
      <c r="C129" s="7" t="s">
        <v>623</v>
      </c>
      <c r="D129" s="7" t="s">
        <v>6049</v>
      </c>
      <c r="E129" s="6" t="s">
        <v>6050</v>
      </c>
      <c r="F129" s="8" t="str">
        <f>VLOOKUP($D129,설문!$C$2:$G$444,3,FALSE)</f>
        <v>세일즈,브로커</v>
      </c>
      <c r="G129" s="8" t="str">
        <f>VLOOKUP($D129,설문!$C$2:$G$444,4,FALSE)</f>
        <v>금융회사,금융 유관기관</v>
      </c>
      <c r="H129" s="8" t="str">
        <f>VLOOKUP($D129,설문!$C$2:$G$444,5,FALSE)</f>
        <v>국내주식/지수</v>
      </c>
    </row>
    <row r="130" spans="1:8">
      <c r="A130" s="6" t="s">
        <v>6</v>
      </c>
      <c r="B130" s="7" t="s">
        <v>623</v>
      </c>
      <c r="C130" s="7" t="s">
        <v>623</v>
      </c>
      <c r="D130" s="7" t="s">
        <v>6051</v>
      </c>
      <c r="E130" s="6" t="s">
        <v>813</v>
      </c>
      <c r="F130" s="8" t="str">
        <f>VLOOKUP($D130,설문!$C$2:$G$444,3,FALSE)</f>
        <v>트레이더</v>
      </c>
      <c r="G130" s="8" t="str">
        <f>VLOOKUP($D130,설문!$C$2:$G$444,4,FALSE)</f>
        <v>금융회사,금융 유관기관,일반기업고객,개인고객</v>
      </c>
      <c r="H130" s="8" t="str">
        <f>VLOOKUP($D130,설문!$C$2:$G$444,5,FALSE)</f>
        <v>국내주식/지수,국내주식/지수관련파생,FX Spot &amp; FX Swap,ETF/ETN</v>
      </c>
    </row>
    <row r="131" spans="1:8">
      <c r="A131" s="6" t="s">
        <v>6</v>
      </c>
      <c r="B131" s="7" t="s">
        <v>1794</v>
      </c>
      <c r="C131" s="7" t="s">
        <v>1794</v>
      </c>
      <c r="D131" s="7" t="s">
        <v>6052</v>
      </c>
      <c r="E131" s="6" t="s">
        <v>6053</v>
      </c>
      <c r="F131" s="8" t="e">
        <f>VLOOKUP($D131,설문!$C$2:$G$444,3,FALSE)</f>
        <v>#N/A</v>
      </c>
      <c r="G131" s="8" t="e">
        <f>VLOOKUP($D131,설문!$C$2:$G$444,4,FALSE)</f>
        <v>#N/A</v>
      </c>
      <c r="H131" s="8" t="e">
        <f>VLOOKUP($D131,설문!$C$2:$G$444,5,FALSE)</f>
        <v>#N/A</v>
      </c>
    </row>
    <row r="132" spans="1:8">
      <c r="A132" s="6" t="s">
        <v>6</v>
      </c>
      <c r="B132" s="7" t="s">
        <v>1145</v>
      </c>
      <c r="C132" s="7" t="s">
        <v>1145</v>
      </c>
      <c r="D132" s="7" t="s">
        <v>6054</v>
      </c>
      <c r="E132" s="6" t="s">
        <v>6055</v>
      </c>
      <c r="F132" s="8" t="e">
        <f>VLOOKUP($D132,설문!$C$2:$G$444,3,FALSE)</f>
        <v>#N/A</v>
      </c>
      <c r="G132" s="8" t="e">
        <f>VLOOKUP($D132,설문!$C$2:$G$444,4,FALSE)</f>
        <v>#N/A</v>
      </c>
      <c r="H132" s="8" t="e">
        <f>VLOOKUP($D132,설문!$C$2:$G$444,5,FALSE)</f>
        <v>#N/A</v>
      </c>
    </row>
    <row r="133" spans="1:8">
      <c r="A133" s="6" t="s">
        <v>6</v>
      </c>
      <c r="B133" s="7" t="s">
        <v>112</v>
      </c>
      <c r="C133" s="7" t="s">
        <v>112</v>
      </c>
      <c r="D133" s="7" t="s">
        <v>6056</v>
      </c>
      <c r="E133" s="6" t="s">
        <v>6057</v>
      </c>
      <c r="F133" s="8" t="str">
        <f>VLOOKUP($D133,설문!$C$2:$G$444,3,FALSE)</f>
        <v>기타,세일즈,브로커</v>
      </c>
      <c r="G133" s="8" t="str">
        <f>VLOOKUP($D133,설문!$C$2:$G$444,4,FALSE)</f>
        <v>금융회사,일반기업고객</v>
      </c>
      <c r="H133" s="8" t="str">
        <f>VLOOKUP($D133,설문!$C$2:$G$444,5,FALSE)</f>
        <v>국고채/통안채,회사채,소액채권,국채선물,Korean Paper,원화 구조화채권</v>
      </c>
    </row>
    <row r="134" spans="1:8">
      <c r="A134" s="6" t="s">
        <v>6</v>
      </c>
      <c r="B134" s="7" t="s">
        <v>112</v>
      </c>
      <c r="C134" s="7" t="s">
        <v>112</v>
      </c>
      <c r="D134" s="7" t="s">
        <v>6058</v>
      </c>
      <c r="E134" s="6" t="s">
        <v>6059</v>
      </c>
      <c r="F134" s="8" t="e">
        <f>VLOOKUP($D134,설문!$C$2:$G$444,3,FALSE)</f>
        <v>#N/A</v>
      </c>
      <c r="G134" s="8" t="e">
        <f>VLOOKUP($D134,설문!$C$2:$G$444,4,FALSE)</f>
        <v>#N/A</v>
      </c>
      <c r="H134" s="8" t="e">
        <f>VLOOKUP($D134,설문!$C$2:$G$444,5,FALSE)</f>
        <v>#N/A</v>
      </c>
    </row>
    <row r="135" spans="1:8">
      <c r="A135" s="6" t="s">
        <v>6</v>
      </c>
      <c r="B135" s="7" t="s">
        <v>1089</v>
      </c>
      <c r="C135" s="7" t="s">
        <v>1089</v>
      </c>
      <c r="D135" s="7" t="s">
        <v>6060</v>
      </c>
      <c r="E135" s="6" t="s">
        <v>6061</v>
      </c>
      <c r="F135" s="8" t="e">
        <f>VLOOKUP($D135,설문!$C$2:$G$444,3,FALSE)</f>
        <v>#N/A</v>
      </c>
      <c r="G135" s="8" t="e">
        <f>VLOOKUP($D135,설문!$C$2:$G$444,4,FALSE)</f>
        <v>#N/A</v>
      </c>
      <c r="H135" s="8" t="e">
        <f>VLOOKUP($D135,설문!$C$2:$G$444,5,FALSE)</f>
        <v>#N/A</v>
      </c>
    </row>
    <row r="136" spans="1:8">
      <c r="A136" s="6" t="s">
        <v>6</v>
      </c>
      <c r="B136" s="7" t="s">
        <v>665</v>
      </c>
      <c r="C136" s="7" t="s">
        <v>666</v>
      </c>
      <c r="D136" s="7" t="s">
        <v>6062</v>
      </c>
      <c r="E136" s="6" t="s">
        <v>6063</v>
      </c>
      <c r="F136" s="8" t="e">
        <f>VLOOKUP($D136,설문!$C$2:$G$444,3,FALSE)</f>
        <v>#N/A</v>
      </c>
      <c r="G136" s="8" t="e">
        <f>VLOOKUP($D136,설문!$C$2:$G$444,4,FALSE)</f>
        <v>#N/A</v>
      </c>
      <c r="H136" s="8" t="e">
        <f>VLOOKUP($D136,설문!$C$2:$G$444,5,FALSE)</f>
        <v>#N/A</v>
      </c>
    </row>
    <row r="137" spans="1:8">
      <c r="A137" s="6" t="s">
        <v>6</v>
      </c>
      <c r="B137" s="7" t="s">
        <v>1049</v>
      </c>
      <c r="C137" s="7" t="s">
        <v>1049</v>
      </c>
      <c r="D137" s="7" t="s">
        <v>6064</v>
      </c>
      <c r="E137" s="6" t="s">
        <v>6065</v>
      </c>
      <c r="F137" s="8" t="e">
        <f>VLOOKUP($D137,설문!$C$2:$G$444,3,FALSE)</f>
        <v>#N/A</v>
      </c>
      <c r="G137" s="8" t="e">
        <f>VLOOKUP($D137,설문!$C$2:$G$444,4,FALSE)</f>
        <v>#N/A</v>
      </c>
      <c r="H137" s="8" t="e">
        <f>VLOOKUP($D137,설문!$C$2:$G$444,5,FALSE)</f>
        <v>#N/A</v>
      </c>
    </row>
    <row r="138" spans="1:8">
      <c r="A138" s="6" t="s">
        <v>6</v>
      </c>
      <c r="B138" s="7" t="s">
        <v>1066</v>
      </c>
      <c r="C138" s="7" t="s">
        <v>1066</v>
      </c>
      <c r="D138" s="7" t="s">
        <v>6066</v>
      </c>
      <c r="E138" s="6" t="s">
        <v>6067</v>
      </c>
      <c r="F138" s="8" t="str">
        <f>VLOOKUP($D138,설문!$C$2:$G$444,3,FALSE)</f>
        <v>세일즈</v>
      </c>
      <c r="G138" s="8" t="str">
        <f>VLOOKUP($D138,설문!$C$2:$G$444,4,FALSE)</f>
        <v>금융회사,일반기업고객</v>
      </c>
      <c r="H138" s="8" t="str">
        <f>VLOOKUP($D138,설문!$C$2:$G$444,5,FALSE)</f>
        <v>회사채,단기자금,원화 구조화채권,IB(발행, M&amp;A 등)</v>
      </c>
    </row>
    <row r="139" spans="1:8">
      <c r="A139" s="6" t="s">
        <v>6</v>
      </c>
      <c r="B139" s="7" t="s">
        <v>1066</v>
      </c>
      <c r="C139" s="7" t="s">
        <v>1066</v>
      </c>
      <c r="D139" s="7" t="s">
        <v>6068</v>
      </c>
      <c r="E139" s="6" t="s">
        <v>6069</v>
      </c>
      <c r="F139" s="8" t="e">
        <f>VLOOKUP($D139,설문!$C$2:$G$444,3,FALSE)</f>
        <v>#N/A</v>
      </c>
      <c r="G139" s="8" t="e">
        <f>VLOOKUP($D139,설문!$C$2:$G$444,4,FALSE)</f>
        <v>#N/A</v>
      </c>
      <c r="H139" s="8" t="e">
        <f>VLOOKUP($D139,설문!$C$2:$G$444,5,FALSE)</f>
        <v>#N/A</v>
      </c>
    </row>
    <row r="140" spans="1:8">
      <c r="A140" s="6" t="s">
        <v>6</v>
      </c>
      <c r="B140" s="7" t="s">
        <v>1066</v>
      </c>
      <c r="C140" s="7" t="s">
        <v>1066</v>
      </c>
      <c r="D140" s="7" t="s">
        <v>6070</v>
      </c>
      <c r="E140" s="6" t="s">
        <v>6071</v>
      </c>
      <c r="F140" s="8" t="e">
        <f>VLOOKUP($D140,설문!$C$2:$G$444,3,FALSE)</f>
        <v>#N/A</v>
      </c>
      <c r="G140" s="8" t="e">
        <f>VLOOKUP($D140,설문!$C$2:$G$444,4,FALSE)</f>
        <v>#N/A</v>
      </c>
      <c r="H140" s="8" t="e">
        <f>VLOOKUP($D140,설문!$C$2:$G$444,5,FALSE)</f>
        <v>#N/A</v>
      </c>
    </row>
    <row r="141" spans="1:8">
      <c r="A141" s="6" t="s">
        <v>6</v>
      </c>
      <c r="B141" s="7" t="s">
        <v>1066</v>
      </c>
      <c r="C141" s="7" t="s">
        <v>1066</v>
      </c>
      <c r="D141" s="7" t="s">
        <v>6072</v>
      </c>
      <c r="E141" s="6" t="s">
        <v>6073</v>
      </c>
      <c r="F141" s="8" t="str">
        <f>VLOOKUP($D141,설문!$C$2:$G$444,3,FALSE)</f>
        <v>기타,세일즈</v>
      </c>
      <c r="G141" s="8" t="str">
        <f>VLOOKUP($D141,설문!$C$2:$G$444,4,FALSE)</f>
        <v>금융회사</v>
      </c>
      <c r="H141" s="8" t="str">
        <f>VLOOKUP($D141,설문!$C$2:$G$444,5,FALSE)</f>
        <v>회사채,단기자금,원화 구조화채권,외화 구조화채권,IB(발행, M&amp;A 등),대체투자(부동산/인프라)</v>
      </c>
    </row>
    <row r="142" spans="1:8">
      <c r="A142" s="6" t="s">
        <v>6</v>
      </c>
      <c r="B142" s="7" t="s">
        <v>6074</v>
      </c>
      <c r="C142" s="7" t="s">
        <v>6074</v>
      </c>
      <c r="D142" s="7" t="s">
        <v>6075</v>
      </c>
      <c r="E142" s="6" t="s">
        <v>6076</v>
      </c>
      <c r="F142" s="8" t="e">
        <f>VLOOKUP($D142,설문!$C$2:$G$444,3,FALSE)</f>
        <v>#N/A</v>
      </c>
      <c r="G142" s="8" t="e">
        <f>VLOOKUP($D142,설문!$C$2:$G$444,4,FALSE)</f>
        <v>#N/A</v>
      </c>
      <c r="H142" s="8" t="e">
        <f>VLOOKUP($D142,설문!$C$2:$G$444,5,FALSE)</f>
        <v>#N/A</v>
      </c>
    </row>
    <row r="143" spans="1:8">
      <c r="A143" s="6" t="s">
        <v>6</v>
      </c>
      <c r="B143" s="7" t="s">
        <v>6077</v>
      </c>
      <c r="C143" s="7" t="s">
        <v>6077</v>
      </c>
      <c r="D143" s="7" t="s">
        <v>6078</v>
      </c>
      <c r="E143" s="6" t="s">
        <v>6079</v>
      </c>
      <c r="F143" s="8" t="e">
        <f>VLOOKUP($D143,설문!$C$2:$G$444,3,FALSE)</f>
        <v>#N/A</v>
      </c>
      <c r="G143" s="8" t="e">
        <f>VLOOKUP($D143,설문!$C$2:$G$444,4,FALSE)</f>
        <v>#N/A</v>
      </c>
      <c r="H143" s="8" t="e">
        <f>VLOOKUP($D143,설문!$C$2:$G$444,5,FALSE)</f>
        <v>#N/A</v>
      </c>
    </row>
    <row r="144" spans="1:8">
      <c r="A144" s="6" t="s">
        <v>6</v>
      </c>
      <c r="B144" s="7" t="s">
        <v>5311</v>
      </c>
      <c r="C144" s="7" t="s">
        <v>5311</v>
      </c>
      <c r="D144" s="7" t="s">
        <v>6080</v>
      </c>
      <c r="E144" s="6" t="s">
        <v>6081</v>
      </c>
      <c r="F144" s="8" t="e">
        <f>VLOOKUP($D144,설문!$C$2:$G$444,3,FALSE)</f>
        <v>#N/A</v>
      </c>
      <c r="G144" s="8" t="e">
        <f>VLOOKUP($D144,설문!$C$2:$G$444,4,FALSE)</f>
        <v>#N/A</v>
      </c>
      <c r="H144" s="8" t="e">
        <f>VLOOKUP($D144,설문!$C$2:$G$444,5,FALSE)</f>
        <v>#N/A</v>
      </c>
    </row>
    <row r="145" spans="1:8">
      <c r="A145" s="6" t="s">
        <v>6</v>
      </c>
      <c r="B145" s="7" t="s">
        <v>162</v>
      </c>
      <c r="C145" s="7" t="s">
        <v>6082</v>
      </c>
      <c r="D145" s="7" t="s">
        <v>6083</v>
      </c>
      <c r="E145" s="6" t="s">
        <v>6084</v>
      </c>
      <c r="F145" s="8" t="e">
        <f>VLOOKUP($D145,설문!$C$2:$G$444,3,FALSE)</f>
        <v>#N/A</v>
      </c>
      <c r="G145" s="8" t="e">
        <f>VLOOKUP($D145,설문!$C$2:$G$444,4,FALSE)</f>
        <v>#N/A</v>
      </c>
      <c r="H145" s="8" t="e">
        <f>VLOOKUP($D145,설문!$C$2:$G$444,5,FALSE)</f>
        <v>#N/A</v>
      </c>
    </row>
    <row r="146" spans="1:8">
      <c r="A146" s="6" t="s">
        <v>6</v>
      </c>
      <c r="B146" s="7" t="s">
        <v>162</v>
      </c>
      <c r="C146" s="7" t="s">
        <v>6082</v>
      </c>
      <c r="D146" s="7" t="s">
        <v>6085</v>
      </c>
      <c r="E146" s="6" t="s">
        <v>6086</v>
      </c>
      <c r="F146" s="8" t="e">
        <f>VLOOKUP($D146,설문!$C$2:$G$444,3,FALSE)</f>
        <v>#N/A</v>
      </c>
      <c r="G146" s="8" t="e">
        <f>VLOOKUP($D146,설문!$C$2:$G$444,4,FALSE)</f>
        <v>#N/A</v>
      </c>
      <c r="H146" s="8" t="e">
        <f>VLOOKUP($D146,설문!$C$2:$G$444,5,FALSE)</f>
        <v>#N/A</v>
      </c>
    </row>
    <row r="147" spans="1:8">
      <c r="A147" s="6" t="s">
        <v>6</v>
      </c>
      <c r="B147" s="7" t="s">
        <v>162</v>
      </c>
      <c r="C147" s="7" t="s">
        <v>6082</v>
      </c>
      <c r="D147" s="7" t="s">
        <v>6087</v>
      </c>
      <c r="E147" s="6" t="s">
        <v>6088</v>
      </c>
      <c r="F147" s="8" t="e">
        <f>VLOOKUP($D147,설문!$C$2:$G$444,3,FALSE)</f>
        <v>#N/A</v>
      </c>
      <c r="G147" s="8" t="e">
        <f>VLOOKUP($D147,설문!$C$2:$G$444,4,FALSE)</f>
        <v>#N/A</v>
      </c>
      <c r="H147" s="8" t="e">
        <f>VLOOKUP($D147,설문!$C$2:$G$444,5,FALSE)</f>
        <v>#N/A</v>
      </c>
    </row>
    <row r="148" spans="1:8">
      <c r="A148" s="6" t="s">
        <v>6</v>
      </c>
      <c r="B148" s="7" t="s">
        <v>162</v>
      </c>
      <c r="C148" s="7" t="s">
        <v>6082</v>
      </c>
      <c r="D148" s="7" t="s">
        <v>6089</v>
      </c>
      <c r="E148" s="6" t="s">
        <v>6090</v>
      </c>
      <c r="F148" s="8" t="e">
        <f>VLOOKUP($D148,설문!$C$2:$G$444,3,FALSE)</f>
        <v>#N/A</v>
      </c>
      <c r="G148" s="8" t="e">
        <f>VLOOKUP($D148,설문!$C$2:$G$444,4,FALSE)</f>
        <v>#N/A</v>
      </c>
      <c r="H148" s="8" t="e">
        <f>VLOOKUP($D148,설문!$C$2:$G$444,5,FALSE)</f>
        <v>#N/A</v>
      </c>
    </row>
    <row r="149" spans="1:8">
      <c r="A149" s="6" t="s">
        <v>6</v>
      </c>
      <c r="B149" s="7" t="s">
        <v>1089</v>
      </c>
      <c r="C149" s="7" t="s">
        <v>1089</v>
      </c>
      <c r="D149" s="7" t="s">
        <v>6091</v>
      </c>
      <c r="E149" s="6" t="s">
        <v>6092</v>
      </c>
      <c r="F149" s="8" t="e">
        <f>VLOOKUP($D149,설문!$C$2:$G$444,3,FALSE)</f>
        <v>#N/A</v>
      </c>
      <c r="G149" s="8" t="e">
        <f>VLOOKUP($D149,설문!$C$2:$G$444,4,FALSE)</f>
        <v>#N/A</v>
      </c>
      <c r="H149" s="8" t="e">
        <f>VLOOKUP($D149,설문!$C$2:$G$444,5,FALSE)</f>
        <v>#N/A</v>
      </c>
    </row>
    <row r="150" spans="1:8">
      <c r="A150" s="6" t="s">
        <v>6</v>
      </c>
      <c r="B150" s="7" t="s">
        <v>112</v>
      </c>
      <c r="C150" s="7" t="s">
        <v>112</v>
      </c>
      <c r="D150" s="7" t="s">
        <v>6093</v>
      </c>
      <c r="E150" s="6" t="s">
        <v>6094</v>
      </c>
      <c r="F150" s="8" t="e">
        <f>VLOOKUP($D150,설문!$C$2:$G$444,3,FALSE)</f>
        <v>#N/A</v>
      </c>
      <c r="G150" s="8" t="e">
        <f>VLOOKUP($D150,설문!$C$2:$G$444,4,FALSE)</f>
        <v>#N/A</v>
      </c>
      <c r="H150" s="8" t="e">
        <f>VLOOKUP($D150,설문!$C$2:$G$444,5,FALSE)</f>
        <v>#N/A</v>
      </c>
    </row>
    <row r="151" spans="1:8">
      <c r="A151" s="6" t="s">
        <v>6</v>
      </c>
      <c r="B151" s="7" t="s">
        <v>6095</v>
      </c>
      <c r="C151" s="7" t="s">
        <v>6095</v>
      </c>
      <c r="D151" s="7" t="s">
        <v>6096</v>
      </c>
      <c r="E151" s="6" t="s">
        <v>6097</v>
      </c>
      <c r="F151" s="8" t="str">
        <f>VLOOKUP($D151,설문!$C$2:$G$444,3,FALSE)</f>
        <v>트레이더</v>
      </c>
      <c r="G151" s="8" t="str">
        <f>VLOOKUP($D151,설문!$C$2:$G$444,4,FALSE)</f>
        <v>금융회사</v>
      </c>
      <c r="H151" s="8" t="str">
        <f>VLOOKUP($D151,설문!$C$2:$G$444,5,FALSE)</f>
        <v>국고채/통안채</v>
      </c>
    </row>
    <row r="152" spans="1:8">
      <c r="A152" s="6" t="s">
        <v>6</v>
      </c>
      <c r="B152" s="7" t="s">
        <v>112</v>
      </c>
      <c r="C152" s="7" t="s">
        <v>112</v>
      </c>
      <c r="D152" s="7" t="s">
        <v>6098</v>
      </c>
      <c r="E152" s="6" t="s">
        <v>6099</v>
      </c>
      <c r="F152" s="8" t="e">
        <f>VLOOKUP($D152,설문!$C$2:$G$444,3,FALSE)</f>
        <v>#N/A</v>
      </c>
      <c r="G152" s="8" t="e">
        <f>VLOOKUP($D152,설문!$C$2:$G$444,4,FALSE)</f>
        <v>#N/A</v>
      </c>
      <c r="H152" s="8" t="e">
        <f>VLOOKUP($D152,설문!$C$2:$G$444,5,FALSE)</f>
        <v>#N/A</v>
      </c>
    </row>
    <row r="153" spans="1:8">
      <c r="A153" s="6" t="s">
        <v>6</v>
      </c>
      <c r="B153" s="7" t="s">
        <v>1089</v>
      </c>
      <c r="C153" s="7" t="s">
        <v>1089</v>
      </c>
      <c r="D153" s="7" t="s">
        <v>6100</v>
      </c>
      <c r="E153" s="6" t="s">
        <v>6101</v>
      </c>
      <c r="F153" s="8" t="e">
        <f>VLOOKUP($D153,설문!$C$2:$G$444,3,FALSE)</f>
        <v>#N/A</v>
      </c>
      <c r="G153" s="8" t="e">
        <f>VLOOKUP($D153,설문!$C$2:$G$444,4,FALSE)</f>
        <v>#N/A</v>
      </c>
      <c r="H153" s="8" t="e">
        <f>VLOOKUP($D153,설문!$C$2:$G$444,5,FALSE)</f>
        <v>#N/A</v>
      </c>
    </row>
    <row r="154" spans="1:8">
      <c r="A154" s="6" t="s">
        <v>6</v>
      </c>
      <c r="B154" s="7" t="s">
        <v>112</v>
      </c>
      <c r="C154" s="7" t="s">
        <v>112</v>
      </c>
      <c r="D154" s="7" t="s">
        <v>6102</v>
      </c>
      <c r="E154" s="6" t="s">
        <v>6103</v>
      </c>
      <c r="F154" s="8" t="e">
        <f>VLOOKUP($D154,설문!$C$2:$G$444,3,FALSE)</f>
        <v>#N/A</v>
      </c>
      <c r="G154" s="8" t="e">
        <f>VLOOKUP($D154,설문!$C$2:$G$444,4,FALSE)</f>
        <v>#N/A</v>
      </c>
      <c r="H154" s="8" t="e">
        <f>VLOOKUP($D154,설문!$C$2:$G$444,5,FALSE)</f>
        <v>#N/A</v>
      </c>
    </row>
    <row r="155" spans="1:8">
      <c r="A155" s="6" t="s">
        <v>6</v>
      </c>
      <c r="B155" s="7" t="s">
        <v>665</v>
      </c>
      <c r="C155" s="7" t="s">
        <v>666</v>
      </c>
      <c r="D155" s="7" t="s">
        <v>6104</v>
      </c>
      <c r="E155" s="6" t="s">
        <v>6105</v>
      </c>
      <c r="F155" s="8" t="str">
        <f>VLOOKUP($D155,설문!$C$2:$G$444,3,FALSE)</f>
        <v>리스크관리(미들)</v>
      </c>
      <c r="G155" s="8" t="str">
        <f>VLOOKUP($D155,설문!$C$2:$G$444,4,FALSE)</f>
        <v>일반기업고객,개인고객</v>
      </c>
      <c r="H155" s="8" t="str">
        <f>VLOOKUP($D155,설문!$C$2:$G$444,5,FALSE)</f>
        <v>RP</v>
      </c>
    </row>
    <row r="156" spans="1:8">
      <c r="A156" s="6" t="s">
        <v>6</v>
      </c>
      <c r="B156" s="7" t="s">
        <v>665</v>
      </c>
      <c r="C156" s="7" t="s">
        <v>666</v>
      </c>
      <c r="D156" s="7" t="s">
        <v>6106</v>
      </c>
      <c r="E156" s="6" t="s">
        <v>6107</v>
      </c>
      <c r="F156" s="8" t="str">
        <f>VLOOKUP($D156,설문!$C$2:$G$444,3,FALSE)</f>
        <v>백오피스</v>
      </c>
      <c r="G156" s="8" t="str">
        <f>VLOOKUP($D156,설문!$C$2:$G$444,4,FALSE)</f>
        <v>금융회사</v>
      </c>
      <c r="H156" s="8" t="str">
        <f>VLOOKUP($D156,설문!$C$2:$G$444,5,FALSE)</f>
        <v>RP</v>
      </c>
    </row>
    <row r="157" spans="1:8">
      <c r="A157" s="6" t="s">
        <v>6</v>
      </c>
      <c r="B157" s="7" t="s">
        <v>635</v>
      </c>
      <c r="C157" s="7" t="s">
        <v>635</v>
      </c>
      <c r="D157" s="7" t="s">
        <v>6108</v>
      </c>
      <c r="E157" s="6" t="s">
        <v>6109</v>
      </c>
      <c r="F157" s="8" t="e">
        <f>VLOOKUP($D157,설문!$C$2:$G$444,3,FALSE)</f>
        <v>#N/A</v>
      </c>
      <c r="G157" s="8" t="e">
        <f>VLOOKUP($D157,설문!$C$2:$G$444,4,FALSE)</f>
        <v>#N/A</v>
      </c>
      <c r="H157" s="8" t="e">
        <f>VLOOKUP($D157,설문!$C$2:$G$444,5,FALSE)</f>
        <v>#N/A</v>
      </c>
    </row>
    <row r="158" spans="1:8">
      <c r="A158" s="6" t="s">
        <v>6</v>
      </c>
      <c r="B158" s="7" t="s">
        <v>665</v>
      </c>
      <c r="C158" s="7" t="s">
        <v>666</v>
      </c>
      <c r="D158" s="7" t="s">
        <v>6110</v>
      </c>
      <c r="E158" s="6" t="s">
        <v>6111</v>
      </c>
      <c r="F158" s="8" t="e">
        <f>VLOOKUP($D158,설문!$C$2:$G$444,3,FALSE)</f>
        <v>#N/A</v>
      </c>
      <c r="G158" s="8" t="e">
        <f>VLOOKUP($D158,설문!$C$2:$G$444,4,FALSE)</f>
        <v>#N/A</v>
      </c>
      <c r="H158" s="8" t="e">
        <f>VLOOKUP($D158,설문!$C$2:$G$444,5,FALSE)</f>
        <v>#N/A</v>
      </c>
    </row>
    <row r="159" spans="1:8">
      <c r="A159" s="6" t="s">
        <v>6</v>
      </c>
      <c r="B159" s="7" t="s">
        <v>635</v>
      </c>
      <c r="C159" s="7" t="s">
        <v>635</v>
      </c>
      <c r="D159" s="7" t="s">
        <v>6112</v>
      </c>
      <c r="E159" s="6" t="s">
        <v>6113</v>
      </c>
      <c r="F159" s="8" t="e">
        <f>VLOOKUP($D159,설문!$C$2:$G$444,3,FALSE)</f>
        <v>#N/A</v>
      </c>
      <c r="G159" s="8" t="e">
        <f>VLOOKUP($D159,설문!$C$2:$G$444,4,FALSE)</f>
        <v>#N/A</v>
      </c>
      <c r="H159" s="8" t="e">
        <f>VLOOKUP($D159,설문!$C$2:$G$444,5,FALSE)</f>
        <v>#N/A</v>
      </c>
    </row>
    <row r="160" spans="1:8">
      <c r="A160" s="6" t="s">
        <v>6</v>
      </c>
      <c r="B160" s="7" t="s">
        <v>606</v>
      </c>
      <c r="C160" s="7" t="s">
        <v>606</v>
      </c>
      <c r="D160" s="7" t="s">
        <v>6114</v>
      </c>
      <c r="E160" s="6" t="s">
        <v>6115</v>
      </c>
      <c r="F160" s="8" t="e">
        <f>VLOOKUP($D160,설문!$C$2:$G$444,3,FALSE)</f>
        <v>#N/A</v>
      </c>
      <c r="G160" s="8" t="e">
        <f>VLOOKUP($D160,설문!$C$2:$G$444,4,FALSE)</f>
        <v>#N/A</v>
      </c>
      <c r="H160" s="8" t="e">
        <f>VLOOKUP($D160,설문!$C$2:$G$444,5,FALSE)</f>
        <v>#N/A</v>
      </c>
    </row>
    <row r="161" spans="1:8">
      <c r="A161" s="6" t="s">
        <v>6</v>
      </c>
      <c r="B161" s="7" t="s">
        <v>606</v>
      </c>
      <c r="C161" s="7" t="s">
        <v>606</v>
      </c>
      <c r="D161" s="7" t="s">
        <v>6116</v>
      </c>
      <c r="E161" s="6" t="s">
        <v>6117</v>
      </c>
      <c r="F161" s="8" t="str">
        <f>VLOOKUP($D161,설문!$C$2:$G$444,3,FALSE)</f>
        <v>트레이더,딜러</v>
      </c>
      <c r="G161" s="8" t="str">
        <f>VLOOKUP($D161,설문!$C$2:$G$444,4,FALSE)</f>
        <v>일반기업고객,개인고객</v>
      </c>
      <c r="H161" s="8" t="str">
        <f>VLOOKUP($D161,설문!$C$2:$G$444,5,FALSE)</f>
        <v>회사채,RP,단기자금</v>
      </c>
    </row>
    <row r="162" spans="1:8">
      <c r="A162" s="6" t="s">
        <v>6</v>
      </c>
      <c r="B162" s="7" t="s">
        <v>2329</v>
      </c>
      <c r="C162" s="7" t="s">
        <v>6118</v>
      </c>
      <c r="D162" s="7" t="s">
        <v>6119</v>
      </c>
      <c r="E162" s="6" t="s">
        <v>6120</v>
      </c>
      <c r="F162" s="8" t="e">
        <f>VLOOKUP($D162,설문!$C$2:$G$444,3,FALSE)</f>
        <v>#N/A</v>
      </c>
      <c r="G162" s="8" t="e">
        <f>VLOOKUP($D162,설문!$C$2:$G$444,4,FALSE)</f>
        <v>#N/A</v>
      </c>
      <c r="H162" s="8" t="e">
        <f>VLOOKUP($D162,설문!$C$2:$G$444,5,FALSE)</f>
        <v>#N/A</v>
      </c>
    </row>
    <row r="163" spans="1:8">
      <c r="A163" s="6" t="s">
        <v>6</v>
      </c>
      <c r="B163" s="7" t="s">
        <v>613</v>
      </c>
      <c r="C163" s="7" t="s">
        <v>613</v>
      </c>
      <c r="D163" s="7" t="s">
        <v>6121</v>
      </c>
      <c r="E163" s="6" t="s">
        <v>6122</v>
      </c>
      <c r="F163" s="8" t="e">
        <f>VLOOKUP($D163,설문!$C$2:$G$444,3,FALSE)</f>
        <v>#N/A</v>
      </c>
      <c r="G163" s="8" t="e">
        <f>VLOOKUP($D163,설문!$C$2:$G$444,4,FALSE)</f>
        <v>#N/A</v>
      </c>
      <c r="H163" s="8" t="e">
        <f>VLOOKUP($D163,설문!$C$2:$G$444,5,FALSE)</f>
        <v>#N/A</v>
      </c>
    </row>
    <row r="164" spans="1:8">
      <c r="A164" s="6" t="s">
        <v>6</v>
      </c>
      <c r="B164" s="7" t="s">
        <v>1481</v>
      </c>
      <c r="C164" s="7" t="s">
        <v>1482</v>
      </c>
      <c r="D164" s="7" t="s">
        <v>6123</v>
      </c>
      <c r="E164" s="6" t="s">
        <v>6124</v>
      </c>
      <c r="F164" s="8" t="e">
        <f>VLOOKUP($D164,설문!$C$2:$G$444,3,FALSE)</f>
        <v>#N/A</v>
      </c>
      <c r="G164" s="8" t="e">
        <f>VLOOKUP($D164,설문!$C$2:$G$444,4,FALSE)</f>
        <v>#N/A</v>
      </c>
      <c r="H164" s="8" t="e">
        <f>VLOOKUP($D164,설문!$C$2:$G$444,5,FALSE)</f>
        <v>#N/A</v>
      </c>
    </row>
    <row r="165" spans="1:8">
      <c r="A165" s="6" t="s">
        <v>6</v>
      </c>
      <c r="B165" s="7" t="s">
        <v>1481</v>
      </c>
      <c r="C165" s="7" t="s">
        <v>1482</v>
      </c>
      <c r="D165" s="7" t="s">
        <v>6125</v>
      </c>
      <c r="E165" s="6" t="s">
        <v>6126</v>
      </c>
      <c r="F165" s="8" t="e">
        <f>VLOOKUP($D165,설문!$C$2:$G$444,3,FALSE)</f>
        <v>#N/A</v>
      </c>
      <c r="G165" s="8" t="e">
        <f>VLOOKUP($D165,설문!$C$2:$G$444,4,FALSE)</f>
        <v>#N/A</v>
      </c>
      <c r="H165" s="8" t="e">
        <f>VLOOKUP($D165,설문!$C$2:$G$444,5,FALSE)</f>
        <v>#N/A</v>
      </c>
    </row>
    <row r="166" spans="1:8">
      <c r="A166" s="6" t="s">
        <v>6</v>
      </c>
      <c r="B166" s="7" t="s">
        <v>6127</v>
      </c>
      <c r="C166" s="7" t="s">
        <v>6127</v>
      </c>
      <c r="D166" s="7" t="s">
        <v>6128</v>
      </c>
      <c r="E166" s="6" t="s">
        <v>6129</v>
      </c>
      <c r="F166" s="8" t="e">
        <f>VLOOKUP($D166,설문!$C$2:$G$444,3,FALSE)</f>
        <v>#N/A</v>
      </c>
      <c r="G166" s="8" t="e">
        <f>VLOOKUP($D166,설문!$C$2:$G$444,4,FALSE)</f>
        <v>#N/A</v>
      </c>
      <c r="H166" s="8" t="e">
        <f>VLOOKUP($D166,설문!$C$2:$G$444,5,FALSE)</f>
        <v>#N/A</v>
      </c>
    </row>
    <row r="167" spans="1:8">
      <c r="A167" s="6" t="s">
        <v>6</v>
      </c>
      <c r="B167" s="7" t="s">
        <v>5344</v>
      </c>
      <c r="C167" s="7" t="s">
        <v>5344</v>
      </c>
      <c r="D167" s="7" t="s">
        <v>6130</v>
      </c>
      <c r="E167" s="6" t="s">
        <v>259</v>
      </c>
      <c r="F167" s="8" t="e">
        <f>VLOOKUP($D167,설문!$C$2:$G$444,3,FALSE)</f>
        <v>#N/A</v>
      </c>
      <c r="G167" s="8" t="e">
        <f>VLOOKUP($D167,설문!$C$2:$G$444,4,FALSE)</f>
        <v>#N/A</v>
      </c>
      <c r="H167" s="8" t="e">
        <f>VLOOKUP($D167,설문!$C$2:$G$444,5,FALSE)</f>
        <v>#N/A</v>
      </c>
    </row>
    <row r="168" spans="1:8">
      <c r="A168" s="6" t="s">
        <v>6</v>
      </c>
      <c r="B168" s="7" t="s">
        <v>6127</v>
      </c>
      <c r="C168" s="7" t="s">
        <v>6127</v>
      </c>
      <c r="D168" s="7" t="s">
        <v>6131</v>
      </c>
      <c r="E168" s="6" t="s">
        <v>6132</v>
      </c>
      <c r="F168" s="8" t="str">
        <f>VLOOKUP($D168,설문!$C$2:$G$444,3,FALSE)</f>
        <v>브로커</v>
      </c>
      <c r="G168" s="8" t="str">
        <f>VLOOKUP($D168,설문!$C$2:$G$444,4,FALSE)</f>
        <v>금융회사</v>
      </c>
      <c r="H168" s="8" t="str">
        <f>VLOOKUP($D168,설문!$C$2:$G$444,5,FALSE)</f>
        <v>국내주식/지수,국내주식/지수관련파생,해외주식/지수,해외주식/지수관련파생,ETF/ETN</v>
      </c>
    </row>
    <row r="169" spans="1:8">
      <c r="A169" s="6" t="s">
        <v>6</v>
      </c>
      <c r="B169" s="7" t="s">
        <v>316</v>
      </c>
      <c r="C169" s="7" t="s">
        <v>316</v>
      </c>
      <c r="D169" s="7" t="s">
        <v>6133</v>
      </c>
      <c r="E169" s="6" t="s">
        <v>6134</v>
      </c>
      <c r="F169" s="8" t="e">
        <f>VLOOKUP($D169,설문!$C$2:$G$444,3,FALSE)</f>
        <v>#N/A</v>
      </c>
      <c r="G169" s="8" t="e">
        <f>VLOOKUP($D169,설문!$C$2:$G$444,4,FALSE)</f>
        <v>#N/A</v>
      </c>
      <c r="H169" s="8" t="e">
        <f>VLOOKUP($D169,설문!$C$2:$G$444,5,FALSE)</f>
        <v>#N/A</v>
      </c>
    </row>
    <row r="170" spans="1:8">
      <c r="A170" s="6" t="s">
        <v>6</v>
      </c>
      <c r="B170" s="7" t="s">
        <v>316</v>
      </c>
      <c r="C170" s="7" t="s">
        <v>316</v>
      </c>
      <c r="D170" s="7" t="s">
        <v>6135</v>
      </c>
      <c r="E170" s="6" t="s">
        <v>1351</v>
      </c>
      <c r="F170" s="8" t="e">
        <f>VLOOKUP($D170,설문!$C$2:$G$444,3,FALSE)</f>
        <v>#N/A</v>
      </c>
      <c r="G170" s="8" t="e">
        <f>VLOOKUP($D170,설문!$C$2:$G$444,4,FALSE)</f>
        <v>#N/A</v>
      </c>
      <c r="H170" s="8" t="e">
        <f>VLOOKUP($D170,설문!$C$2:$G$444,5,FALSE)</f>
        <v>#N/A</v>
      </c>
    </row>
    <row r="171" spans="1:8">
      <c r="A171" s="6" t="s">
        <v>1963</v>
      </c>
      <c r="B171" s="7" t="s">
        <v>1798</v>
      </c>
      <c r="C171" s="7" t="s">
        <v>9</v>
      </c>
      <c r="D171" s="7" t="s">
        <v>1964</v>
      </c>
      <c r="E171" s="6" t="s">
        <v>1965</v>
      </c>
      <c r="F171" s="8" t="e">
        <f>VLOOKUP($D171,설문!$C$2:$G$444,3,FALSE)</f>
        <v>#N/A</v>
      </c>
      <c r="G171" s="8" t="e">
        <f>VLOOKUP($D171,설문!$C$2:$G$444,4,FALSE)</f>
        <v>#N/A</v>
      </c>
      <c r="H171" s="8" t="e">
        <f>VLOOKUP($D171,설문!$C$2:$G$444,5,FALSE)</f>
        <v>#N/A</v>
      </c>
    </row>
    <row r="172" spans="1:8">
      <c r="A172" s="6" t="s">
        <v>267</v>
      </c>
      <c r="B172" s="7" t="s">
        <v>78</v>
      </c>
      <c r="C172" s="7" t="s">
        <v>78</v>
      </c>
      <c r="D172" s="7" t="s">
        <v>268</v>
      </c>
      <c r="E172" s="6" t="s">
        <v>269</v>
      </c>
      <c r="F172" s="8" t="str">
        <f>VLOOKUP($D172,설문!$C$2:$G$444,3,FALSE)</f>
        <v>펀드매니저,분석 및 전략</v>
      </c>
      <c r="G172" s="8" t="str">
        <f>VLOOKUP($D172,설문!$C$2:$G$444,4,FALSE)</f>
        <v>금융회사,금융 유관기관</v>
      </c>
      <c r="H172" s="8" t="str">
        <f>VLOOKUP($D172,설문!$C$2:$G$444,5,FALSE)</f>
        <v>국내주식/지수,해외주식/지수</v>
      </c>
    </row>
    <row r="173" spans="1:8">
      <c r="A173" s="6" t="s">
        <v>267</v>
      </c>
      <c r="B173" s="7" t="s">
        <v>508</v>
      </c>
      <c r="C173" s="7" t="s">
        <v>508</v>
      </c>
      <c r="D173" s="7" t="s">
        <v>1837</v>
      </c>
      <c r="E173" s="6" t="s">
        <v>616</v>
      </c>
      <c r="F173" s="8" t="e">
        <f>VLOOKUP($D173,설문!$C$2:$G$444,3,FALSE)</f>
        <v>#N/A</v>
      </c>
      <c r="G173" s="8" t="e">
        <f>VLOOKUP($D173,설문!$C$2:$G$444,4,FALSE)</f>
        <v>#N/A</v>
      </c>
      <c r="H173" s="8" t="e">
        <f>VLOOKUP($D173,설문!$C$2:$G$444,5,FALSE)</f>
        <v>#N/A</v>
      </c>
    </row>
    <row r="174" spans="1:8">
      <c r="A174" s="6" t="s">
        <v>267</v>
      </c>
      <c r="B174" s="7" t="s">
        <v>78</v>
      </c>
      <c r="C174" s="7" t="s">
        <v>78</v>
      </c>
      <c r="D174" s="7" t="s">
        <v>2215</v>
      </c>
      <c r="E174" s="6" t="s">
        <v>2216</v>
      </c>
      <c r="F174" s="8" t="e">
        <f>VLOOKUP($D174,설문!$C$2:$G$444,3,FALSE)</f>
        <v>#N/A</v>
      </c>
      <c r="G174" s="8" t="e">
        <f>VLOOKUP($D174,설문!$C$2:$G$444,4,FALSE)</f>
        <v>#N/A</v>
      </c>
      <c r="H174" s="8" t="e">
        <f>VLOOKUP($D174,설문!$C$2:$G$444,5,FALSE)</f>
        <v>#N/A</v>
      </c>
    </row>
    <row r="175" spans="1:8">
      <c r="A175" s="6" t="s">
        <v>242</v>
      </c>
      <c r="B175" s="7" t="s">
        <v>9</v>
      </c>
      <c r="C175" s="7" t="s">
        <v>9</v>
      </c>
      <c r="D175" s="7" t="s">
        <v>243</v>
      </c>
      <c r="E175" s="6" t="s">
        <v>244</v>
      </c>
      <c r="F175" s="8" t="e">
        <f>VLOOKUP($D175,설문!$C$2:$G$444,3,FALSE)</f>
        <v>#N/A</v>
      </c>
      <c r="G175" s="8" t="e">
        <f>VLOOKUP($D175,설문!$C$2:$G$444,4,FALSE)</f>
        <v>#N/A</v>
      </c>
      <c r="H175" s="8" t="e">
        <f>VLOOKUP($D175,설문!$C$2:$G$444,5,FALSE)</f>
        <v>#N/A</v>
      </c>
    </row>
    <row r="176" spans="1:8">
      <c r="A176" s="6" t="s">
        <v>554</v>
      </c>
      <c r="B176" s="7" t="s">
        <v>149</v>
      </c>
      <c r="C176" s="7" t="s">
        <v>149</v>
      </c>
      <c r="D176" s="7" t="s">
        <v>555</v>
      </c>
      <c r="E176" s="6" t="s">
        <v>556</v>
      </c>
      <c r="F176" s="8" t="e">
        <f>VLOOKUP($D176,설문!$C$2:$G$444,3,FALSE)</f>
        <v>#N/A</v>
      </c>
      <c r="G176" s="8" t="e">
        <f>VLOOKUP($D176,설문!$C$2:$G$444,4,FALSE)</f>
        <v>#N/A</v>
      </c>
      <c r="H176" s="8" t="e">
        <f>VLOOKUP($D176,설문!$C$2:$G$444,5,FALSE)</f>
        <v>#N/A</v>
      </c>
    </row>
    <row r="177" spans="1:8">
      <c r="A177" s="6" t="s">
        <v>554</v>
      </c>
      <c r="B177" s="7" t="s">
        <v>362</v>
      </c>
      <c r="C177" s="7" t="s">
        <v>362</v>
      </c>
      <c r="D177" s="7" t="s">
        <v>557</v>
      </c>
      <c r="E177" s="6" t="s">
        <v>558</v>
      </c>
      <c r="F177" s="8" t="e">
        <f>VLOOKUP($D177,설문!$C$2:$G$444,3,FALSE)</f>
        <v>#N/A</v>
      </c>
      <c r="G177" s="8" t="e">
        <f>VLOOKUP($D177,설문!$C$2:$G$444,4,FALSE)</f>
        <v>#N/A</v>
      </c>
      <c r="H177" s="8" t="e">
        <f>VLOOKUP($D177,설문!$C$2:$G$444,5,FALSE)</f>
        <v>#N/A</v>
      </c>
    </row>
    <row r="178" spans="1:8">
      <c r="A178" s="6" t="s">
        <v>554</v>
      </c>
      <c r="B178" s="7" t="s">
        <v>9</v>
      </c>
      <c r="C178" s="7" t="s">
        <v>1017</v>
      </c>
      <c r="D178" s="7" t="s">
        <v>1018</v>
      </c>
      <c r="E178" s="6" t="s">
        <v>1019</v>
      </c>
      <c r="F178" s="8" t="e">
        <f>VLOOKUP($D178,설문!$C$2:$G$444,3,FALSE)</f>
        <v>#N/A</v>
      </c>
      <c r="G178" s="8" t="e">
        <f>VLOOKUP($D178,설문!$C$2:$G$444,4,FALSE)</f>
        <v>#N/A</v>
      </c>
      <c r="H178" s="8" t="e">
        <f>VLOOKUP($D178,설문!$C$2:$G$444,5,FALSE)</f>
        <v>#N/A</v>
      </c>
    </row>
    <row r="179" spans="1:8">
      <c r="A179" s="6" t="s">
        <v>554</v>
      </c>
      <c r="B179" s="7" t="s">
        <v>9</v>
      </c>
      <c r="C179" s="7" t="s">
        <v>1104</v>
      </c>
      <c r="D179" s="7" t="s">
        <v>1105</v>
      </c>
      <c r="E179" s="6" t="s">
        <v>1106</v>
      </c>
      <c r="F179" s="8" t="e">
        <f>VLOOKUP($D179,설문!$C$2:$G$444,3,FALSE)</f>
        <v>#N/A</v>
      </c>
      <c r="G179" s="8" t="e">
        <f>VLOOKUP($D179,설문!$C$2:$G$444,4,FALSE)</f>
        <v>#N/A</v>
      </c>
      <c r="H179" s="8" t="e">
        <f>VLOOKUP($D179,설문!$C$2:$G$444,5,FALSE)</f>
        <v>#N/A</v>
      </c>
    </row>
    <row r="180" spans="1:8">
      <c r="A180" s="6" t="s">
        <v>554</v>
      </c>
      <c r="B180" s="7" t="s">
        <v>9</v>
      </c>
      <c r="C180" s="7" t="s">
        <v>1104</v>
      </c>
      <c r="D180" s="7" t="s">
        <v>1107</v>
      </c>
      <c r="E180" s="6" t="s">
        <v>1108</v>
      </c>
      <c r="F180" s="8" t="e">
        <f>VLOOKUP($D180,설문!$C$2:$G$444,3,FALSE)</f>
        <v>#N/A</v>
      </c>
      <c r="G180" s="8" t="e">
        <f>VLOOKUP($D180,설문!$C$2:$G$444,4,FALSE)</f>
        <v>#N/A</v>
      </c>
      <c r="H180" s="8" t="e">
        <f>VLOOKUP($D180,설문!$C$2:$G$444,5,FALSE)</f>
        <v>#N/A</v>
      </c>
    </row>
    <row r="181" spans="1:8">
      <c r="A181" s="6" t="s">
        <v>554</v>
      </c>
      <c r="B181" s="7" t="s">
        <v>9</v>
      </c>
      <c r="C181" s="7" t="s">
        <v>1104</v>
      </c>
      <c r="D181" s="7" t="s">
        <v>1109</v>
      </c>
      <c r="E181" s="6" t="s">
        <v>1110</v>
      </c>
      <c r="F181" s="8" t="e">
        <f>VLOOKUP($D181,설문!$C$2:$G$444,3,FALSE)</f>
        <v>#N/A</v>
      </c>
      <c r="G181" s="8" t="e">
        <f>VLOOKUP($D181,설문!$C$2:$G$444,4,FALSE)</f>
        <v>#N/A</v>
      </c>
      <c r="H181" s="8" t="e">
        <f>VLOOKUP($D181,설문!$C$2:$G$444,5,FALSE)</f>
        <v>#N/A</v>
      </c>
    </row>
    <row r="182" spans="1:8">
      <c r="A182" s="6" t="s">
        <v>554</v>
      </c>
      <c r="B182" s="7" t="s">
        <v>149</v>
      </c>
      <c r="C182" s="7" t="s">
        <v>149</v>
      </c>
      <c r="D182" s="7" t="s">
        <v>1251</v>
      </c>
      <c r="E182" s="6" t="s">
        <v>1252</v>
      </c>
      <c r="F182" s="8" t="str">
        <f>VLOOKUP($D182,설문!$C$2:$G$444,3,FALSE)</f>
        <v>트레이더,브로커</v>
      </c>
      <c r="G182" s="8" t="str">
        <f>VLOOKUP($D182,설문!$C$2:$G$444,4,FALSE)</f>
        <v>금융회사,금융 유관기관,기타</v>
      </c>
      <c r="H182" s="8" t="str">
        <f>VLOOKUP($D182,설문!$C$2:$G$444,5,FALSE)</f>
        <v>국고채/통안채,원화 구조화채권</v>
      </c>
    </row>
    <row r="183" spans="1:8">
      <c r="A183" s="6" t="s">
        <v>554</v>
      </c>
      <c r="B183" s="7" t="s">
        <v>149</v>
      </c>
      <c r="C183" s="7" t="s">
        <v>149</v>
      </c>
      <c r="D183" s="7" t="s">
        <v>1409</v>
      </c>
      <c r="E183" s="6" t="s">
        <v>1410</v>
      </c>
      <c r="F183" s="8" t="e">
        <f>VLOOKUP($D183,설문!$C$2:$G$444,3,FALSE)</f>
        <v>#N/A</v>
      </c>
      <c r="G183" s="8" t="e">
        <f>VLOOKUP($D183,설문!$C$2:$G$444,4,FALSE)</f>
        <v>#N/A</v>
      </c>
      <c r="H183" s="8" t="e">
        <f>VLOOKUP($D183,설문!$C$2:$G$444,5,FALSE)</f>
        <v>#N/A</v>
      </c>
    </row>
    <row r="184" spans="1:8">
      <c r="A184" s="6" t="s">
        <v>554</v>
      </c>
      <c r="B184" s="7" t="s">
        <v>227</v>
      </c>
      <c r="C184" s="7" t="s">
        <v>227</v>
      </c>
      <c r="D184" s="7" t="s">
        <v>1573</v>
      </c>
      <c r="E184" s="6" t="s">
        <v>1574</v>
      </c>
      <c r="F184" s="8" t="e">
        <f>VLOOKUP($D184,설문!$C$2:$G$444,3,FALSE)</f>
        <v>#N/A</v>
      </c>
      <c r="G184" s="8" t="e">
        <f>VLOOKUP($D184,설문!$C$2:$G$444,4,FALSE)</f>
        <v>#N/A</v>
      </c>
      <c r="H184" s="8" t="e">
        <f>VLOOKUP($D184,설문!$C$2:$G$444,5,FALSE)</f>
        <v>#N/A</v>
      </c>
    </row>
    <row r="185" spans="1:8">
      <c r="A185" s="6" t="s">
        <v>554</v>
      </c>
      <c r="B185" s="7" t="s">
        <v>227</v>
      </c>
      <c r="C185" s="7" t="s">
        <v>227</v>
      </c>
      <c r="D185" s="7" t="s">
        <v>1575</v>
      </c>
      <c r="E185" s="6" t="s">
        <v>1576</v>
      </c>
      <c r="F185" s="8" t="e">
        <f>VLOOKUP($D185,설문!$C$2:$G$444,3,FALSE)</f>
        <v>#N/A</v>
      </c>
      <c r="G185" s="8" t="e">
        <f>VLOOKUP($D185,설문!$C$2:$G$444,4,FALSE)</f>
        <v>#N/A</v>
      </c>
      <c r="H185" s="8" t="e">
        <f>VLOOKUP($D185,설문!$C$2:$G$444,5,FALSE)</f>
        <v>#N/A</v>
      </c>
    </row>
    <row r="186" spans="1:8">
      <c r="A186" s="6" t="s">
        <v>554</v>
      </c>
      <c r="B186" s="7" t="s">
        <v>9</v>
      </c>
      <c r="C186" s="7" t="s">
        <v>1632</v>
      </c>
      <c r="D186" s="7" t="s">
        <v>1633</v>
      </c>
      <c r="E186" s="6" t="s">
        <v>1634</v>
      </c>
      <c r="F186" s="8" t="e">
        <f>VLOOKUP($D186,설문!$C$2:$G$444,3,FALSE)</f>
        <v>#N/A</v>
      </c>
      <c r="G186" s="8" t="e">
        <f>VLOOKUP($D186,설문!$C$2:$G$444,4,FALSE)</f>
        <v>#N/A</v>
      </c>
      <c r="H186" s="8" t="e">
        <f>VLOOKUP($D186,설문!$C$2:$G$444,5,FALSE)</f>
        <v>#N/A</v>
      </c>
    </row>
    <row r="187" spans="1:8">
      <c r="A187" s="6" t="s">
        <v>554</v>
      </c>
      <c r="B187" s="7" t="s">
        <v>898</v>
      </c>
      <c r="C187" s="7" t="s">
        <v>898</v>
      </c>
      <c r="D187" s="7" t="s">
        <v>1720</v>
      </c>
      <c r="E187" s="6" t="s">
        <v>558</v>
      </c>
      <c r="F187" s="8" t="e">
        <f>VLOOKUP($D187,설문!$C$2:$G$444,3,FALSE)</f>
        <v>#N/A</v>
      </c>
      <c r="G187" s="8" t="e">
        <f>VLOOKUP($D187,설문!$C$2:$G$444,4,FALSE)</f>
        <v>#N/A</v>
      </c>
      <c r="H187" s="8" t="e">
        <f>VLOOKUP($D187,설문!$C$2:$G$444,5,FALSE)</f>
        <v>#N/A</v>
      </c>
    </row>
    <row r="188" spans="1:8">
      <c r="A188" s="6" t="s">
        <v>554</v>
      </c>
      <c r="B188" s="7" t="s">
        <v>5808</v>
      </c>
      <c r="C188" s="7" t="s">
        <v>9</v>
      </c>
      <c r="D188" s="7" t="s">
        <v>5809</v>
      </c>
      <c r="E188" s="6" t="s">
        <v>5810</v>
      </c>
      <c r="F188" s="8" t="e">
        <f>VLOOKUP($D188,설문!$C$2:$G$444,3,FALSE)</f>
        <v>#N/A</v>
      </c>
      <c r="G188" s="8" t="e">
        <f>VLOOKUP($D188,설문!$C$2:$G$444,4,FALSE)</f>
        <v>#N/A</v>
      </c>
      <c r="H188" s="8" t="e">
        <f>VLOOKUP($D188,설문!$C$2:$G$444,5,FALSE)</f>
        <v>#N/A</v>
      </c>
    </row>
    <row r="189" spans="1:8">
      <c r="A189" s="6" t="s">
        <v>554</v>
      </c>
      <c r="B189" s="7" t="s">
        <v>2077</v>
      </c>
      <c r="C189" s="7" t="s">
        <v>2077</v>
      </c>
      <c r="D189" s="7" t="s">
        <v>5811</v>
      </c>
      <c r="E189" s="6" t="s">
        <v>5812</v>
      </c>
      <c r="F189" s="8" t="e">
        <f>VLOOKUP($D189,설문!$C$2:$G$444,3,FALSE)</f>
        <v>#N/A</v>
      </c>
      <c r="G189" s="8" t="e">
        <f>VLOOKUP($D189,설문!$C$2:$G$444,4,FALSE)</f>
        <v>#N/A</v>
      </c>
      <c r="H189" s="8" t="e">
        <f>VLOOKUP($D189,설문!$C$2:$G$444,5,FALSE)</f>
        <v>#N/A</v>
      </c>
    </row>
    <row r="190" spans="1:8">
      <c r="A190" s="6" t="s">
        <v>554</v>
      </c>
      <c r="B190" s="7" t="s">
        <v>1600</v>
      </c>
      <c r="C190" s="7" t="s">
        <v>5813</v>
      </c>
      <c r="D190" s="7" t="s">
        <v>5814</v>
      </c>
      <c r="E190" s="6" t="s">
        <v>5815</v>
      </c>
      <c r="F190" s="8" t="e">
        <f>VLOOKUP($D190,설문!$C$2:$G$444,3,FALSE)</f>
        <v>#N/A</v>
      </c>
      <c r="G190" s="8" t="e">
        <f>VLOOKUP($D190,설문!$C$2:$G$444,4,FALSE)</f>
        <v>#N/A</v>
      </c>
      <c r="H190" s="8" t="e">
        <f>VLOOKUP($D190,설문!$C$2:$G$444,5,FALSE)</f>
        <v>#N/A</v>
      </c>
    </row>
    <row r="191" spans="1:8">
      <c r="A191" s="6" t="s">
        <v>554</v>
      </c>
      <c r="B191" s="7" t="s">
        <v>74</v>
      </c>
      <c r="C191" s="7" t="s">
        <v>74</v>
      </c>
      <c r="D191" s="7" t="s">
        <v>5816</v>
      </c>
      <c r="E191" s="6" t="s">
        <v>5817</v>
      </c>
      <c r="F191" s="8" t="e">
        <f>VLOOKUP($D191,설문!$C$2:$G$444,3,FALSE)</f>
        <v>#N/A</v>
      </c>
      <c r="G191" s="8" t="e">
        <f>VLOOKUP($D191,설문!$C$2:$G$444,4,FALSE)</f>
        <v>#N/A</v>
      </c>
      <c r="H191" s="8" t="e">
        <f>VLOOKUP($D191,설문!$C$2:$G$444,5,FALSE)</f>
        <v>#N/A</v>
      </c>
    </row>
    <row r="192" spans="1:8">
      <c r="A192" s="6" t="s">
        <v>554</v>
      </c>
      <c r="B192" s="7" t="s">
        <v>108</v>
      </c>
      <c r="C192" s="7" t="s">
        <v>108</v>
      </c>
      <c r="D192" s="7" t="s">
        <v>5818</v>
      </c>
      <c r="E192" s="6" t="s">
        <v>818</v>
      </c>
      <c r="F192" s="8" t="e">
        <f>VLOOKUP($D192,설문!$C$2:$G$444,3,FALSE)</f>
        <v>#N/A</v>
      </c>
      <c r="G192" s="8" t="e">
        <f>VLOOKUP($D192,설문!$C$2:$G$444,4,FALSE)</f>
        <v>#N/A</v>
      </c>
      <c r="H192" s="8" t="e">
        <f>VLOOKUP($D192,설문!$C$2:$G$444,5,FALSE)</f>
        <v>#N/A</v>
      </c>
    </row>
    <row r="193" spans="1:8">
      <c r="A193" s="6" t="s">
        <v>554</v>
      </c>
      <c r="B193" s="7" t="s">
        <v>162</v>
      </c>
      <c r="C193" s="7" t="s">
        <v>162</v>
      </c>
      <c r="D193" s="7" t="s">
        <v>5819</v>
      </c>
      <c r="E193" s="6" t="s">
        <v>5820</v>
      </c>
      <c r="F193" s="8" t="e">
        <f>VLOOKUP($D193,설문!$C$2:$G$444,3,FALSE)</f>
        <v>#N/A</v>
      </c>
      <c r="G193" s="8" t="e">
        <f>VLOOKUP($D193,설문!$C$2:$G$444,4,FALSE)</f>
        <v>#N/A</v>
      </c>
      <c r="H193" s="8" t="e">
        <f>VLOOKUP($D193,설문!$C$2:$G$444,5,FALSE)</f>
        <v>#N/A</v>
      </c>
    </row>
    <row r="194" spans="1:8">
      <c r="A194" s="6" t="s">
        <v>554</v>
      </c>
      <c r="B194" s="7" t="s">
        <v>4727</v>
      </c>
      <c r="C194" s="7" t="s">
        <v>5821</v>
      </c>
      <c r="D194" s="7" t="s">
        <v>5822</v>
      </c>
      <c r="E194" s="6" t="s">
        <v>5823</v>
      </c>
      <c r="F194" s="8" t="e">
        <f>VLOOKUP($D194,설문!$C$2:$G$444,3,FALSE)</f>
        <v>#N/A</v>
      </c>
      <c r="G194" s="8" t="e">
        <f>VLOOKUP($D194,설문!$C$2:$G$444,4,FALSE)</f>
        <v>#N/A</v>
      </c>
      <c r="H194" s="8" t="e">
        <f>VLOOKUP($D194,설문!$C$2:$G$444,5,FALSE)</f>
        <v>#N/A</v>
      </c>
    </row>
    <row r="195" spans="1:8">
      <c r="A195" s="6" t="s">
        <v>554</v>
      </c>
      <c r="B195" s="7" t="s">
        <v>4727</v>
      </c>
      <c r="C195" s="7" t="s">
        <v>365</v>
      </c>
      <c r="D195" s="7" t="s">
        <v>5824</v>
      </c>
      <c r="E195" s="6" t="s">
        <v>5825</v>
      </c>
      <c r="F195" s="8" t="e">
        <f>VLOOKUP($D195,설문!$C$2:$G$444,3,FALSE)</f>
        <v>#N/A</v>
      </c>
      <c r="G195" s="8" t="e">
        <f>VLOOKUP($D195,설문!$C$2:$G$444,4,FALSE)</f>
        <v>#N/A</v>
      </c>
      <c r="H195" s="8" t="e">
        <f>VLOOKUP($D195,설문!$C$2:$G$444,5,FALSE)</f>
        <v>#N/A</v>
      </c>
    </row>
    <row r="196" spans="1:8">
      <c r="A196" s="6" t="s">
        <v>554</v>
      </c>
      <c r="B196" s="7" t="s">
        <v>1017</v>
      </c>
      <c r="C196" s="7" t="s">
        <v>1017</v>
      </c>
      <c r="D196" s="7" t="s">
        <v>5826</v>
      </c>
      <c r="E196" s="6" t="s">
        <v>5827</v>
      </c>
      <c r="F196" s="8" t="str">
        <f>VLOOKUP($D196,설문!$C$2:$G$444,3,FALSE)</f>
        <v>트레이더</v>
      </c>
      <c r="G196" s="8" t="str">
        <f>VLOOKUP($D196,설문!$C$2:$G$444,4,FALSE)</f>
        <v>금융회사</v>
      </c>
      <c r="H196" s="8" t="str">
        <f>VLOOKUP($D196,설문!$C$2:$G$444,5,FALSE)</f>
        <v>국내주식/지수,국고채/통안채,회사채,국채선물,원화 구조화채권,국내주식/지수관련파생,원화 이자율스왑,해외주식/지수,해외주식/지수관련파생,ETF/ETN,ELW,ELS/DLS</v>
      </c>
    </row>
    <row r="197" spans="1:8">
      <c r="A197" s="6" t="s">
        <v>554</v>
      </c>
      <c r="B197" s="7" t="s">
        <v>1017</v>
      </c>
      <c r="C197" s="7" t="s">
        <v>1017</v>
      </c>
      <c r="D197" s="7" t="s">
        <v>5828</v>
      </c>
      <c r="E197" s="6" t="s">
        <v>1777</v>
      </c>
      <c r="F197" s="8" t="e">
        <f>VLOOKUP($D197,설문!$C$2:$G$444,3,FALSE)</f>
        <v>#N/A</v>
      </c>
      <c r="G197" s="8" t="e">
        <f>VLOOKUP($D197,설문!$C$2:$G$444,4,FALSE)</f>
        <v>#N/A</v>
      </c>
      <c r="H197" s="8" t="e">
        <f>VLOOKUP($D197,설문!$C$2:$G$444,5,FALSE)</f>
        <v>#N/A</v>
      </c>
    </row>
    <row r="198" spans="1:8">
      <c r="A198" s="6" t="s">
        <v>554</v>
      </c>
      <c r="B198" s="7" t="s">
        <v>264</v>
      </c>
      <c r="C198" s="7" t="s">
        <v>5829</v>
      </c>
      <c r="D198" s="7" t="s">
        <v>5830</v>
      </c>
      <c r="E198" s="6" t="s">
        <v>5831</v>
      </c>
      <c r="F198" s="8" t="e">
        <f>VLOOKUP($D198,설문!$C$2:$G$444,3,FALSE)</f>
        <v>#N/A</v>
      </c>
      <c r="G198" s="8" t="e">
        <f>VLOOKUP($D198,설문!$C$2:$G$444,4,FALSE)</f>
        <v>#N/A</v>
      </c>
      <c r="H198" s="8" t="e">
        <f>VLOOKUP($D198,설문!$C$2:$G$444,5,FALSE)</f>
        <v>#N/A</v>
      </c>
    </row>
    <row r="199" spans="1:8">
      <c r="A199" s="6" t="s">
        <v>554</v>
      </c>
      <c r="B199" s="7" t="s">
        <v>264</v>
      </c>
      <c r="C199" s="7" t="s">
        <v>5832</v>
      </c>
      <c r="D199" s="7" t="s">
        <v>5833</v>
      </c>
      <c r="E199" s="6" t="s">
        <v>5834</v>
      </c>
      <c r="F199" s="8" t="e">
        <f>VLOOKUP($D199,설문!$C$2:$G$444,3,FALSE)</f>
        <v>#N/A</v>
      </c>
      <c r="G199" s="8" t="e">
        <f>VLOOKUP($D199,설문!$C$2:$G$444,4,FALSE)</f>
        <v>#N/A</v>
      </c>
      <c r="H199" s="8" t="e">
        <f>VLOOKUP($D199,설문!$C$2:$G$444,5,FALSE)</f>
        <v>#N/A</v>
      </c>
    </row>
    <row r="200" spans="1:8">
      <c r="A200" s="6" t="s">
        <v>554</v>
      </c>
      <c r="B200" s="7" t="s">
        <v>898</v>
      </c>
      <c r="C200" s="7" t="s">
        <v>898</v>
      </c>
      <c r="D200" s="7" t="s">
        <v>5835</v>
      </c>
      <c r="E200" s="6" t="s">
        <v>5836</v>
      </c>
      <c r="F200" s="8" t="str">
        <f>VLOOKUP($D200,설문!$C$2:$G$444,3,FALSE)</f>
        <v>브로커</v>
      </c>
      <c r="G200" s="8" t="str">
        <f>VLOOKUP($D200,설문!$C$2:$G$444,4,FALSE)</f>
        <v>금융회사</v>
      </c>
      <c r="H200" s="8" t="str">
        <f>VLOOKUP($D200,설문!$C$2:$G$444,5,FALSE)</f>
        <v>국내주식/지수</v>
      </c>
    </row>
    <row r="201" spans="1:8">
      <c r="A201" s="6" t="s">
        <v>554</v>
      </c>
      <c r="B201" s="7" t="s">
        <v>898</v>
      </c>
      <c r="C201" s="7" t="s">
        <v>898</v>
      </c>
      <c r="D201" s="7" t="s">
        <v>5837</v>
      </c>
      <c r="E201" s="6" t="s">
        <v>5838</v>
      </c>
      <c r="F201" s="8" t="e">
        <f>VLOOKUP($D201,설문!$C$2:$G$444,3,FALSE)</f>
        <v>#N/A</v>
      </c>
      <c r="G201" s="8" t="e">
        <f>VLOOKUP($D201,설문!$C$2:$G$444,4,FALSE)</f>
        <v>#N/A</v>
      </c>
      <c r="H201" s="8" t="e">
        <f>VLOOKUP($D201,설문!$C$2:$G$444,5,FALSE)</f>
        <v>#N/A</v>
      </c>
    </row>
    <row r="202" spans="1:8">
      <c r="A202" s="6" t="s">
        <v>554</v>
      </c>
      <c r="B202" s="7" t="s">
        <v>898</v>
      </c>
      <c r="C202" s="7" t="s">
        <v>898</v>
      </c>
      <c r="D202" s="7" t="s">
        <v>5839</v>
      </c>
      <c r="E202" s="6" t="s">
        <v>5840</v>
      </c>
      <c r="F202" s="8" t="e">
        <f>VLOOKUP($D202,설문!$C$2:$G$444,3,FALSE)</f>
        <v>#N/A</v>
      </c>
      <c r="G202" s="8" t="e">
        <f>VLOOKUP($D202,설문!$C$2:$G$444,4,FALSE)</f>
        <v>#N/A</v>
      </c>
      <c r="H202" s="8" t="e">
        <f>VLOOKUP($D202,설문!$C$2:$G$444,5,FALSE)</f>
        <v>#N/A</v>
      </c>
    </row>
    <row r="203" spans="1:8">
      <c r="A203" s="6" t="s">
        <v>554</v>
      </c>
      <c r="B203" s="7" t="s">
        <v>5841</v>
      </c>
      <c r="C203" s="7" t="s">
        <v>74</v>
      </c>
      <c r="D203" s="7" t="s">
        <v>5842</v>
      </c>
      <c r="E203" s="6" t="s">
        <v>738</v>
      </c>
      <c r="F203" s="8" t="e">
        <f>VLOOKUP($D203,설문!$C$2:$G$444,3,FALSE)</f>
        <v>#N/A</v>
      </c>
      <c r="G203" s="8" t="e">
        <f>VLOOKUP($D203,설문!$C$2:$G$444,4,FALSE)</f>
        <v>#N/A</v>
      </c>
      <c r="H203" s="8" t="e">
        <f>VLOOKUP($D203,설문!$C$2:$G$444,5,FALSE)</f>
        <v>#N/A</v>
      </c>
    </row>
    <row r="204" spans="1:8">
      <c r="A204" s="6" t="s">
        <v>554</v>
      </c>
      <c r="B204" s="7" t="s">
        <v>5841</v>
      </c>
      <c r="C204" s="7" t="s">
        <v>202</v>
      </c>
      <c r="D204" s="7" t="s">
        <v>5843</v>
      </c>
      <c r="E204" s="6" t="s">
        <v>5844</v>
      </c>
      <c r="F204" s="8" t="e">
        <f>VLOOKUP($D204,설문!$C$2:$G$444,3,FALSE)</f>
        <v>#N/A</v>
      </c>
      <c r="G204" s="8" t="e">
        <f>VLOOKUP($D204,설문!$C$2:$G$444,4,FALSE)</f>
        <v>#N/A</v>
      </c>
      <c r="H204" s="8" t="e">
        <f>VLOOKUP($D204,설문!$C$2:$G$444,5,FALSE)</f>
        <v>#N/A</v>
      </c>
    </row>
    <row r="205" spans="1:8">
      <c r="A205" s="6" t="s">
        <v>554</v>
      </c>
      <c r="B205" s="7" t="s">
        <v>5845</v>
      </c>
      <c r="C205" s="7" t="s">
        <v>5643</v>
      </c>
      <c r="D205" s="7" t="s">
        <v>5846</v>
      </c>
      <c r="E205" s="6" t="s">
        <v>5847</v>
      </c>
      <c r="F205" s="8" t="e">
        <f>VLOOKUP($D205,설문!$C$2:$G$444,3,FALSE)</f>
        <v>#N/A</v>
      </c>
      <c r="G205" s="8" t="e">
        <f>VLOOKUP($D205,설문!$C$2:$G$444,4,FALSE)</f>
        <v>#N/A</v>
      </c>
      <c r="H205" s="8" t="e">
        <f>VLOOKUP($D205,설문!$C$2:$G$444,5,FALSE)</f>
        <v>#N/A</v>
      </c>
    </row>
    <row r="206" spans="1:8">
      <c r="A206" s="6" t="s">
        <v>554</v>
      </c>
      <c r="B206" s="7" t="s">
        <v>5845</v>
      </c>
      <c r="C206" s="7" t="s">
        <v>5643</v>
      </c>
      <c r="D206" s="7" t="s">
        <v>5848</v>
      </c>
      <c r="E206" s="6" t="s">
        <v>1511</v>
      </c>
      <c r="F206" s="8" t="e">
        <f>VLOOKUP($D206,설문!$C$2:$G$444,3,FALSE)</f>
        <v>#N/A</v>
      </c>
      <c r="G206" s="8" t="e">
        <f>VLOOKUP($D206,설문!$C$2:$G$444,4,FALSE)</f>
        <v>#N/A</v>
      </c>
      <c r="H206" s="8" t="e">
        <f>VLOOKUP($D206,설문!$C$2:$G$444,5,FALSE)</f>
        <v>#N/A</v>
      </c>
    </row>
    <row r="207" spans="1:8">
      <c r="A207" s="6" t="s">
        <v>554</v>
      </c>
      <c r="B207" s="7" t="s">
        <v>5849</v>
      </c>
      <c r="C207" s="7" t="s">
        <v>5849</v>
      </c>
      <c r="D207" s="7" t="s">
        <v>5850</v>
      </c>
      <c r="E207" s="6" t="s">
        <v>5851</v>
      </c>
      <c r="F207" s="8" t="e">
        <f>VLOOKUP($D207,설문!$C$2:$G$444,3,FALSE)</f>
        <v>#N/A</v>
      </c>
      <c r="G207" s="8" t="e">
        <f>VLOOKUP($D207,설문!$C$2:$G$444,4,FALSE)</f>
        <v>#N/A</v>
      </c>
      <c r="H207" s="8" t="e">
        <f>VLOOKUP($D207,설문!$C$2:$G$444,5,FALSE)</f>
        <v>#N/A</v>
      </c>
    </row>
    <row r="208" spans="1:8">
      <c r="A208" s="6" t="s">
        <v>554</v>
      </c>
      <c r="B208" s="7" t="s">
        <v>5852</v>
      </c>
      <c r="C208" s="7" t="s">
        <v>1104</v>
      </c>
      <c r="D208" s="7" t="s">
        <v>5853</v>
      </c>
      <c r="E208" s="6" t="s">
        <v>5854</v>
      </c>
      <c r="F208" s="8" t="str">
        <f>VLOOKUP($D208,설문!$C$2:$G$444,3,FALSE)</f>
        <v>시스템개발,트레이더</v>
      </c>
      <c r="G208" s="8" t="str">
        <f>VLOOKUP($D208,설문!$C$2:$G$444,4,FALSE)</f>
        <v>기타</v>
      </c>
      <c r="H208" s="8" t="str">
        <f>VLOOKUP($D208,설문!$C$2:$G$444,5,FALSE)</f>
        <v>국내주식/지수관련파생,ELW</v>
      </c>
    </row>
    <row r="209" spans="1:8">
      <c r="A209" s="6" t="s">
        <v>554</v>
      </c>
      <c r="B209" s="7" t="s">
        <v>5852</v>
      </c>
      <c r="C209" s="7" t="s">
        <v>1104</v>
      </c>
      <c r="D209" s="7" t="s">
        <v>5855</v>
      </c>
      <c r="E209" s="6" t="s">
        <v>2266</v>
      </c>
      <c r="F209" s="8" t="e">
        <f>VLOOKUP($D209,설문!$C$2:$G$444,3,FALSE)</f>
        <v>#N/A</v>
      </c>
      <c r="G209" s="8" t="e">
        <f>VLOOKUP($D209,설문!$C$2:$G$444,4,FALSE)</f>
        <v>#N/A</v>
      </c>
      <c r="H209" s="8" t="e">
        <f>VLOOKUP($D209,설문!$C$2:$G$444,5,FALSE)</f>
        <v>#N/A</v>
      </c>
    </row>
    <row r="210" spans="1:8">
      <c r="A210" s="6" t="s">
        <v>554</v>
      </c>
      <c r="B210" s="7" t="s">
        <v>149</v>
      </c>
      <c r="C210" s="7" t="s">
        <v>149</v>
      </c>
      <c r="D210" s="7" t="s">
        <v>5856</v>
      </c>
      <c r="E210" s="6" t="s">
        <v>5857</v>
      </c>
      <c r="F210" s="8" t="e">
        <f>VLOOKUP($D210,설문!$C$2:$G$444,3,FALSE)</f>
        <v>#N/A</v>
      </c>
      <c r="G210" s="8" t="e">
        <f>VLOOKUP($D210,설문!$C$2:$G$444,4,FALSE)</f>
        <v>#N/A</v>
      </c>
      <c r="H210" s="8" t="e">
        <f>VLOOKUP($D210,설문!$C$2:$G$444,5,FALSE)</f>
        <v>#N/A</v>
      </c>
    </row>
    <row r="211" spans="1:8">
      <c r="A211" s="6" t="s">
        <v>554</v>
      </c>
      <c r="B211" s="7" t="s">
        <v>149</v>
      </c>
      <c r="C211" s="7" t="s">
        <v>149</v>
      </c>
      <c r="D211" s="7" t="s">
        <v>5858</v>
      </c>
      <c r="E211" s="6" t="s">
        <v>5859</v>
      </c>
      <c r="F211" s="8" t="e">
        <f>VLOOKUP($D211,설문!$C$2:$G$444,3,FALSE)</f>
        <v>#N/A</v>
      </c>
      <c r="G211" s="8" t="e">
        <f>VLOOKUP($D211,설문!$C$2:$G$444,4,FALSE)</f>
        <v>#N/A</v>
      </c>
      <c r="H211" s="8" t="e">
        <f>VLOOKUP($D211,설문!$C$2:$G$444,5,FALSE)</f>
        <v>#N/A</v>
      </c>
    </row>
    <row r="212" spans="1:8">
      <c r="A212" s="6" t="s">
        <v>554</v>
      </c>
      <c r="B212" s="7" t="s">
        <v>149</v>
      </c>
      <c r="C212" s="7" t="s">
        <v>149</v>
      </c>
      <c r="D212" s="7" t="s">
        <v>5860</v>
      </c>
      <c r="E212" s="6" t="s">
        <v>5861</v>
      </c>
      <c r="F212" s="8" t="e">
        <f>VLOOKUP($D212,설문!$C$2:$G$444,3,FALSE)</f>
        <v>#N/A</v>
      </c>
      <c r="G212" s="8" t="e">
        <f>VLOOKUP($D212,설문!$C$2:$G$444,4,FALSE)</f>
        <v>#N/A</v>
      </c>
      <c r="H212" s="8" t="e">
        <f>VLOOKUP($D212,설문!$C$2:$G$444,5,FALSE)</f>
        <v>#N/A</v>
      </c>
    </row>
    <row r="213" spans="1:8">
      <c r="A213" s="6" t="s">
        <v>554</v>
      </c>
      <c r="B213" s="7" t="s">
        <v>149</v>
      </c>
      <c r="C213" s="7" t="s">
        <v>149</v>
      </c>
      <c r="D213" s="7" t="s">
        <v>5862</v>
      </c>
      <c r="E213" s="6" t="s">
        <v>5863</v>
      </c>
      <c r="F213" s="8" t="e">
        <f>VLOOKUP($D213,설문!$C$2:$G$444,3,FALSE)</f>
        <v>#N/A</v>
      </c>
      <c r="G213" s="8" t="e">
        <f>VLOOKUP($D213,설문!$C$2:$G$444,4,FALSE)</f>
        <v>#N/A</v>
      </c>
      <c r="H213" s="8" t="e">
        <f>VLOOKUP($D213,설문!$C$2:$G$444,5,FALSE)</f>
        <v>#N/A</v>
      </c>
    </row>
    <row r="214" spans="1:8">
      <c r="A214" s="6" t="s">
        <v>554</v>
      </c>
      <c r="B214" s="7" t="s">
        <v>5864</v>
      </c>
      <c r="C214" s="7" t="s">
        <v>5864</v>
      </c>
      <c r="D214" s="7" t="s">
        <v>5865</v>
      </c>
      <c r="E214" s="6" t="s">
        <v>5866</v>
      </c>
      <c r="F214" s="8" t="e">
        <f>VLOOKUP($D214,설문!$C$2:$G$444,3,FALSE)</f>
        <v>#N/A</v>
      </c>
      <c r="G214" s="8" t="e">
        <f>VLOOKUP($D214,설문!$C$2:$G$444,4,FALSE)</f>
        <v>#N/A</v>
      </c>
      <c r="H214" s="8" t="e">
        <f>VLOOKUP($D214,설문!$C$2:$G$444,5,FALSE)</f>
        <v>#N/A</v>
      </c>
    </row>
    <row r="215" spans="1:8">
      <c r="A215" s="6" t="s">
        <v>554</v>
      </c>
      <c r="B215" s="7" t="s">
        <v>5867</v>
      </c>
      <c r="C215" s="7" t="s">
        <v>5868</v>
      </c>
      <c r="D215" s="7" t="s">
        <v>5869</v>
      </c>
      <c r="E215" s="6" t="s">
        <v>5870</v>
      </c>
      <c r="F215" s="8" t="e">
        <f>VLOOKUP($D215,설문!$C$2:$G$444,3,FALSE)</f>
        <v>#N/A</v>
      </c>
      <c r="G215" s="8" t="e">
        <f>VLOOKUP($D215,설문!$C$2:$G$444,4,FALSE)</f>
        <v>#N/A</v>
      </c>
      <c r="H215" s="8" t="e">
        <f>VLOOKUP($D215,설문!$C$2:$G$444,5,FALSE)</f>
        <v>#N/A</v>
      </c>
    </row>
    <row r="216" spans="1:8">
      <c r="A216" s="6" t="s">
        <v>4956</v>
      </c>
      <c r="B216" s="7" t="s">
        <v>4957</v>
      </c>
      <c r="C216" s="7" t="s">
        <v>1798</v>
      </c>
      <c r="D216" s="7" t="s">
        <v>4958</v>
      </c>
      <c r="E216" s="6" t="s">
        <v>4959</v>
      </c>
      <c r="F216" s="8" t="e">
        <f>VLOOKUP($D216,설문!$C$2:$G$444,3,FALSE)</f>
        <v>#N/A</v>
      </c>
      <c r="G216" s="8" t="e">
        <f>VLOOKUP($D216,설문!$C$2:$G$444,4,FALSE)</f>
        <v>#N/A</v>
      </c>
      <c r="H216" s="8" t="e">
        <f>VLOOKUP($D216,설문!$C$2:$G$444,5,FALSE)</f>
        <v>#N/A</v>
      </c>
    </row>
    <row r="217" spans="1:8">
      <c r="A217" s="6" t="s">
        <v>4956</v>
      </c>
      <c r="B217" s="7" t="s">
        <v>4957</v>
      </c>
      <c r="C217" s="7" t="s">
        <v>1798</v>
      </c>
      <c r="D217" s="7" t="s">
        <v>4960</v>
      </c>
      <c r="E217" s="6" t="s">
        <v>4961</v>
      </c>
      <c r="F217" s="8" t="e">
        <f>VLOOKUP($D217,설문!$C$2:$G$444,3,FALSE)</f>
        <v>#N/A</v>
      </c>
      <c r="G217" s="8" t="e">
        <f>VLOOKUP($D217,설문!$C$2:$G$444,4,FALSE)</f>
        <v>#N/A</v>
      </c>
      <c r="H217" s="8" t="e">
        <f>VLOOKUP($D217,설문!$C$2:$G$444,5,FALSE)</f>
        <v>#N/A</v>
      </c>
    </row>
    <row r="218" spans="1:8">
      <c r="A218" s="6" t="s">
        <v>4956</v>
      </c>
      <c r="B218" s="7" t="s">
        <v>4962</v>
      </c>
      <c r="C218" s="7" t="s">
        <v>1798</v>
      </c>
      <c r="D218" s="7" t="s">
        <v>4963</v>
      </c>
      <c r="E218" s="6" t="s">
        <v>4964</v>
      </c>
      <c r="F218" s="8" t="e">
        <f>VLOOKUP($D218,설문!$C$2:$G$444,3,FALSE)</f>
        <v>#N/A</v>
      </c>
      <c r="G218" s="8" t="e">
        <f>VLOOKUP($D218,설문!$C$2:$G$444,4,FALSE)</f>
        <v>#N/A</v>
      </c>
      <c r="H218" s="8" t="e">
        <f>VLOOKUP($D218,설문!$C$2:$G$444,5,FALSE)</f>
        <v>#N/A</v>
      </c>
    </row>
    <row r="219" spans="1:8">
      <c r="A219" s="6" t="s">
        <v>66</v>
      </c>
      <c r="B219" s="7" t="s">
        <v>9</v>
      </c>
      <c r="C219" s="7" t="s">
        <v>9</v>
      </c>
      <c r="D219" s="7" t="s">
        <v>67</v>
      </c>
      <c r="E219" s="6" t="s">
        <v>62</v>
      </c>
      <c r="F219" s="8" t="e">
        <f>VLOOKUP($D219,설문!$C$2:$G$444,3,FALSE)</f>
        <v>#N/A</v>
      </c>
      <c r="G219" s="8" t="e">
        <f>VLOOKUP($D219,설문!$C$2:$G$444,4,FALSE)</f>
        <v>#N/A</v>
      </c>
      <c r="H219" s="8" t="e">
        <f>VLOOKUP($D219,설문!$C$2:$G$444,5,FALSE)</f>
        <v>#N/A</v>
      </c>
    </row>
    <row r="220" spans="1:8">
      <c r="A220" s="6" t="s">
        <v>66</v>
      </c>
      <c r="B220" s="7" t="s">
        <v>9</v>
      </c>
      <c r="C220" s="7" t="s">
        <v>9</v>
      </c>
      <c r="D220" s="7" t="s">
        <v>1404</v>
      </c>
      <c r="E220" s="6" t="s">
        <v>1405</v>
      </c>
      <c r="F220" s="8" t="e">
        <f>VLOOKUP($D220,설문!$C$2:$G$444,3,FALSE)</f>
        <v>#N/A</v>
      </c>
      <c r="G220" s="8" t="e">
        <f>VLOOKUP($D220,설문!$C$2:$G$444,4,FALSE)</f>
        <v>#N/A</v>
      </c>
      <c r="H220" s="8" t="e">
        <f>VLOOKUP($D220,설문!$C$2:$G$444,5,FALSE)</f>
        <v>#N/A</v>
      </c>
    </row>
    <row r="221" spans="1:8">
      <c r="A221" s="6" t="s">
        <v>66</v>
      </c>
      <c r="B221" s="7" t="s">
        <v>9</v>
      </c>
      <c r="C221" s="7" t="s">
        <v>9</v>
      </c>
      <c r="D221" s="7" t="s">
        <v>1406</v>
      </c>
      <c r="E221" s="6" t="s">
        <v>62</v>
      </c>
      <c r="F221" s="8" t="e">
        <f>VLOOKUP($D221,설문!$C$2:$G$444,3,FALSE)</f>
        <v>#N/A</v>
      </c>
      <c r="G221" s="8" t="e">
        <f>VLOOKUP($D221,설문!$C$2:$G$444,4,FALSE)</f>
        <v>#N/A</v>
      </c>
      <c r="H221" s="8" t="e">
        <f>VLOOKUP($D221,설문!$C$2:$G$444,5,FALSE)</f>
        <v>#N/A</v>
      </c>
    </row>
    <row r="222" spans="1:8">
      <c r="A222" s="6" t="s">
        <v>66</v>
      </c>
      <c r="B222" s="7" t="s">
        <v>9</v>
      </c>
      <c r="C222" s="7" t="s">
        <v>9</v>
      </c>
      <c r="D222" s="7" t="s">
        <v>2064</v>
      </c>
      <c r="E222" s="6" t="s">
        <v>2065</v>
      </c>
      <c r="F222" s="8" t="e">
        <f>VLOOKUP($D222,설문!$C$2:$G$444,3,FALSE)</f>
        <v>#N/A</v>
      </c>
      <c r="G222" s="8" t="e">
        <f>VLOOKUP($D222,설문!$C$2:$G$444,4,FALSE)</f>
        <v>#N/A</v>
      </c>
      <c r="H222" s="8" t="e">
        <f>VLOOKUP($D222,설문!$C$2:$G$444,5,FALSE)</f>
        <v>#N/A</v>
      </c>
    </row>
    <row r="223" spans="1:8">
      <c r="A223" s="6" t="s">
        <v>85</v>
      </c>
      <c r="B223" s="7" t="s">
        <v>86</v>
      </c>
      <c r="C223" s="7" t="s">
        <v>87</v>
      </c>
      <c r="D223" s="7" t="s">
        <v>88</v>
      </c>
      <c r="E223" s="6" t="s">
        <v>89</v>
      </c>
      <c r="F223" s="8" t="e">
        <f>VLOOKUP($D223,설문!$C$2:$G$444,3,FALSE)</f>
        <v>#N/A</v>
      </c>
      <c r="G223" s="8" t="e">
        <f>VLOOKUP($D223,설문!$C$2:$G$444,4,FALSE)</f>
        <v>#N/A</v>
      </c>
      <c r="H223" s="8" t="e">
        <f>VLOOKUP($D223,설문!$C$2:$G$444,5,FALSE)</f>
        <v>#N/A</v>
      </c>
    </row>
    <row r="224" spans="1:8">
      <c r="A224" s="6" t="s">
        <v>85</v>
      </c>
      <c r="B224" s="7" t="s">
        <v>86</v>
      </c>
      <c r="C224" s="7" t="s">
        <v>87</v>
      </c>
      <c r="D224" s="7" t="s">
        <v>90</v>
      </c>
      <c r="E224" s="6" t="s">
        <v>91</v>
      </c>
      <c r="F224" s="8" t="e">
        <f>VLOOKUP($D224,설문!$C$2:$G$444,3,FALSE)</f>
        <v>#N/A</v>
      </c>
      <c r="G224" s="8" t="e">
        <f>VLOOKUP($D224,설문!$C$2:$G$444,4,FALSE)</f>
        <v>#N/A</v>
      </c>
      <c r="H224" s="8" t="e">
        <f>VLOOKUP($D224,설문!$C$2:$G$444,5,FALSE)</f>
        <v>#N/A</v>
      </c>
    </row>
    <row r="225" spans="1:8">
      <c r="A225" s="6" t="s">
        <v>85</v>
      </c>
      <c r="B225" s="7" t="s">
        <v>3910</v>
      </c>
      <c r="C225" s="7" t="s">
        <v>3910</v>
      </c>
      <c r="D225" s="7" t="s">
        <v>3911</v>
      </c>
      <c r="E225" s="6" t="s">
        <v>3912</v>
      </c>
      <c r="F225" s="8" t="e">
        <f>VLOOKUP($D225,설문!$C$2:$G$444,3,FALSE)</f>
        <v>#N/A</v>
      </c>
      <c r="G225" s="8" t="e">
        <f>VLOOKUP($D225,설문!$C$2:$G$444,4,FALSE)</f>
        <v>#N/A</v>
      </c>
      <c r="H225" s="8" t="e">
        <f>VLOOKUP($D225,설문!$C$2:$G$444,5,FALSE)</f>
        <v>#N/A</v>
      </c>
    </row>
    <row r="226" spans="1:8">
      <c r="A226" s="6" t="s">
        <v>85</v>
      </c>
      <c r="B226" s="7" t="s">
        <v>935</v>
      </c>
      <c r="C226" s="7" t="s">
        <v>414</v>
      </c>
      <c r="D226" s="7" t="s">
        <v>3913</v>
      </c>
      <c r="E226" s="6" t="s">
        <v>3914</v>
      </c>
      <c r="F226" s="8" t="e">
        <f>VLOOKUP($D226,설문!$C$2:$G$444,3,FALSE)</f>
        <v>#N/A</v>
      </c>
      <c r="G226" s="8" t="e">
        <f>VLOOKUP($D226,설문!$C$2:$G$444,4,FALSE)</f>
        <v>#N/A</v>
      </c>
      <c r="H226" s="8" t="e">
        <f>VLOOKUP($D226,설문!$C$2:$G$444,5,FALSE)</f>
        <v>#N/A</v>
      </c>
    </row>
    <row r="227" spans="1:8">
      <c r="A227" s="6" t="s">
        <v>85</v>
      </c>
      <c r="B227" s="7" t="s">
        <v>935</v>
      </c>
      <c r="C227" s="7" t="s">
        <v>414</v>
      </c>
      <c r="D227" s="7" t="s">
        <v>3915</v>
      </c>
      <c r="E227" s="6" t="s">
        <v>3916</v>
      </c>
      <c r="F227" s="8" t="str">
        <f>VLOOKUP($D227,설문!$C$2:$G$444,3,FALSE)</f>
        <v>리스크관리(미들)</v>
      </c>
      <c r="G227" s="8" t="str">
        <f>VLOOKUP($D227,설문!$C$2:$G$444,4,FALSE)</f>
        <v>금융회사</v>
      </c>
      <c r="H227" s="8" t="str">
        <f>VLOOKUP($D227,설문!$C$2:$G$444,5,FALSE)</f>
        <v>국내주식/지수,국고채/통안채,단기자금</v>
      </c>
    </row>
    <row r="228" spans="1:8">
      <c r="A228" s="6" t="s">
        <v>85</v>
      </c>
      <c r="B228" s="7" t="s">
        <v>86</v>
      </c>
      <c r="C228" s="7" t="s">
        <v>86</v>
      </c>
      <c r="D228" s="7" t="s">
        <v>3917</v>
      </c>
      <c r="E228" s="6" t="s">
        <v>3831</v>
      </c>
      <c r="F228" s="8" t="e">
        <f>VLOOKUP($D228,설문!$C$2:$G$444,3,FALSE)</f>
        <v>#N/A</v>
      </c>
      <c r="G228" s="8" t="e">
        <f>VLOOKUP($D228,설문!$C$2:$G$444,4,FALSE)</f>
        <v>#N/A</v>
      </c>
      <c r="H228" s="8" t="e">
        <f>VLOOKUP($D228,설문!$C$2:$G$444,5,FALSE)</f>
        <v>#N/A</v>
      </c>
    </row>
    <row r="229" spans="1:8">
      <c r="A229" s="6" t="s">
        <v>85</v>
      </c>
      <c r="B229" s="7" t="s">
        <v>86</v>
      </c>
      <c r="C229" s="7" t="s">
        <v>86</v>
      </c>
      <c r="D229" s="7" t="s">
        <v>3918</v>
      </c>
      <c r="E229" s="6" t="s">
        <v>3919</v>
      </c>
      <c r="F229" s="8" t="str">
        <f>VLOOKUP($D229,설문!$C$2:$G$444,3,FALSE)</f>
        <v>딜러</v>
      </c>
      <c r="G229" s="8" t="str">
        <f>VLOOKUP($D229,설문!$C$2:$G$444,4,FALSE)</f>
        <v>금융회사</v>
      </c>
      <c r="H229" s="8" t="str">
        <f>VLOOKUP($D229,설문!$C$2:$G$444,5,FALSE)</f>
        <v>국고채/통안채,회사채</v>
      </c>
    </row>
    <row r="230" spans="1:8">
      <c r="A230" s="6" t="s">
        <v>85</v>
      </c>
      <c r="B230" s="7" t="s">
        <v>86</v>
      </c>
      <c r="C230" s="7" t="s">
        <v>86</v>
      </c>
      <c r="D230" s="7" t="s">
        <v>3920</v>
      </c>
      <c r="E230" s="6" t="s">
        <v>3921</v>
      </c>
      <c r="F230" s="8" t="e">
        <f>VLOOKUP($D230,설문!$C$2:$G$444,3,FALSE)</f>
        <v>#N/A</v>
      </c>
      <c r="G230" s="8" t="e">
        <f>VLOOKUP($D230,설문!$C$2:$G$444,4,FALSE)</f>
        <v>#N/A</v>
      </c>
      <c r="H230" s="8" t="e">
        <f>VLOOKUP($D230,설문!$C$2:$G$444,5,FALSE)</f>
        <v>#N/A</v>
      </c>
    </row>
    <row r="231" spans="1:8">
      <c r="A231" s="6" t="s">
        <v>85</v>
      </c>
      <c r="B231" s="7" t="s">
        <v>86</v>
      </c>
      <c r="C231" s="7" t="s">
        <v>86</v>
      </c>
      <c r="D231" s="7" t="s">
        <v>3922</v>
      </c>
      <c r="E231" s="6" t="s">
        <v>3923</v>
      </c>
      <c r="F231" s="8" t="e">
        <f>VLOOKUP($D231,설문!$C$2:$G$444,3,FALSE)</f>
        <v>#N/A</v>
      </c>
      <c r="G231" s="8" t="e">
        <f>VLOOKUP($D231,설문!$C$2:$G$444,4,FALSE)</f>
        <v>#N/A</v>
      </c>
      <c r="H231" s="8" t="e">
        <f>VLOOKUP($D231,설문!$C$2:$G$444,5,FALSE)</f>
        <v>#N/A</v>
      </c>
    </row>
    <row r="232" spans="1:8">
      <c r="A232" s="6" t="s">
        <v>85</v>
      </c>
      <c r="B232" s="7" t="s">
        <v>86</v>
      </c>
      <c r="C232" s="7" t="s">
        <v>86</v>
      </c>
      <c r="D232" s="7" t="s">
        <v>3924</v>
      </c>
      <c r="E232" s="6" t="s">
        <v>3925</v>
      </c>
      <c r="F232" s="8" t="str">
        <f>VLOOKUP($D232,설문!$C$2:$G$444,3,FALSE)</f>
        <v>딜러</v>
      </c>
      <c r="G232" s="8" t="str">
        <f>VLOOKUP($D232,설문!$C$2:$G$444,4,FALSE)</f>
        <v>금융회사</v>
      </c>
      <c r="H232" s="8" t="str">
        <f>VLOOKUP($D232,설문!$C$2:$G$444,5,FALSE)</f>
        <v>국내주식/지수,국고채/통안채,회사채,국채선물,원화 구조화채권,국내주식/지수관련파생,원화 이자율스왑</v>
      </c>
    </row>
    <row r="233" spans="1:8">
      <c r="A233" s="6" t="s">
        <v>85</v>
      </c>
      <c r="B233" s="7" t="s">
        <v>86</v>
      </c>
      <c r="C233" s="7" t="s">
        <v>86</v>
      </c>
      <c r="D233" s="7" t="s">
        <v>3926</v>
      </c>
      <c r="E233" s="6" t="s">
        <v>3927</v>
      </c>
      <c r="F233" s="8" t="e">
        <f>VLOOKUP($D233,설문!$C$2:$G$444,3,FALSE)</f>
        <v>#N/A</v>
      </c>
      <c r="G233" s="8" t="e">
        <f>VLOOKUP($D233,설문!$C$2:$G$444,4,FALSE)</f>
        <v>#N/A</v>
      </c>
      <c r="H233" s="8" t="e">
        <f>VLOOKUP($D233,설문!$C$2:$G$444,5,FALSE)</f>
        <v>#N/A</v>
      </c>
    </row>
    <row r="234" spans="1:8">
      <c r="A234" s="6" t="s">
        <v>85</v>
      </c>
      <c r="B234" s="7" t="s">
        <v>3928</v>
      </c>
      <c r="C234" s="7" t="s">
        <v>3928</v>
      </c>
      <c r="D234" s="7" t="s">
        <v>3929</v>
      </c>
      <c r="E234" s="6" t="s">
        <v>3930</v>
      </c>
      <c r="F234" s="8" t="e">
        <f>VLOOKUP($D234,설문!$C$2:$G$444,3,FALSE)</f>
        <v>#N/A</v>
      </c>
      <c r="G234" s="8" t="e">
        <f>VLOOKUP($D234,설문!$C$2:$G$444,4,FALSE)</f>
        <v>#N/A</v>
      </c>
      <c r="H234" s="8" t="e">
        <f>VLOOKUP($D234,설문!$C$2:$G$444,5,FALSE)</f>
        <v>#N/A</v>
      </c>
    </row>
    <row r="235" spans="1:8">
      <c r="A235" s="6" t="s">
        <v>85</v>
      </c>
      <c r="B235" s="7" t="s">
        <v>3931</v>
      </c>
      <c r="C235" s="7" t="s">
        <v>3931</v>
      </c>
      <c r="D235" s="7" t="s">
        <v>3932</v>
      </c>
      <c r="E235" s="6" t="s">
        <v>3933</v>
      </c>
      <c r="F235" s="8" t="str">
        <f>VLOOKUP($D235,설문!$C$2:$G$444,3,FALSE)</f>
        <v>리스크관리(미들)</v>
      </c>
      <c r="G235" s="8" t="str">
        <f>VLOOKUP($D235,설문!$C$2:$G$444,4,FALSE)</f>
        <v>금융회사,금융 유관기관,기타</v>
      </c>
      <c r="H235" s="8" t="str">
        <f>VLOOKUP($D235,설문!$C$2:$G$444,5,FALSE)</f>
        <v>국고채/통안채</v>
      </c>
    </row>
    <row r="236" spans="1:8">
      <c r="A236" s="6" t="s">
        <v>423</v>
      </c>
      <c r="B236" s="7" t="s">
        <v>395</v>
      </c>
      <c r="C236" s="7" t="s">
        <v>9</v>
      </c>
      <c r="D236" s="7" t="s">
        <v>424</v>
      </c>
      <c r="E236" s="6" t="s">
        <v>425</v>
      </c>
      <c r="F236" s="8" t="e">
        <f>VLOOKUP($D236,설문!$C$2:$G$444,3,FALSE)</f>
        <v>#N/A</v>
      </c>
      <c r="G236" s="8" t="e">
        <f>VLOOKUP($D236,설문!$C$2:$G$444,4,FALSE)</f>
        <v>#N/A</v>
      </c>
      <c r="H236" s="8" t="e">
        <f>VLOOKUP($D236,설문!$C$2:$G$444,5,FALSE)</f>
        <v>#N/A</v>
      </c>
    </row>
    <row r="237" spans="1:8">
      <c r="A237" s="6" t="s">
        <v>423</v>
      </c>
      <c r="B237" s="7" t="s">
        <v>395</v>
      </c>
      <c r="C237" s="7" t="s">
        <v>9</v>
      </c>
      <c r="D237" s="7" t="s">
        <v>426</v>
      </c>
      <c r="E237" s="6" t="s">
        <v>425</v>
      </c>
      <c r="F237" s="8" t="e">
        <f>VLOOKUP($D237,설문!$C$2:$G$444,3,FALSE)</f>
        <v>#N/A</v>
      </c>
      <c r="G237" s="8" t="e">
        <f>VLOOKUP($D237,설문!$C$2:$G$444,4,FALSE)</f>
        <v>#N/A</v>
      </c>
      <c r="H237" s="8" t="e">
        <f>VLOOKUP($D237,설문!$C$2:$G$444,5,FALSE)</f>
        <v>#N/A</v>
      </c>
    </row>
    <row r="238" spans="1:8">
      <c r="A238" s="6" t="s">
        <v>423</v>
      </c>
      <c r="B238" s="7" t="s">
        <v>395</v>
      </c>
      <c r="C238" s="7" t="s">
        <v>9</v>
      </c>
      <c r="D238" s="7" t="s">
        <v>594</v>
      </c>
      <c r="E238" s="6" t="s">
        <v>595</v>
      </c>
      <c r="F238" s="8" t="e">
        <f>VLOOKUP($D238,설문!$C$2:$G$444,3,FALSE)</f>
        <v>#N/A</v>
      </c>
      <c r="G238" s="8" t="e">
        <f>VLOOKUP($D238,설문!$C$2:$G$444,4,FALSE)</f>
        <v>#N/A</v>
      </c>
      <c r="H238" s="8" t="e">
        <f>VLOOKUP($D238,설문!$C$2:$G$444,5,FALSE)</f>
        <v>#N/A</v>
      </c>
    </row>
    <row r="239" spans="1:8">
      <c r="A239" s="6" t="s">
        <v>423</v>
      </c>
      <c r="B239" s="7" t="s">
        <v>395</v>
      </c>
      <c r="C239" s="7" t="s">
        <v>9</v>
      </c>
      <c r="D239" s="7" t="s">
        <v>641</v>
      </c>
      <c r="E239" s="6" t="s">
        <v>642</v>
      </c>
      <c r="F239" s="8" t="e">
        <f>VLOOKUP($D239,설문!$C$2:$G$444,3,FALSE)</f>
        <v>#N/A</v>
      </c>
      <c r="G239" s="8" t="e">
        <f>VLOOKUP($D239,설문!$C$2:$G$444,4,FALSE)</f>
        <v>#N/A</v>
      </c>
      <c r="H239" s="8" t="e">
        <f>VLOOKUP($D239,설문!$C$2:$G$444,5,FALSE)</f>
        <v>#N/A</v>
      </c>
    </row>
    <row r="240" spans="1:8">
      <c r="A240" s="6" t="s">
        <v>423</v>
      </c>
      <c r="B240" s="7" t="s">
        <v>395</v>
      </c>
      <c r="C240" s="7" t="s">
        <v>9</v>
      </c>
      <c r="D240" s="7" t="s">
        <v>1864</v>
      </c>
      <c r="E240" s="6" t="s">
        <v>1865</v>
      </c>
      <c r="F240" s="8" t="e">
        <f>VLOOKUP($D240,설문!$C$2:$G$444,3,FALSE)</f>
        <v>#N/A</v>
      </c>
      <c r="G240" s="8" t="e">
        <f>VLOOKUP($D240,설문!$C$2:$G$444,4,FALSE)</f>
        <v>#N/A</v>
      </c>
      <c r="H240" s="8" t="e">
        <f>VLOOKUP($D240,설문!$C$2:$G$444,5,FALSE)</f>
        <v>#N/A</v>
      </c>
    </row>
    <row r="241" spans="1:8">
      <c r="A241" s="6" t="s">
        <v>423</v>
      </c>
      <c r="B241" s="7" t="s">
        <v>5006</v>
      </c>
      <c r="C241" s="7" t="s">
        <v>5007</v>
      </c>
      <c r="D241" s="7" t="s">
        <v>5008</v>
      </c>
      <c r="E241" s="6" t="s">
        <v>5009</v>
      </c>
      <c r="F241" s="8" t="e">
        <f>VLOOKUP($D241,설문!$C$2:$G$444,3,FALSE)</f>
        <v>#N/A</v>
      </c>
      <c r="G241" s="8" t="e">
        <f>VLOOKUP($D241,설문!$C$2:$G$444,4,FALSE)</f>
        <v>#N/A</v>
      </c>
      <c r="H241" s="8" t="e">
        <f>VLOOKUP($D241,설문!$C$2:$G$444,5,FALSE)</f>
        <v>#N/A</v>
      </c>
    </row>
    <row r="242" spans="1:8">
      <c r="A242" s="6" t="s">
        <v>423</v>
      </c>
      <c r="B242" s="7" t="s">
        <v>5006</v>
      </c>
      <c r="C242" s="7" t="s">
        <v>5007</v>
      </c>
      <c r="D242" s="7" t="s">
        <v>5010</v>
      </c>
      <c r="E242" s="6" t="s">
        <v>5011</v>
      </c>
      <c r="F242" s="8" t="e">
        <f>VLOOKUP($D242,설문!$C$2:$G$444,3,FALSE)</f>
        <v>#N/A</v>
      </c>
      <c r="G242" s="8" t="e">
        <f>VLOOKUP($D242,설문!$C$2:$G$444,4,FALSE)</f>
        <v>#N/A</v>
      </c>
      <c r="H242" s="8" t="e">
        <f>VLOOKUP($D242,설문!$C$2:$G$444,5,FALSE)</f>
        <v>#N/A</v>
      </c>
    </row>
    <row r="243" spans="1:8">
      <c r="A243" s="6" t="s">
        <v>423</v>
      </c>
      <c r="B243" s="7" t="s">
        <v>5006</v>
      </c>
      <c r="C243" s="7" t="s">
        <v>5007</v>
      </c>
      <c r="D243" s="7" t="s">
        <v>5012</v>
      </c>
      <c r="E243" s="6" t="s">
        <v>5011</v>
      </c>
      <c r="F243" s="8" t="e">
        <f>VLOOKUP($D243,설문!$C$2:$G$444,3,FALSE)</f>
        <v>#N/A</v>
      </c>
      <c r="G243" s="8" t="e">
        <f>VLOOKUP($D243,설문!$C$2:$G$444,4,FALSE)</f>
        <v>#N/A</v>
      </c>
      <c r="H243" s="8" t="e">
        <f>VLOOKUP($D243,설문!$C$2:$G$444,5,FALSE)</f>
        <v>#N/A</v>
      </c>
    </row>
    <row r="244" spans="1:8">
      <c r="A244" s="6" t="s">
        <v>423</v>
      </c>
      <c r="B244" s="7" t="s">
        <v>5006</v>
      </c>
      <c r="C244" s="7" t="s">
        <v>5007</v>
      </c>
      <c r="D244" s="7" t="s">
        <v>5013</v>
      </c>
      <c r="E244" s="6" t="s">
        <v>5011</v>
      </c>
      <c r="F244" s="8" t="e">
        <f>VLOOKUP($D244,설문!$C$2:$G$444,3,FALSE)</f>
        <v>#N/A</v>
      </c>
      <c r="G244" s="8" t="e">
        <f>VLOOKUP($D244,설문!$C$2:$G$444,4,FALSE)</f>
        <v>#N/A</v>
      </c>
      <c r="H244" s="8" t="e">
        <f>VLOOKUP($D244,설문!$C$2:$G$444,5,FALSE)</f>
        <v>#N/A</v>
      </c>
    </row>
    <row r="245" spans="1:8">
      <c r="A245" s="6" t="s">
        <v>423</v>
      </c>
      <c r="B245" s="7" t="s">
        <v>5014</v>
      </c>
      <c r="C245" s="7" t="s">
        <v>5014</v>
      </c>
      <c r="D245" s="7" t="s">
        <v>5015</v>
      </c>
      <c r="E245" s="6" t="s">
        <v>5016</v>
      </c>
      <c r="F245" s="8" t="e">
        <f>VLOOKUP($D245,설문!$C$2:$G$444,3,FALSE)</f>
        <v>#N/A</v>
      </c>
      <c r="G245" s="8" t="e">
        <f>VLOOKUP($D245,설문!$C$2:$G$444,4,FALSE)</f>
        <v>#N/A</v>
      </c>
      <c r="H245" s="8" t="e">
        <f>VLOOKUP($D245,설문!$C$2:$G$444,5,FALSE)</f>
        <v>#N/A</v>
      </c>
    </row>
    <row r="246" spans="1:8">
      <c r="A246" s="6" t="s">
        <v>423</v>
      </c>
      <c r="B246" s="7" t="s">
        <v>395</v>
      </c>
      <c r="C246" s="7" t="s">
        <v>9</v>
      </c>
      <c r="D246" s="7" t="s">
        <v>5017</v>
      </c>
      <c r="E246" s="6" t="s">
        <v>5018</v>
      </c>
      <c r="F246" s="8" t="e">
        <f>VLOOKUP($D246,설문!$C$2:$G$444,3,FALSE)</f>
        <v>#N/A</v>
      </c>
      <c r="G246" s="8" t="e">
        <f>VLOOKUP($D246,설문!$C$2:$G$444,4,FALSE)</f>
        <v>#N/A</v>
      </c>
      <c r="H246" s="8" t="e">
        <f>VLOOKUP($D246,설문!$C$2:$G$444,5,FALSE)</f>
        <v>#N/A</v>
      </c>
    </row>
    <row r="247" spans="1:8">
      <c r="A247" s="6" t="s">
        <v>423</v>
      </c>
      <c r="B247" s="7" t="s">
        <v>2783</v>
      </c>
      <c r="C247" s="7" t="s">
        <v>9</v>
      </c>
      <c r="D247" s="7" t="s">
        <v>5019</v>
      </c>
      <c r="E247" s="6" t="s">
        <v>5020</v>
      </c>
      <c r="F247" s="8" t="e">
        <f>VLOOKUP($D247,설문!$C$2:$G$444,3,FALSE)</f>
        <v>#N/A</v>
      </c>
      <c r="G247" s="8" t="e">
        <f>VLOOKUP($D247,설문!$C$2:$G$444,4,FALSE)</f>
        <v>#N/A</v>
      </c>
      <c r="H247" s="8" t="e">
        <f>VLOOKUP($D247,설문!$C$2:$G$444,5,FALSE)</f>
        <v>#N/A</v>
      </c>
    </row>
    <row r="248" spans="1:8">
      <c r="A248" s="6" t="s">
        <v>423</v>
      </c>
      <c r="B248" s="7" t="s">
        <v>2783</v>
      </c>
      <c r="C248" s="7" t="s">
        <v>9</v>
      </c>
      <c r="D248" s="7" t="s">
        <v>5021</v>
      </c>
      <c r="E248" s="6" t="s">
        <v>5022</v>
      </c>
      <c r="F248" s="8" t="e">
        <f>VLOOKUP($D248,설문!$C$2:$G$444,3,FALSE)</f>
        <v>#N/A</v>
      </c>
      <c r="G248" s="8" t="e">
        <f>VLOOKUP($D248,설문!$C$2:$G$444,4,FALSE)</f>
        <v>#N/A</v>
      </c>
      <c r="H248" s="8" t="e">
        <f>VLOOKUP($D248,설문!$C$2:$G$444,5,FALSE)</f>
        <v>#N/A</v>
      </c>
    </row>
    <row r="249" spans="1:8">
      <c r="A249" s="6" t="s">
        <v>423</v>
      </c>
      <c r="B249" s="7" t="s">
        <v>2783</v>
      </c>
      <c r="C249" s="7" t="s">
        <v>9</v>
      </c>
      <c r="D249" s="7" t="s">
        <v>5023</v>
      </c>
      <c r="E249" s="6" t="s">
        <v>5024</v>
      </c>
      <c r="F249" s="8" t="e">
        <f>VLOOKUP($D249,설문!$C$2:$G$444,3,FALSE)</f>
        <v>#N/A</v>
      </c>
      <c r="G249" s="8" t="e">
        <f>VLOOKUP($D249,설문!$C$2:$G$444,4,FALSE)</f>
        <v>#N/A</v>
      </c>
      <c r="H249" s="8" t="e">
        <f>VLOOKUP($D249,설문!$C$2:$G$444,5,FALSE)</f>
        <v>#N/A</v>
      </c>
    </row>
    <row r="250" spans="1:8">
      <c r="A250" s="6" t="s">
        <v>423</v>
      </c>
      <c r="B250" s="7" t="s">
        <v>5025</v>
      </c>
      <c r="C250" s="7" t="s">
        <v>5025</v>
      </c>
      <c r="D250" s="7" t="s">
        <v>5026</v>
      </c>
      <c r="E250" s="6" t="s">
        <v>5027</v>
      </c>
      <c r="F250" s="8" t="e">
        <f>VLOOKUP($D250,설문!$C$2:$G$444,3,FALSE)</f>
        <v>#N/A</v>
      </c>
      <c r="G250" s="8" t="e">
        <f>VLOOKUP($D250,설문!$C$2:$G$444,4,FALSE)</f>
        <v>#N/A</v>
      </c>
      <c r="H250" s="8" t="e">
        <f>VLOOKUP($D250,설문!$C$2:$G$444,5,FALSE)</f>
        <v>#N/A</v>
      </c>
    </row>
    <row r="251" spans="1:8">
      <c r="A251" s="6" t="s">
        <v>423</v>
      </c>
      <c r="B251" s="7" t="s">
        <v>395</v>
      </c>
      <c r="C251" s="7" t="s">
        <v>9</v>
      </c>
      <c r="D251" s="7" t="s">
        <v>5028</v>
      </c>
      <c r="E251" s="6" t="s">
        <v>5029</v>
      </c>
      <c r="F251" s="8" t="e">
        <f>VLOOKUP($D251,설문!$C$2:$G$444,3,FALSE)</f>
        <v>#N/A</v>
      </c>
      <c r="G251" s="8" t="e">
        <f>VLOOKUP($D251,설문!$C$2:$G$444,4,FALSE)</f>
        <v>#N/A</v>
      </c>
      <c r="H251" s="8" t="e">
        <f>VLOOKUP($D251,설문!$C$2:$G$444,5,FALSE)</f>
        <v>#N/A</v>
      </c>
    </row>
    <row r="252" spans="1:8">
      <c r="A252" s="6" t="s">
        <v>423</v>
      </c>
      <c r="B252" s="7" t="s">
        <v>395</v>
      </c>
      <c r="C252" s="7" t="s">
        <v>9</v>
      </c>
      <c r="D252" s="7" t="s">
        <v>5030</v>
      </c>
      <c r="E252" s="6" t="s">
        <v>5031</v>
      </c>
      <c r="F252" s="8" t="e">
        <f>VLOOKUP($D252,설문!$C$2:$G$444,3,FALSE)</f>
        <v>#N/A</v>
      </c>
      <c r="G252" s="8" t="e">
        <f>VLOOKUP($D252,설문!$C$2:$G$444,4,FALSE)</f>
        <v>#N/A</v>
      </c>
      <c r="H252" s="8" t="e">
        <f>VLOOKUP($D252,설문!$C$2:$G$444,5,FALSE)</f>
        <v>#N/A</v>
      </c>
    </row>
    <row r="253" spans="1:8">
      <c r="A253" s="6" t="s">
        <v>423</v>
      </c>
      <c r="B253" s="7" t="s">
        <v>395</v>
      </c>
      <c r="C253" s="7" t="s">
        <v>9</v>
      </c>
      <c r="D253" s="7" t="s">
        <v>5032</v>
      </c>
      <c r="E253" s="6" t="s">
        <v>5033</v>
      </c>
      <c r="F253" s="8" t="e">
        <f>VLOOKUP($D253,설문!$C$2:$G$444,3,FALSE)</f>
        <v>#N/A</v>
      </c>
      <c r="G253" s="8" t="e">
        <f>VLOOKUP($D253,설문!$C$2:$G$444,4,FALSE)</f>
        <v>#N/A</v>
      </c>
      <c r="H253" s="8" t="e">
        <f>VLOOKUP($D253,설문!$C$2:$G$444,5,FALSE)</f>
        <v>#N/A</v>
      </c>
    </row>
    <row r="254" spans="1:8">
      <c r="A254" s="6" t="s">
        <v>423</v>
      </c>
      <c r="B254" s="7" t="s">
        <v>395</v>
      </c>
      <c r="C254" s="7" t="s">
        <v>9</v>
      </c>
      <c r="D254" s="7" t="s">
        <v>5034</v>
      </c>
      <c r="E254" s="6" t="s">
        <v>5035</v>
      </c>
      <c r="F254" s="8" t="e">
        <f>VLOOKUP($D254,설문!$C$2:$G$444,3,FALSE)</f>
        <v>#N/A</v>
      </c>
      <c r="G254" s="8" t="e">
        <f>VLOOKUP($D254,설문!$C$2:$G$444,4,FALSE)</f>
        <v>#N/A</v>
      </c>
      <c r="H254" s="8" t="e">
        <f>VLOOKUP($D254,설문!$C$2:$G$444,5,FALSE)</f>
        <v>#N/A</v>
      </c>
    </row>
    <row r="255" spans="1:8">
      <c r="A255" s="6" t="s">
        <v>423</v>
      </c>
      <c r="B255" s="7" t="s">
        <v>395</v>
      </c>
      <c r="C255" s="7" t="s">
        <v>9</v>
      </c>
      <c r="D255" s="7" t="s">
        <v>5036</v>
      </c>
      <c r="E255" s="6" t="s">
        <v>5037</v>
      </c>
      <c r="F255" s="8" t="e">
        <f>VLOOKUP($D255,설문!$C$2:$G$444,3,FALSE)</f>
        <v>#N/A</v>
      </c>
      <c r="G255" s="8" t="e">
        <f>VLOOKUP($D255,설문!$C$2:$G$444,4,FALSE)</f>
        <v>#N/A</v>
      </c>
      <c r="H255" s="8" t="e">
        <f>VLOOKUP($D255,설문!$C$2:$G$444,5,FALSE)</f>
        <v>#N/A</v>
      </c>
    </row>
    <row r="256" spans="1:8">
      <c r="A256" s="6" t="s">
        <v>423</v>
      </c>
      <c r="B256" s="7" t="s">
        <v>395</v>
      </c>
      <c r="C256" s="7" t="s">
        <v>9</v>
      </c>
      <c r="D256" s="7" t="s">
        <v>5038</v>
      </c>
      <c r="E256" s="6" t="s">
        <v>5039</v>
      </c>
      <c r="F256" s="8" t="e">
        <f>VLOOKUP($D256,설문!$C$2:$G$444,3,FALSE)</f>
        <v>#N/A</v>
      </c>
      <c r="G256" s="8" t="e">
        <f>VLOOKUP($D256,설문!$C$2:$G$444,4,FALSE)</f>
        <v>#N/A</v>
      </c>
      <c r="H256" s="8" t="e">
        <f>VLOOKUP($D256,설문!$C$2:$G$444,5,FALSE)</f>
        <v>#N/A</v>
      </c>
    </row>
    <row r="257" spans="1:8">
      <c r="A257" s="6" t="s">
        <v>423</v>
      </c>
      <c r="B257" s="7" t="s">
        <v>395</v>
      </c>
      <c r="C257" s="7" t="s">
        <v>5040</v>
      </c>
      <c r="D257" s="7" t="s">
        <v>5041</v>
      </c>
      <c r="E257" s="6" t="s">
        <v>5042</v>
      </c>
      <c r="F257" s="8" t="e">
        <f>VLOOKUP($D257,설문!$C$2:$G$444,3,FALSE)</f>
        <v>#N/A</v>
      </c>
      <c r="G257" s="8" t="e">
        <f>VLOOKUP($D257,설문!$C$2:$G$444,4,FALSE)</f>
        <v>#N/A</v>
      </c>
      <c r="H257" s="8" t="e">
        <f>VLOOKUP($D257,설문!$C$2:$G$444,5,FALSE)</f>
        <v>#N/A</v>
      </c>
    </row>
    <row r="258" spans="1:8">
      <c r="A258" s="6" t="s">
        <v>423</v>
      </c>
      <c r="B258" s="7" t="s">
        <v>395</v>
      </c>
      <c r="C258" s="7" t="s">
        <v>9</v>
      </c>
      <c r="D258" s="7" t="s">
        <v>5043</v>
      </c>
      <c r="E258" s="6" t="s">
        <v>5044</v>
      </c>
      <c r="F258" s="8" t="e">
        <f>VLOOKUP($D258,설문!$C$2:$G$444,3,FALSE)</f>
        <v>#N/A</v>
      </c>
      <c r="G258" s="8" t="e">
        <f>VLOOKUP($D258,설문!$C$2:$G$444,4,FALSE)</f>
        <v>#N/A</v>
      </c>
      <c r="H258" s="8" t="e">
        <f>VLOOKUP($D258,설문!$C$2:$G$444,5,FALSE)</f>
        <v>#N/A</v>
      </c>
    </row>
    <row r="259" spans="1:8">
      <c r="A259" s="6" t="s">
        <v>423</v>
      </c>
      <c r="B259" s="7" t="s">
        <v>395</v>
      </c>
      <c r="C259" s="7" t="s">
        <v>202</v>
      </c>
      <c r="D259" s="7" t="s">
        <v>5045</v>
      </c>
      <c r="E259" s="6" t="s">
        <v>5046</v>
      </c>
      <c r="F259" s="8" t="e">
        <f>VLOOKUP($D259,설문!$C$2:$G$444,3,FALSE)</f>
        <v>#N/A</v>
      </c>
      <c r="G259" s="8" t="e">
        <f>VLOOKUP($D259,설문!$C$2:$G$444,4,FALSE)</f>
        <v>#N/A</v>
      </c>
      <c r="H259" s="8" t="e">
        <f>VLOOKUP($D259,설문!$C$2:$G$444,5,FALSE)</f>
        <v>#N/A</v>
      </c>
    </row>
    <row r="260" spans="1:8">
      <c r="A260" s="6" t="s">
        <v>423</v>
      </c>
      <c r="B260" s="7" t="s">
        <v>395</v>
      </c>
      <c r="C260" s="7" t="s">
        <v>202</v>
      </c>
      <c r="D260" s="7" t="s">
        <v>5047</v>
      </c>
      <c r="E260" s="6" t="s">
        <v>5048</v>
      </c>
      <c r="F260" s="8" t="e">
        <f>VLOOKUP($D260,설문!$C$2:$G$444,3,FALSE)</f>
        <v>#N/A</v>
      </c>
      <c r="G260" s="8" t="e">
        <f>VLOOKUP($D260,설문!$C$2:$G$444,4,FALSE)</f>
        <v>#N/A</v>
      </c>
      <c r="H260" s="8" t="e">
        <f>VLOOKUP($D260,설문!$C$2:$G$444,5,FALSE)</f>
        <v>#N/A</v>
      </c>
    </row>
    <row r="261" spans="1:8">
      <c r="A261" s="6" t="s">
        <v>423</v>
      </c>
      <c r="B261" s="7" t="s">
        <v>395</v>
      </c>
      <c r="C261" s="7" t="s">
        <v>202</v>
      </c>
      <c r="D261" s="7" t="s">
        <v>5049</v>
      </c>
      <c r="E261" s="6" t="s">
        <v>5050</v>
      </c>
      <c r="F261" s="8" t="e">
        <f>VLOOKUP($D261,설문!$C$2:$G$444,3,FALSE)</f>
        <v>#N/A</v>
      </c>
      <c r="G261" s="8" t="e">
        <f>VLOOKUP($D261,설문!$C$2:$G$444,4,FALSE)</f>
        <v>#N/A</v>
      </c>
      <c r="H261" s="8" t="e">
        <f>VLOOKUP($D261,설문!$C$2:$G$444,5,FALSE)</f>
        <v>#N/A</v>
      </c>
    </row>
    <row r="262" spans="1:8">
      <c r="A262" s="6" t="s">
        <v>423</v>
      </c>
      <c r="B262" s="7" t="s">
        <v>5051</v>
      </c>
      <c r="C262" s="7" t="s">
        <v>5051</v>
      </c>
      <c r="D262" s="7" t="s">
        <v>5052</v>
      </c>
      <c r="E262" s="6" t="s">
        <v>5053</v>
      </c>
      <c r="F262" s="8" t="e">
        <f>VLOOKUP($D262,설문!$C$2:$G$444,3,FALSE)</f>
        <v>#N/A</v>
      </c>
      <c r="G262" s="8" t="e">
        <f>VLOOKUP($D262,설문!$C$2:$G$444,4,FALSE)</f>
        <v>#N/A</v>
      </c>
      <c r="H262" s="8" t="e">
        <f>VLOOKUP($D262,설문!$C$2:$G$444,5,FALSE)</f>
        <v>#N/A</v>
      </c>
    </row>
    <row r="263" spans="1:8">
      <c r="A263" s="6" t="s">
        <v>534</v>
      </c>
      <c r="B263" s="7" t="s">
        <v>149</v>
      </c>
      <c r="C263" s="7" t="s">
        <v>108</v>
      </c>
      <c r="D263" s="7" t="s">
        <v>535</v>
      </c>
      <c r="E263" s="6" t="s">
        <v>536</v>
      </c>
      <c r="F263" s="8" t="str">
        <f>VLOOKUP($D263,설문!$C$2:$G$444,3,FALSE)</f>
        <v>브로커</v>
      </c>
      <c r="G263" s="8" t="str">
        <f>VLOOKUP($D263,설문!$C$2:$G$444,4,FALSE)</f>
        <v>금융회사</v>
      </c>
      <c r="H263" s="8" t="str">
        <f>VLOOKUP($D263,설문!$C$2:$G$444,5,FALSE)</f>
        <v>국고채/통안채,회사채</v>
      </c>
    </row>
    <row r="264" spans="1:8">
      <c r="A264" s="6" t="s">
        <v>534</v>
      </c>
      <c r="B264" s="7" t="s">
        <v>1057</v>
      </c>
      <c r="C264" s="7" t="s">
        <v>108</v>
      </c>
      <c r="D264" s="7" t="s">
        <v>5796</v>
      </c>
      <c r="E264" s="6" t="s">
        <v>5797</v>
      </c>
      <c r="F264" s="8" t="str">
        <f>VLOOKUP($D264,설문!$C$2:$G$444,3,FALSE)</f>
        <v>딜러,브로커</v>
      </c>
      <c r="G264" s="8" t="str">
        <f>VLOOKUP($D264,설문!$C$2:$G$444,4,FALSE)</f>
        <v>금융회사</v>
      </c>
      <c r="H264" s="8" t="str">
        <f>VLOOKUP($D264,설문!$C$2:$G$444,5,FALSE)</f>
        <v>국고채/통안채</v>
      </c>
    </row>
    <row r="265" spans="1:8">
      <c r="A265" s="6" t="s">
        <v>534</v>
      </c>
      <c r="B265" s="7" t="s">
        <v>1057</v>
      </c>
      <c r="C265" s="7" t="s">
        <v>108</v>
      </c>
      <c r="D265" s="7" t="s">
        <v>5798</v>
      </c>
      <c r="E265" s="6" t="s">
        <v>5799</v>
      </c>
      <c r="F265" s="8" t="e">
        <f>VLOOKUP($D265,설문!$C$2:$G$444,3,FALSE)</f>
        <v>#N/A</v>
      </c>
      <c r="G265" s="8" t="e">
        <f>VLOOKUP($D265,설문!$C$2:$G$444,4,FALSE)</f>
        <v>#N/A</v>
      </c>
      <c r="H265" s="8" t="e">
        <f>VLOOKUP($D265,설문!$C$2:$G$444,5,FALSE)</f>
        <v>#N/A</v>
      </c>
    </row>
    <row r="266" spans="1:8">
      <c r="A266" s="6" t="s">
        <v>534</v>
      </c>
      <c r="B266" s="7" t="s">
        <v>149</v>
      </c>
      <c r="C266" s="7" t="s">
        <v>108</v>
      </c>
      <c r="D266" s="7" t="s">
        <v>5800</v>
      </c>
      <c r="E266" s="6" t="s">
        <v>5801</v>
      </c>
      <c r="F266" s="8" t="e">
        <f>VLOOKUP($D266,설문!$C$2:$G$444,3,FALSE)</f>
        <v>#N/A</v>
      </c>
      <c r="G266" s="8" t="e">
        <f>VLOOKUP($D266,설문!$C$2:$G$444,4,FALSE)</f>
        <v>#N/A</v>
      </c>
      <c r="H266" s="8" t="e">
        <f>VLOOKUP($D266,설문!$C$2:$G$444,5,FALSE)</f>
        <v>#N/A</v>
      </c>
    </row>
    <row r="267" spans="1:8">
      <c r="A267" s="6" t="s">
        <v>534</v>
      </c>
      <c r="B267" s="7" t="s">
        <v>108</v>
      </c>
      <c r="C267" s="7" t="s">
        <v>108</v>
      </c>
      <c r="D267" s="7" t="s">
        <v>5802</v>
      </c>
      <c r="E267" s="6" t="s">
        <v>5803</v>
      </c>
      <c r="F267" s="8" t="e">
        <f>VLOOKUP($D267,설문!$C$2:$G$444,3,FALSE)</f>
        <v>#N/A</v>
      </c>
      <c r="G267" s="8" t="e">
        <f>VLOOKUP($D267,설문!$C$2:$G$444,4,FALSE)</f>
        <v>#N/A</v>
      </c>
      <c r="H267" s="8" t="e">
        <f>VLOOKUP($D267,설문!$C$2:$G$444,5,FALSE)</f>
        <v>#N/A</v>
      </c>
    </row>
    <row r="268" spans="1:8">
      <c r="A268" s="6" t="s">
        <v>534</v>
      </c>
      <c r="B268" s="7" t="s">
        <v>227</v>
      </c>
      <c r="C268" s="7" t="s">
        <v>227</v>
      </c>
      <c r="D268" s="7" t="s">
        <v>5804</v>
      </c>
      <c r="E268" s="6" t="s">
        <v>5805</v>
      </c>
      <c r="F268" s="8" t="e">
        <f>VLOOKUP($D268,설문!$C$2:$G$444,3,FALSE)</f>
        <v>#N/A</v>
      </c>
      <c r="G268" s="8" t="e">
        <f>VLOOKUP($D268,설문!$C$2:$G$444,4,FALSE)</f>
        <v>#N/A</v>
      </c>
      <c r="H268" s="8" t="e">
        <f>VLOOKUP($D268,설문!$C$2:$G$444,5,FALSE)</f>
        <v>#N/A</v>
      </c>
    </row>
    <row r="269" spans="1:8">
      <c r="A269" s="6" t="s">
        <v>534</v>
      </c>
      <c r="B269" s="7" t="s">
        <v>227</v>
      </c>
      <c r="C269" s="7" t="s">
        <v>227</v>
      </c>
      <c r="D269" s="7" t="s">
        <v>5806</v>
      </c>
      <c r="E269" s="6" t="s">
        <v>5807</v>
      </c>
      <c r="F269" s="8" t="str">
        <f>VLOOKUP($D269,설문!$C$2:$G$444,3,FALSE)</f>
        <v>브로커</v>
      </c>
      <c r="G269" s="8" t="str">
        <f>VLOOKUP($D269,설문!$C$2:$G$444,4,FALSE)</f>
        <v>금융회사</v>
      </c>
      <c r="H269" s="8" t="str">
        <f>VLOOKUP($D269,설문!$C$2:$G$444,5,FALSE)</f>
        <v>국내주식/지수,국내주식/지수관련파생,해외주식/지수,해외주식/지수관련파생,ETF/ETN</v>
      </c>
    </row>
    <row r="270" spans="1:8">
      <c r="A270" s="6" t="s">
        <v>401</v>
      </c>
      <c r="B270" s="7" t="s">
        <v>402</v>
      </c>
      <c r="C270" s="7" t="s">
        <v>402</v>
      </c>
      <c r="D270" s="7" t="s">
        <v>403</v>
      </c>
      <c r="E270" s="6" t="s">
        <v>404</v>
      </c>
      <c r="F270" s="8" t="str">
        <f>VLOOKUP($D270,설문!$C$2:$G$444,3,FALSE)</f>
        <v>펀드매니저</v>
      </c>
      <c r="G270" s="8" t="str">
        <f>VLOOKUP($D270,설문!$C$2:$G$444,4,FALSE)</f>
        <v>금융회사,금융 유관기관</v>
      </c>
      <c r="H270" s="8" t="str">
        <f>VLOOKUP($D270,설문!$C$2:$G$444,5,FALSE)</f>
        <v>대체투자(부동산/인프라)</v>
      </c>
    </row>
    <row r="271" spans="1:8">
      <c r="A271" s="6" t="s">
        <v>401</v>
      </c>
      <c r="B271" s="7" t="s">
        <v>414</v>
      </c>
      <c r="C271" s="7" t="s">
        <v>414</v>
      </c>
      <c r="D271" s="7" t="s">
        <v>415</v>
      </c>
      <c r="E271" s="6" t="s">
        <v>416</v>
      </c>
      <c r="F271" s="8" t="e">
        <f>VLOOKUP($D271,설문!$C$2:$G$444,3,FALSE)</f>
        <v>#N/A</v>
      </c>
      <c r="G271" s="8" t="e">
        <f>VLOOKUP($D271,설문!$C$2:$G$444,4,FALSE)</f>
        <v>#N/A</v>
      </c>
      <c r="H271" s="8" t="e">
        <f>VLOOKUP($D271,설문!$C$2:$G$444,5,FALSE)</f>
        <v>#N/A</v>
      </c>
    </row>
    <row r="272" spans="1:8">
      <c r="A272" s="6" t="s">
        <v>401</v>
      </c>
      <c r="B272" s="7" t="s">
        <v>414</v>
      </c>
      <c r="C272" s="7" t="s">
        <v>414</v>
      </c>
      <c r="D272" s="7" t="s">
        <v>2921</v>
      </c>
      <c r="E272" s="6" t="s">
        <v>2922</v>
      </c>
      <c r="F272" s="8" t="e">
        <f>VLOOKUP($D272,설문!$C$2:$G$444,3,FALSE)</f>
        <v>#N/A</v>
      </c>
      <c r="G272" s="8" t="e">
        <f>VLOOKUP($D272,설문!$C$2:$G$444,4,FALSE)</f>
        <v>#N/A</v>
      </c>
      <c r="H272" s="8" t="e">
        <f>VLOOKUP($D272,설문!$C$2:$G$444,5,FALSE)</f>
        <v>#N/A</v>
      </c>
    </row>
    <row r="273" spans="1:8">
      <c r="A273" s="6" t="s">
        <v>401</v>
      </c>
      <c r="B273" s="7" t="s">
        <v>414</v>
      </c>
      <c r="C273" s="7" t="s">
        <v>414</v>
      </c>
      <c r="D273" s="7" t="s">
        <v>2924</v>
      </c>
      <c r="E273" s="6" t="s">
        <v>2925</v>
      </c>
      <c r="F273" s="8" t="e">
        <f>VLOOKUP($D273,설문!$C$2:$G$444,3,FALSE)</f>
        <v>#N/A</v>
      </c>
      <c r="G273" s="8" t="e">
        <f>VLOOKUP($D273,설문!$C$2:$G$444,4,FALSE)</f>
        <v>#N/A</v>
      </c>
      <c r="H273" s="8" t="e">
        <f>VLOOKUP($D273,설문!$C$2:$G$444,5,FALSE)</f>
        <v>#N/A</v>
      </c>
    </row>
    <row r="274" spans="1:8">
      <c r="A274" s="6" t="s">
        <v>401</v>
      </c>
      <c r="B274" s="7" t="s">
        <v>414</v>
      </c>
      <c r="C274" s="7" t="s">
        <v>414</v>
      </c>
      <c r="D274" s="7" t="s">
        <v>2926</v>
      </c>
      <c r="E274" s="6" t="s">
        <v>2927</v>
      </c>
      <c r="F274" s="8" t="e">
        <f>VLOOKUP($D274,설문!$C$2:$G$444,3,FALSE)</f>
        <v>#N/A</v>
      </c>
      <c r="G274" s="8" t="e">
        <f>VLOOKUP($D274,설문!$C$2:$G$444,4,FALSE)</f>
        <v>#N/A</v>
      </c>
      <c r="H274" s="8" t="e">
        <f>VLOOKUP($D274,설문!$C$2:$G$444,5,FALSE)</f>
        <v>#N/A</v>
      </c>
    </row>
    <row r="275" spans="1:8">
      <c r="A275" s="6" t="s">
        <v>401</v>
      </c>
      <c r="B275" s="7" t="s">
        <v>414</v>
      </c>
      <c r="C275" s="7" t="s">
        <v>414</v>
      </c>
      <c r="D275" s="7" t="s">
        <v>2928</v>
      </c>
      <c r="E275" s="6" t="s">
        <v>2929</v>
      </c>
      <c r="F275" s="8" t="str">
        <f>VLOOKUP($D275,설문!$C$2:$G$444,3,FALSE)</f>
        <v>리스크관리(미들)</v>
      </c>
      <c r="G275" s="8" t="str">
        <f>VLOOKUP($D275,설문!$C$2:$G$444,4,FALSE)</f>
        <v>금융회사,금융 유관기관,기타</v>
      </c>
      <c r="H275" s="8" t="str">
        <f>VLOOKUP($D275,설문!$C$2:$G$444,5,FALSE)</f>
        <v>국내주식/지수,국고채/통안채,회사채,단기자금,국내주식/지수관련파생,해외주식/지수,ETF/ETN,대체투자(부동산/인프라)</v>
      </c>
    </row>
    <row r="276" spans="1:8">
      <c r="A276" s="6" t="s">
        <v>401</v>
      </c>
      <c r="B276" s="7" t="s">
        <v>414</v>
      </c>
      <c r="C276" s="7" t="s">
        <v>414</v>
      </c>
      <c r="D276" s="7" t="s">
        <v>2930</v>
      </c>
      <c r="E276" s="6" t="s">
        <v>2931</v>
      </c>
      <c r="F276" s="8" t="e">
        <f>VLOOKUP($D276,설문!$C$2:$G$444,3,FALSE)</f>
        <v>#N/A</v>
      </c>
      <c r="G276" s="8" t="e">
        <f>VLOOKUP($D276,설문!$C$2:$G$444,4,FALSE)</f>
        <v>#N/A</v>
      </c>
      <c r="H276" s="8" t="e">
        <f>VLOOKUP($D276,설문!$C$2:$G$444,5,FALSE)</f>
        <v>#N/A</v>
      </c>
    </row>
    <row r="277" spans="1:8">
      <c r="A277" s="6" t="s">
        <v>401</v>
      </c>
      <c r="B277" s="7" t="s">
        <v>414</v>
      </c>
      <c r="C277" s="7" t="s">
        <v>414</v>
      </c>
      <c r="D277" s="7" t="s">
        <v>2932</v>
      </c>
      <c r="E277" s="6" t="s">
        <v>2933</v>
      </c>
      <c r="F277" s="8" t="e">
        <f>VLOOKUP($D277,설문!$C$2:$G$444,3,FALSE)</f>
        <v>#N/A</v>
      </c>
      <c r="G277" s="8" t="e">
        <f>VLOOKUP($D277,설문!$C$2:$G$444,4,FALSE)</f>
        <v>#N/A</v>
      </c>
      <c r="H277" s="8" t="e">
        <f>VLOOKUP($D277,설문!$C$2:$G$444,5,FALSE)</f>
        <v>#N/A</v>
      </c>
    </row>
    <row r="278" spans="1:8">
      <c r="A278" s="6" t="s">
        <v>401</v>
      </c>
      <c r="B278" s="7" t="s">
        <v>78</v>
      </c>
      <c r="C278" s="7" t="s">
        <v>2934</v>
      </c>
      <c r="D278" s="7" t="s">
        <v>2935</v>
      </c>
      <c r="E278" s="6" t="s">
        <v>2936</v>
      </c>
      <c r="F278" s="8" t="e">
        <f>VLOOKUP($D278,설문!$C$2:$G$444,3,FALSE)</f>
        <v>#N/A</v>
      </c>
      <c r="G278" s="8" t="e">
        <f>VLOOKUP($D278,설문!$C$2:$G$444,4,FALSE)</f>
        <v>#N/A</v>
      </c>
      <c r="H278" s="8" t="e">
        <f>VLOOKUP($D278,설문!$C$2:$G$444,5,FALSE)</f>
        <v>#N/A</v>
      </c>
    </row>
    <row r="279" spans="1:8">
      <c r="A279" s="6" t="s">
        <v>401</v>
      </c>
      <c r="B279" s="7" t="s">
        <v>2538</v>
      </c>
      <c r="C279" s="7" t="s">
        <v>2934</v>
      </c>
      <c r="D279" s="7" t="s">
        <v>2937</v>
      </c>
      <c r="E279" s="6" t="s">
        <v>2938</v>
      </c>
      <c r="F279" s="8" t="e">
        <f>VLOOKUP($D279,설문!$C$2:$G$444,3,FALSE)</f>
        <v>#N/A</v>
      </c>
      <c r="G279" s="8" t="e">
        <f>VLOOKUP($D279,설문!$C$2:$G$444,4,FALSE)</f>
        <v>#N/A</v>
      </c>
      <c r="H279" s="8" t="e">
        <f>VLOOKUP($D279,설문!$C$2:$G$444,5,FALSE)</f>
        <v>#N/A</v>
      </c>
    </row>
    <row r="280" spans="1:8">
      <c r="A280" s="6" t="s">
        <v>401</v>
      </c>
      <c r="B280" s="7" t="s">
        <v>116</v>
      </c>
      <c r="C280" s="7" t="s">
        <v>2934</v>
      </c>
      <c r="D280" s="7" t="s">
        <v>2939</v>
      </c>
      <c r="E280" s="6" t="s">
        <v>2940</v>
      </c>
      <c r="F280" s="8" t="e">
        <f>VLOOKUP($D280,설문!$C$2:$G$444,3,FALSE)</f>
        <v>#N/A</v>
      </c>
      <c r="G280" s="8" t="e">
        <f>VLOOKUP($D280,설문!$C$2:$G$444,4,FALSE)</f>
        <v>#N/A</v>
      </c>
      <c r="H280" s="8" t="e">
        <f>VLOOKUP($D280,설문!$C$2:$G$444,5,FALSE)</f>
        <v>#N/A</v>
      </c>
    </row>
    <row r="281" spans="1:8">
      <c r="A281" s="6" t="s">
        <v>401</v>
      </c>
      <c r="B281" s="7" t="s">
        <v>116</v>
      </c>
      <c r="C281" s="7" t="s">
        <v>2934</v>
      </c>
      <c r="D281" s="7" t="s">
        <v>2941</v>
      </c>
      <c r="E281" s="6" t="s">
        <v>2942</v>
      </c>
      <c r="F281" s="8" t="e">
        <f>VLOOKUP($D281,설문!$C$2:$G$444,3,FALSE)</f>
        <v>#N/A</v>
      </c>
      <c r="G281" s="8" t="e">
        <f>VLOOKUP($D281,설문!$C$2:$G$444,4,FALSE)</f>
        <v>#N/A</v>
      </c>
      <c r="H281" s="8" t="e">
        <f>VLOOKUP($D281,설문!$C$2:$G$444,5,FALSE)</f>
        <v>#N/A</v>
      </c>
    </row>
    <row r="282" spans="1:8">
      <c r="A282" s="6" t="s">
        <v>401</v>
      </c>
      <c r="B282" s="7" t="s">
        <v>78</v>
      </c>
      <c r="C282" s="7" t="s">
        <v>2934</v>
      </c>
      <c r="D282" s="7" t="s">
        <v>2943</v>
      </c>
      <c r="E282" s="6" t="s">
        <v>2944</v>
      </c>
      <c r="F282" s="8" t="e">
        <f>VLOOKUP($D282,설문!$C$2:$G$444,3,FALSE)</f>
        <v>#N/A</v>
      </c>
      <c r="G282" s="8" t="e">
        <f>VLOOKUP($D282,설문!$C$2:$G$444,4,FALSE)</f>
        <v>#N/A</v>
      </c>
      <c r="H282" s="8" t="e">
        <f>VLOOKUP($D282,설문!$C$2:$G$444,5,FALSE)</f>
        <v>#N/A</v>
      </c>
    </row>
    <row r="283" spans="1:8">
      <c r="A283" s="6" t="s">
        <v>401</v>
      </c>
      <c r="B283" s="7" t="s">
        <v>116</v>
      </c>
      <c r="C283" s="7" t="s">
        <v>2934</v>
      </c>
      <c r="D283" s="7" t="s">
        <v>2945</v>
      </c>
      <c r="E283" s="6" t="s">
        <v>2946</v>
      </c>
      <c r="F283" s="8" t="str">
        <f>VLOOKUP($D283,설문!$C$2:$G$444,3,FALSE)</f>
        <v>펀드매니저</v>
      </c>
      <c r="G283" s="8" t="str">
        <f>VLOOKUP($D283,설문!$C$2:$G$444,4,FALSE)</f>
        <v>금융회사</v>
      </c>
      <c r="H283" s="8" t="str">
        <f>VLOOKUP($D283,설문!$C$2:$G$444,5,FALSE)</f>
        <v>대체투자(부동산/인프라)</v>
      </c>
    </row>
    <row r="284" spans="1:8">
      <c r="A284" s="6" t="s">
        <v>401</v>
      </c>
      <c r="B284" s="7" t="s">
        <v>78</v>
      </c>
      <c r="C284" s="7" t="s">
        <v>2934</v>
      </c>
      <c r="D284" s="7" t="s">
        <v>2947</v>
      </c>
      <c r="E284" s="6" t="s">
        <v>2948</v>
      </c>
      <c r="F284" s="8" t="e">
        <f>VLOOKUP($D284,설문!$C$2:$G$444,3,FALSE)</f>
        <v>#N/A</v>
      </c>
      <c r="G284" s="8" t="e">
        <f>VLOOKUP($D284,설문!$C$2:$G$444,4,FALSE)</f>
        <v>#N/A</v>
      </c>
      <c r="H284" s="8" t="e">
        <f>VLOOKUP($D284,설문!$C$2:$G$444,5,FALSE)</f>
        <v>#N/A</v>
      </c>
    </row>
    <row r="285" spans="1:8">
      <c r="A285" s="6" t="s">
        <v>401</v>
      </c>
      <c r="B285" s="7" t="s">
        <v>2934</v>
      </c>
      <c r="C285" s="7" t="s">
        <v>2934</v>
      </c>
      <c r="D285" s="7" t="s">
        <v>2949</v>
      </c>
      <c r="E285" s="6" t="s">
        <v>2950</v>
      </c>
      <c r="F285" s="8" t="e">
        <f>VLOOKUP($D285,설문!$C$2:$G$444,3,FALSE)</f>
        <v>#N/A</v>
      </c>
      <c r="G285" s="8" t="e">
        <f>VLOOKUP($D285,설문!$C$2:$G$444,4,FALSE)</f>
        <v>#N/A</v>
      </c>
      <c r="H285" s="8" t="e">
        <f>VLOOKUP($D285,설문!$C$2:$G$444,5,FALSE)</f>
        <v>#N/A</v>
      </c>
    </row>
    <row r="286" spans="1:8">
      <c r="A286" s="6" t="s">
        <v>401</v>
      </c>
      <c r="B286" s="7" t="s">
        <v>116</v>
      </c>
      <c r="C286" s="7" t="s">
        <v>2934</v>
      </c>
      <c r="D286" s="7" t="s">
        <v>2951</v>
      </c>
      <c r="E286" s="6" t="s">
        <v>2952</v>
      </c>
      <c r="F286" s="8" t="e">
        <f>VLOOKUP($D286,설문!$C$2:$G$444,3,FALSE)</f>
        <v>#N/A</v>
      </c>
      <c r="G286" s="8" t="e">
        <f>VLOOKUP($D286,설문!$C$2:$G$444,4,FALSE)</f>
        <v>#N/A</v>
      </c>
      <c r="H286" s="8" t="e">
        <f>VLOOKUP($D286,설문!$C$2:$G$444,5,FALSE)</f>
        <v>#N/A</v>
      </c>
    </row>
    <row r="287" spans="1:8">
      <c r="A287" s="6" t="s">
        <v>401</v>
      </c>
      <c r="B287" s="7" t="s">
        <v>2953</v>
      </c>
      <c r="C287" s="7" t="s">
        <v>2934</v>
      </c>
      <c r="D287" s="7" t="s">
        <v>2954</v>
      </c>
      <c r="E287" s="6" t="s">
        <v>2955</v>
      </c>
      <c r="F287" s="8" t="e">
        <f>VLOOKUP($D287,설문!$C$2:$G$444,3,FALSE)</f>
        <v>#N/A</v>
      </c>
      <c r="G287" s="8" t="e">
        <f>VLOOKUP($D287,설문!$C$2:$G$444,4,FALSE)</f>
        <v>#N/A</v>
      </c>
      <c r="H287" s="8" t="e">
        <f>VLOOKUP($D287,설문!$C$2:$G$444,5,FALSE)</f>
        <v>#N/A</v>
      </c>
    </row>
    <row r="288" spans="1:8">
      <c r="A288" s="6" t="s">
        <v>401</v>
      </c>
      <c r="B288" s="7" t="s">
        <v>2956</v>
      </c>
      <c r="C288" s="7" t="s">
        <v>2934</v>
      </c>
      <c r="D288" s="7" t="s">
        <v>2957</v>
      </c>
      <c r="E288" s="6" t="s">
        <v>2958</v>
      </c>
      <c r="F288" s="8" t="e">
        <f>VLOOKUP($D288,설문!$C$2:$G$444,3,FALSE)</f>
        <v>#N/A</v>
      </c>
      <c r="G288" s="8" t="e">
        <f>VLOOKUP($D288,설문!$C$2:$G$444,4,FALSE)</f>
        <v>#N/A</v>
      </c>
      <c r="H288" s="8" t="e">
        <f>VLOOKUP($D288,설문!$C$2:$G$444,5,FALSE)</f>
        <v>#N/A</v>
      </c>
    </row>
    <row r="289" spans="1:8">
      <c r="A289" s="6" t="s">
        <v>401</v>
      </c>
      <c r="B289" s="7" t="s">
        <v>2956</v>
      </c>
      <c r="C289" s="7" t="s">
        <v>2934</v>
      </c>
      <c r="D289" s="7" t="s">
        <v>2959</v>
      </c>
      <c r="E289" s="6" t="s">
        <v>2960</v>
      </c>
      <c r="F289" s="8" t="e">
        <f>VLOOKUP($D289,설문!$C$2:$G$444,3,FALSE)</f>
        <v>#N/A</v>
      </c>
      <c r="G289" s="8" t="e">
        <f>VLOOKUP($D289,설문!$C$2:$G$444,4,FALSE)</f>
        <v>#N/A</v>
      </c>
      <c r="H289" s="8" t="e">
        <f>VLOOKUP($D289,설문!$C$2:$G$444,5,FALSE)</f>
        <v>#N/A</v>
      </c>
    </row>
    <row r="290" spans="1:8">
      <c r="A290" s="6" t="s">
        <v>3934</v>
      </c>
      <c r="B290" s="7" t="s">
        <v>3935</v>
      </c>
      <c r="C290" s="7" t="s">
        <v>606</v>
      </c>
      <c r="D290" s="7" t="s">
        <v>3936</v>
      </c>
      <c r="E290" s="6" t="s">
        <v>3937</v>
      </c>
      <c r="F290" s="8" t="e">
        <f>VLOOKUP($D290,설문!$C$2:$G$444,3,FALSE)</f>
        <v>#N/A</v>
      </c>
      <c r="G290" s="8" t="e">
        <f>VLOOKUP($D290,설문!$C$2:$G$444,4,FALSE)</f>
        <v>#N/A</v>
      </c>
      <c r="H290" s="8" t="e">
        <f>VLOOKUP($D290,설문!$C$2:$G$444,5,FALSE)</f>
        <v>#N/A</v>
      </c>
    </row>
    <row r="291" spans="1:8">
      <c r="A291" s="6" t="s">
        <v>3934</v>
      </c>
      <c r="B291" s="7" t="s">
        <v>3938</v>
      </c>
      <c r="C291" s="7" t="s">
        <v>3939</v>
      </c>
      <c r="D291" s="7" t="s">
        <v>3940</v>
      </c>
      <c r="E291" s="6" t="s">
        <v>3941</v>
      </c>
      <c r="F291" s="8" t="e">
        <f>VLOOKUP($D291,설문!$C$2:$G$444,3,FALSE)</f>
        <v>#N/A</v>
      </c>
      <c r="G291" s="8" t="e">
        <f>VLOOKUP($D291,설문!$C$2:$G$444,4,FALSE)</f>
        <v>#N/A</v>
      </c>
      <c r="H291" s="8" t="e">
        <f>VLOOKUP($D291,설문!$C$2:$G$444,5,FALSE)</f>
        <v>#N/A</v>
      </c>
    </row>
    <row r="292" spans="1:8">
      <c r="A292" s="6" t="s">
        <v>599</v>
      </c>
      <c r="B292" s="7" t="s">
        <v>600</v>
      </c>
      <c r="C292" s="7" t="s">
        <v>600</v>
      </c>
      <c r="D292" s="7" t="s">
        <v>601</v>
      </c>
      <c r="E292" s="6" t="s">
        <v>602</v>
      </c>
      <c r="F292" s="8" t="e">
        <f>VLOOKUP($D292,설문!$C$2:$G$444,3,FALSE)</f>
        <v>#N/A</v>
      </c>
      <c r="G292" s="8" t="e">
        <f>VLOOKUP($D292,설문!$C$2:$G$444,4,FALSE)</f>
        <v>#N/A</v>
      </c>
      <c r="H292" s="8" t="e">
        <f>VLOOKUP($D292,설문!$C$2:$G$444,5,FALSE)</f>
        <v>#N/A</v>
      </c>
    </row>
    <row r="293" spans="1:8">
      <c r="A293" s="6" t="s">
        <v>599</v>
      </c>
      <c r="B293" s="7" t="s">
        <v>1292</v>
      </c>
      <c r="C293" s="7" t="s">
        <v>1293</v>
      </c>
      <c r="D293" s="7" t="s">
        <v>1294</v>
      </c>
      <c r="E293" s="6" t="s">
        <v>1295</v>
      </c>
      <c r="F293" s="8" t="e">
        <f>VLOOKUP($D293,설문!$C$2:$G$444,3,FALSE)</f>
        <v>#N/A</v>
      </c>
      <c r="G293" s="8" t="e">
        <f>VLOOKUP($D293,설문!$C$2:$G$444,4,FALSE)</f>
        <v>#N/A</v>
      </c>
      <c r="H293" s="8" t="e">
        <f>VLOOKUP($D293,설문!$C$2:$G$444,5,FALSE)</f>
        <v>#N/A</v>
      </c>
    </row>
    <row r="294" spans="1:8">
      <c r="A294" s="6" t="s">
        <v>599</v>
      </c>
      <c r="B294" s="7" t="s">
        <v>2512</v>
      </c>
      <c r="C294" s="7" t="s">
        <v>2513</v>
      </c>
      <c r="D294" s="7" t="s">
        <v>2514</v>
      </c>
      <c r="E294" s="6" t="s">
        <v>2515</v>
      </c>
      <c r="F294" s="8" t="e">
        <f>VLOOKUP($D294,설문!$C$2:$G$444,3,FALSE)</f>
        <v>#N/A</v>
      </c>
      <c r="G294" s="8" t="e">
        <f>VLOOKUP($D294,설문!$C$2:$G$444,4,FALSE)</f>
        <v>#N/A</v>
      </c>
      <c r="H294" s="8" t="e">
        <f>VLOOKUP($D294,설문!$C$2:$G$444,5,FALSE)</f>
        <v>#N/A</v>
      </c>
    </row>
    <row r="295" spans="1:8">
      <c r="A295" s="6" t="s">
        <v>599</v>
      </c>
      <c r="B295" s="7" t="s">
        <v>2516</v>
      </c>
      <c r="C295" s="7" t="s">
        <v>2516</v>
      </c>
      <c r="D295" s="7" t="s">
        <v>2517</v>
      </c>
      <c r="E295" s="6" t="s">
        <v>2518</v>
      </c>
      <c r="F295" s="8" t="e">
        <f>VLOOKUP($D295,설문!$C$2:$G$444,3,FALSE)</f>
        <v>#N/A</v>
      </c>
      <c r="G295" s="8" t="e">
        <f>VLOOKUP($D295,설문!$C$2:$G$444,4,FALSE)</f>
        <v>#N/A</v>
      </c>
      <c r="H295" s="8" t="e">
        <f>VLOOKUP($D295,설문!$C$2:$G$444,5,FALSE)</f>
        <v>#N/A</v>
      </c>
    </row>
    <row r="296" spans="1:8">
      <c r="A296" s="6" t="s">
        <v>599</v>
      </c>
      <c r="B296" s="7" t="s">
        <v>2519</v>
      </c>
      <c r="C296" s="7" t="s">
        <v>2520</v>
      </c>
      <c r="D296" s="7" t="s">
        <v>2521</v>
      </c>
      <c r="E296" s="6" t="s">
        <v>2522</v>
      </c>
      <c r="F296" s="8" t="str">
        <f>VLOOKUP($D296,설문!$C$2:$G$444,3,FALSE)</f>
        <v>기타</v>
      </c>
      <c r="G296" s="8" t="str">
        <f>VLOOKUP($D296,설문!$C$2:$G$444,4,FALSE)</f>
        <v>금융회사</v>
      </c>
      <c r="H296" s="8" t="str">
        <f>VLOOKUP($D296,설문!$C$2:$G$444,5,FALSE)</f>
        <v>원화 구조화채권</v>
      </c>
    </row>
    <row r="297" spans="1:8">
      <c r="A297" s="6" t="s">
        <v>599</v>
      </c>
      <c r="B297" s="7" t="s">
        <v>2523</v>
      </c>
      <c r="C297" s="7" t="s">
        <v>2524</v>
      </c>
      <c r="D297" s="7" t="s">
        <v>2525</v>
      </c>
      <c r="E297" s="6" t="s">
        <v>2526</v>
      </c>
      <c r="F297" s="8" t="e">
        <f>VLOOKUP($D297,설문!$C$2:$G$444,3,FALSE)</f>
        <v>#N/A</v>
      </c>
      <c r="G297" s="8" t="e">
        <f>VLOOKUP($D297,설문!$C$2:$G$444,4,FALSE)</f>
        <v>#N/A</v>
      </c>
      <c r="H297" s="8" t="e">
        <f>VLOOKUP($D297,설문!$C$2:$G$444,5,FALSE)</f>
        <v>#N/A</v>
      </c>
    </row>
    <row r="298" spans="1:8">
      <c r="A298" s="6" t="s">
        <v>599</v>
      </c>
      <c r="B298" s="7" t="s">
        <v>2527</v>
      </c>
      <c r="C298" s="7" t="s">
        <v>2527</v>
      </c>
      <c r="D298" s="7" t="s">
        <v>2528</v>
      </c>
      <c r="E298" s="6" t="s">
        <v>2529</v>
      </c>
      <c r="F298" s="8" t="e">
        <f>VLOOKUP($D298,설문!$C$2:$G$444,3,FALSE)</f>
        <v>#N/A</v>
      </c>
      <c r="G298" s="8" t="e">
        <f>VLOOKUP($D298,설문!$C$2:$G$444,4,FALSE)</f>
        <v>#N/A</v>
      </c>
      <c r="H298" s="8" t="e">
        <f>VLOOKUP($D298,설문!$C$2:$G$444,5,FALSE)</f>
        <v>#N/A</v>
      </c>
    </row>
    <row r="299" spans="1:8">
      <c r="A299" s="6" t="s">
        <v>599</v>
      </c>
      <c r="B299" s="7" t="s">
        <v>2530</v>
      </c>
      <c r="C299" s="7" t="s">
        <v>2530</v>
      </c>
      <c r="D299" s="7" t="s">
        <v>2531</v>
      </c>
      <c r="E299" s="6" t="s">
        <v>2532</v>
      </c>
      <c r="F299" s="8" t="e">
        <f>VLOOKUP($D299,설문!$C$2:$G$444,3,FALSE)</f>
        <v>#N/A</v>
      </c>
      <c r="G299" s="8" t="e">
        <f>VLOOKUP($D299,설문!$C$2:$G$444,4,FALSE)</f>
        <v>#N/A</v>
      </c>
      <c r="H299" s="8" t="e">
        <f>VLOOKUP($D299,설문!$C$2:$G$444,5,FALSE)</f>
        <v>#N/A</v>
      </c>
    </row>
    <row r="300" spans="1:8">
      <c r="A300" s="6" t="s">
        <v>599</v>
      </c>
      <c r="B300" s="7" t="s">
        <v>2527</v>
      </c>
      <c r="C300" s="7" t="s">
        <v>2527</v>
      </c>
      <c r="D300" s="7" t="s">
        <v>2533</v>
      </c>
      <c r="E300" s="6" t="s">
        <v>2188</v>
      </c>
      <c r="F300" s="8" t="str">
        <f>VLOOKUP($D300,설문!$C$2:$G$444,3,FALSE)</f>
        <v>분석 및 전략</v>
      </c>
      <c r="G300" s="8" t="str">
        <f>VLOOKUP($D300,설문!$C$2:$G$444,4,FALSE)</f>
        <v>금융회사,금융 유관기관</v>
      </c>
      <c r="H300" s="8" t="str">
        <f>VLOOKUP($D300,설문!$C$2:$G$444,5,FALSE)</f>
        <v>국내주식/지수,국고채/통안채</v>
      </c>
    </row>
    <row r="301" spans="1:8">
      <c r="A301" s="6" t="s">
        <v>599</v>
      </c>
      <c r="B301" s="7" t="s">
        <v>2516</v>
      </c>
      <c r="C301" s="7" t="s">
        <v>2516</v>
      </c>
      <c r="D301" s="7" t="s">
        <v>2534</v>
      </c>
      <c r="E301" s="6" t="s">
        <v>2535</v>
      </c>
      <c r="F301" s="8" t="e">
        <f>VLOOKUP($D301,설문!$C$2:$G$444,3,FALSE)</f>
        <v>#N/A</v>
      </c>
      <c r="G301" s="8" t="e">
        <f>VLOOKUP($D301,설문!$C$2:$G$444,4,FALSE)</f>
        <v>#N/A</v>
      </c>
      <c r="H301" s="8" t="e">
        <f>VLOOKUP($D301,설문!$C$2:$G$444,5,FALSE)</f>
        <v>#N/A</v>
      </c>
    </row>
    <row r="302" spans="1:8">
      <c r="A302" s="6" t="s">
        <v>599</v>
      </c>
      <c r="B302" s="7" t="s">
        <v>2516</v>
      </c>
      <c r="C302" s="7" t="s">
        <v>2516</v>
      </c>
      <c r="D302" s="7" t="s">
        <v>2536</v>
      </c>
      <c r="E302" s="6" t="s">
        <v>2537</v>
      </c>
      <c r="F302" s="8" t="e">
        <f>VLOOKUP($D302,설문!$C$2:$G$444,3,FALSE)</f>
        <v>#N/A</v>
      </c>
      <c r="G302" s="8" t="e">
        <f>VLOOKUP($D302,설문!$C$2:$G$444,4,FALSE)</f>
        <v>#N/A</v>
      </c>
      <c r="H302" s="8" t="e">
        <f>VLOOKUP($D302,설문!$C$2:$G$444,5,FALSE)</f>
        <v>#N/A</v>
      </c>
    </row>
    <row r="303" spans="1:8">
      <c r="A303" s="6" t="s">
        <v>599</v>
      </c>
      <c r="B303" s="7" t="s">
        <v>2530</v>
      </c>
      <c r="C303" s="7" t="s">
        <v>2538</v>
      </c>
      <c r="D303" s="7" t="s">
        <v>2539</v>
      </c>
      <c r="E303" s="6" t="s">
        <v>2540</v>
      </c>
      <c r="F303" s="8" t="e">
        <f>VLOOKUP($D303,설문!$C$2:$G$444,3,FALSE)</f>
        <v>#N/A</v>
      </c>
      <c r="G303" s="8" t="e">
        <f>VLOOKUP($D303,설문!$C$2:$G$444,4,FALSE)</f>
        <v>#N/A</v>
      </c>
      <c r="H303" s="8" t="e">
        <f>VLOOKUP($D303,설문!$C$2:$G$444,5,FALSE)</f>
        <v>#N/A</v>
      </c>
    </row>
    <row r="304" spans="1:8">
      <c r="A304" s="6" t="s">
        <v>599</v>
      </c>
      <c r="B304" s="7" t="s">
        <v>2530</v>
      </c>
      <c r="C304" s="7" t="s">
        <v>2530</v>
      </c>
      <c r="D304" s="7" t="s">
        <v>2541</v>
      </c>
      <c r="E304" s="6" t="s">
        <v>2542</v>
      </c>
      <c r="F304" s="8" t="str">
        <f>VLOOKUP($D304,설문!$C$2:$G$444,3,FALSE)</f>
        <v>펀드매니저,기타</v>
      </c>
      <c r="G304" s="8" t="str">
        <f>VLOOKUP($D304,설문!$C$2:$G$444,4,FALSE)</f>
        <v>금융회사</v>
      </c>
      <c r="H304" s="8" t="str">
        <f>VLOOKUP($D304,설문!$C$2:$G$444,5,FALSE)</f>
        <v>국내주식/지수</v>
      </c>
    </row>
    <row r="305" spans="1:8">
      <c r="A305" s="6" t="s">
        <v>599</v>
      </c>
      <c r="B305" s="7" t="s">
        <v>2530</v>
      </c>
      <c r="C305" s="7" t="s">
        <v>2530</v>
      </c>
      <c r="D305" s="7" t="s">
        <v>2543</v>
      </c>
      <c r="E305" s="6" t="s">
        <v>2544</v>
      </c>
      <c r="F305" s="8" t="e">
        <f>VLOOKUP($D305,설문!$C$2:$G$444,3,FALSE)</f>
        <v>#N/A</v>
      </c>
      <c r="G305" s="8" t="e">
        <f>VLOOKUP($D305,설문!$C$2:$G$444,4,FALSE)</f>
        <v>#N/A</v>
      </c>
      <c r="H305" s="8" t="e">
        <f>VLOOKUP($D305,설문!$C$2:$G$444,5,FALSE)</f>
        <v>#N/A</v>
      </c>
    </row>
    <row r="306" spans="1:8">
      <c r="A306" s="6" t="s">
        <v>599</v>
      </c>
      <c r="B306" s="7" t="s">
        <v>2545</v>
      </c>
      <c r="C306" s="7" t="s">
        <v>2545</v>
      </c>
      <c r="D306" s="7" t="s">
        <v>2546</v>
      </c>
      <c r="E306" s="6" t="s">
        <v>2547</v>
      </c>
      <c r="F306" s="8" t="str">
        <f>VLOOKUP($D306,설문!$C$2:$G$444,3,FALSE)</f>
        <v>리스크관리(미들)</v>
      </c>
      <c r="G306" s="8" t="str">
        <f>VLOOKUP($D306,설문!$C$2:$G$444,4,FALSE)</f>
        <v>금융회사,금융 유관기관,일반기업고객</v>
      </c>
      <c r="H306" s="8" t="str">
        <f>VLOOKUP($D306,설문!$C$2:$G$444,5,FALSE)</f>
        <v>국고채/통안채,회사채,원화 구조화채권,외화 구조화채권,대체투자(부동산/인프라)</v>
      </c>
    </row>
    <row r="307" spans="1:8">
      <c r="A307" s="6" t="s">
        <v>599</v>
      </c>
      <c r="B307" s="7" t="s">
        <v>2545</v>
      </c>
      <c r="C307" s="7" t="s">
        <v>2545</v>
      </c>
      <c r="D307" s="7" t="s">
        <v>2548</v>
      </c>
      <c r="E307" s="6" t="s">
        <v>2547</v>
      </c>
      <c r="F307" s="8" t="e">
        <f>VLOOKUP($D307,설문!$C$2:$G$444,3,FALSE)</f>
        <v>#N/A</v>
      </c>
      <c r="G307" s="8" t="e">
        <f>VLOOKUP($D307,설문!$C$2:$G$444,4,FALSE)</f>
        <v>#N/A</v>
      </c>
      <c r="H307" s="8" t="e">
        <f>VLOOKUP($D307,설문!$C$2:$G$444,5,FALSE)</f>
        <v>#N/A</v>
      </c>
    </row>
    <row r="308" spans="1:8">
      <c r="A308" s="6" t="s">
        <v>599</v>
      </c>
      <c r="B308" s="7" t="s">
        <v>2530</v>
      </c>
      <c r="C308" s="7" t="s">
        <v>2530</v>
      </c>
      <c r="D308" s="7" t="s">
        <v>2549</v>
      </c>
      <c r="E308" s="6" t="s">
        <v>2550</v>
      </c>
      <c r="F308" s="8" t="e">
        <f>VLOOKUP($D308,설문!$C$2:$G$444,3,FALSE)</f>
        <v>#N/A</v>
      </c>
      <c r="G308" s="8" t="e">
        <f>VLOOKUP($D308,설문!$C$2:$G$444,4,FALSE)</f>
        <v>#N/A</v>
      </c>
      <c r="H308" s="8" t="e">
        <f>VLOOKUP($D308,설문!$C$2:$G$444,5,FALSE)</f>
        <v>#N/A</v>
      </c>
    </row>
    <row r="309" spans="1:8">
      <c r="A309" s="6" t="s">
        <v>599</v>
      </c>
      <c r="B309" s="7" t="s">
        <v>2551</v>
      </c>
      <c r="C309" s="7" t="s">
        <v>2551</v>
      </c>
      <c r="D309" s="7" t="s">
        <v>2552</v>
      </c>
      <c r="E309" s="6" t="s">
        <v>2553</v>
      </c>
      <c r="F309" s="8" t="e">
        <f>VLOOKUP($D309,설문!$C$2:$G$444,3,FALSE)</f>
        <v>#N/A</v>
      </c>
      <c r="G309" s="8" t="e">
        <f>VLOOKUP($D309,설문!$C$2:$G$444,4,FALSE)</f>
        <v>#N/A</v>
      </c>
      <c r="H309" s="8" t="e">
        <f>VLOOKUP($D309,설문!$C$2:$G$444,5,FALSE)</f>
        <v>#N/A</v>
      </c>
    </row>
    <row r="310" spans="1:8">
      <c r="A310" s="6" t="s">
        <v>599</v>
      </c>
      <c r="B310" s="7" t="s">
        <v>2551</v>
      </c>
      <c r="C310" s="7" t="s">
        <v>2551</v>
      </c>
      <c r="D310" s="7" t="s">
        <v>2554</v>
      </c>
      <c r="E310" s="6" t="s">
        <v>2555</v>
      </c>
      <c r="F310" s="8" t="e">
        <f>VLOOKUP($D310,설문!$C$2:$G$444,3,FALSE)</f>
        <v>#N/A</v>
      </c>
      <c r="G310" s="8" t="e">
        <f>VLOOKUP($D310,설문!$C$2:$G$444,4,FALSE)</f>
        <v>#N/A</v>
      </c>
      <c r="H310" s="8" t="e">
        <f>VLOOKUP($D310,설문!$C$2:$G$444,5,FALSE)</f>
        <v>#N/A</v>
      </c>
    </row>
    <row r="311" spans="1:8">
      <c r="A311" s="6" t="s">
        <v>599</v>
      </c>
      <c r="B311" s="7" t="s">
        <v>2551</v>
      </c>
      <c r="C311" s="7" t="s">
        <v>2551</v>
      </c>
      <c r="D311" s="7" t="s">
        <v>2556</v>
      </c>
      <c r="E311" s="6" t="s">
        <v>2557</v>
      </c>
      <c r="F311" s="8" t="e">
        <f>VLOOKUP($D311,설문!$C$2:$G$444,3,FALSE)</f>
        <v>#N/A</v>
      </c>
      <c r="G311" s="8" t="e">
        <f>VLOOKUP($D311,설문!$C$2:$G$444,4,FALSE)</f>
        <v>#N/A</v>
      </c>
      <c r="H311" s="8" t="e">
        <f>VLOOKUP($D311,설문!$C$2:$G$444,5,FALSE)</f>
        <v>#N/A</v>
      </c>
    </row>
    <row r="312" spans="1:8">
      <c r="A312" s="6" t="s">
        <v>599</v>
      </c>
      <c r="B312" s="7" t="s">
        <v>2551</v>
      </c>
      <c r="C312" s="7" t="s">
        <v>2551</v>
      </c>
      <c r="D312" s="7" t="s">
        <v>2558</v>
      </c>
      <c r="E312" s="6" t="s">
        <v>2218</v>
      </c>
      <c r="F312" s="8" t="e">
        <f>VLOOKUP($D312,설문!$C$2:$G$444,3,FALSE)</f>
        <v>#N/A</v>
      </c>
      <c r="G312" s="8" t="e">
        <f>VLOOKUP($D312,설문!$C$2:$G$444,4,FALSE)</f>
        <v>#N/A</v>
      </c>
      <c r="H312" s="8" t="e">
        <f>VLOOKUP($D312,설문!$C$2:$G$444,5,FALSE)</f>
        <v>#N/A</v>
      </c>
    </row>
    <row r="313" spans="1:8">
      <c r="A313" s="6" t="s">
        <v>599</v>
      </c>
      <c r="B313" s="7" t="s">
        <v>2551</v>
      </c>
      <c r="C313" s="7" t="s">
        <v>2560</v>
      </c>
      <c r="D313" s="7" t="s">
        <v>2561</v>
      </c>
      <c r="E313" s="6" t="s">
        <v>2562</v>
      </c>
      <c r="F313" s="8" t="e">
        <f>VLOOKUP($D313,설문!$C$2:$G$444,3,FALSE)</f>
        <v>#N/A</v>
      </c>
      <c r="G313" s="8" t="e">
        <f>VLOOKUP($D313,설문!$C$2:$G$444,4,FALSE)</f>
        <v>#N/A</v>
      </c>
      <c r="H313" s="8" t="e">
        <f>VLOOKUP($D313,설문!$C$2:$G$444,5,FALSE)</f>
        <v>#N/A</v>
      </c>
    </row>
    <row r="314" spans="1:8">
      <c r="A314" s="6" t="s">
        <v>599</v>
      </c>
      <c r="B314" s="7" t="s">
        <v>2551</v>
      </c>
      <c r="C314" s="7" t="s">
        <v>2551</v>
      </c>
      <c r="D314" s="7" t="s">
        <v>2563</v>
      </c>
      <c r="E314" s="6" t="s">
        <v>2564</v>
      </c>
      <c r="F314" s="8" t="e">
        <f>VLOOKUP($D314,설문!$C$2:$G$444,3,FALSE)</f>
        <v>#N/A</v>
      </c>
      <c r="G314" s="8" t="e">
        <f>VLOOKUP($D314,설문!$C$2:$G$444,4,FALSE)</f>
        <v>#N/A</v>
      </c>
      <c r="H314" s="8" t="e">
        <f>VLOOKUP($D314,설문!$C$2:$G$444,5,FALSE)</f>
        <v>#N/A</v>
      </c>
    </row>
    <row r="315" spans="1:8">
      <c r="A315" s="6" t="s">
        <v>599</v>
      </c>
      <c r="B315" s="7" t="s">
        <v>2516</v>
      </c>
      <c r="C315" s="7" t="s">
        <v>2516</v>
      </c>
      <c r="D315" s="7" t="s">
        <v>2565</v>
      </c>
      <c r="E315" s="6" t="s">
        <v>2566</v>
      </c>
      <c r="F315" s="8" t="e">
        <f>VLOOKUP($D315,설문!$C$2:$G$444,3,FALSE)</f>
        <v>#N/A</v>
      </c>
      <c r="G315" s="8" t="e">
        <f>VLOOKUP($D315,설문!$C$2:$G$444,4,FALSE)</f>
        <v>#N/A</v>
      </c>
      <c r="H315" s="8" t="e">
        <f>VLOOKUP($D315,설문!$C$2:$G$444,5,FALSE)</f>
        <v>#N/A</v>
      </c>
    </row>
    <row r="316" spans="1:8">
      <c r="A316" s="6" t="s">
        <v>599</v>
      </c>
      <c r="B316" s="7" t="s">
        <v>2551</v>
      </c>
      <c r="C316" s="7" t="s">
        <v>2551</v>
      </c>
      <c r="D316" s="7" t="s">
        <v>2567</v>
      </c>
      <c r="E316" s="6" t="s">
        <v>801</v>
      </c>
      <c r="F316" s="8" t="e">
        <f>VLOOKUP($D316,설문!$C$2:$G$444,3,FALSE)</f>
        <v>#N/A</v>
      </c>
      <c r="G316" s="8" t="e">
        <f>VLOOKUP($D316,설문!$C$2:$G$444,4,FALSE)</f>
        <v>#N/A</v>
      </c>
      <c r="H316" s="8" t="e">
        <f>VLOOKUP($D316,설문!$C$2:$G$444,5,FALSE)</f>
        <v>#N/A</v>
      </c>
    </row>
    <row r="317" spans="1:8">
      <c r="A317" s="6" t="s">
        <v>599</v>
      </c>
      <c r="B317" s="7" t="s">
        <v>2551</v>
      </c>
      <c r="C317" s="7" t="s">
        <v>2551</v>
      </c>
      <c r="D317" s="7" t="s">
        <v>2568</v>
      </c>
      <c r="E317" s="6" t="s">
        <v>2569</v>
      </c>
      <c r="F317" s="8" t="e">
        <f>VLOOKUP($D317,설문!$C$2:$G$444,3,FALSE)</f>
        <v>#N/A</v>
      </c>
      <c r="G317" s="8" t="e">
        <f>VLOOKUP($D317,설문!$C$2:$G$444,4,FALSE)</f>
        <v>#N/A</v>
      </c>
      <c r="H317" s="8" t="e">
        <f>VLOOKUP($D317,설문!$C$2:$G$444,5,FALSE)</f>
        <v>#N/A</v>
      </c>
    </row>
    <row r="318" spans="1:8">
      <c r="A318" s="6" t="s">
        <v>599</v>
      </c>
      <c r="B318" s="7" t="s">
        <v>2527</v>
      </c>
      <c r="C318" s="7" t="s">
        <v>2516</v>
      </c>
      <c r="D318" s="7" t="s">
        <v>2570</v>
      </c>
      <c r="E318" s="6" t="s">
        <v>2571</v>
      </c>
      <c r="F318" s="8" t="e">
        <f>VLOOKUP($D318,설문!$C$2:$G$444,3,FALSE)</f>
        <v>#N/A</v>
      </c>
      <c r="G318" s="8" t="e">
        <f>VLOOKUP($D318,설문!$C$2:$G$444,4,FALSE)</f>
        <v>#N/A</v>
      </c>
      <c r="H318" s="8" t="e">
        <f>VLOOKUP($D318,설문!$C$2:$G$444,5,FALSE)</f>
        <v>#N/A</v>
      </c>
    </row>
    <row r="319" spans="1:8">
      <c r="A319" s="6" t="s">
        <v>599</v>
      </c>
      <c r="B319" s="7" t="s">
        <v>2551</v>
      </c>
      <c r="C319" s="7" t="s">
        <v>2551</v>
      </c>
      <c r="D319" s="7" t="s">
        <v>2572</v>
      </c>
      <c r="E319" s="6" t="s">
        <v>2559</v>
      </c>
      <c r="F319" s="8" t="e">
        <f>VLOOKUP($D319,설문!$C$2:$G$444,3,FALSE)</f>
        <v>#N/A</v>
      </c>
      <c r="G319" s="8" t="e">
        <f>VLOOKUP($D319,설문!$C$2:$G$444,4,FALSE)</f>
        <v>#N/A</v>
      </c>
      <c r="H319" s="8" t="e">
        <f>VLOOKUP($D319,설문!$C$2:$G$444,5,FALSE)</f>
        <v>#N/A</v>
      </c>
    </row>
    <row r="320" spans="1:8">
      <c r="A320" s="6" t="s">
        <v>599</v>
      </c>
      <c r="B320" s="7" t="s">
        <v>2527</v>
      </c>
      <c r="C320" s="7" t="s">
        <v>2527</v>
      </c>
      <c r="D320" s="7" t="s">
        <v>2573</v>
      </c>
      <c r="E320" s="6" t="s">
        <v>2574</v>
      </c>
      <c r="F320" s="8" t="e">
        <f>VLOOKUP($D320,설문!$C$2:$G$444,3,FALSE)</f>
        <v>#N/A</v>
      </c>
      <c r="G320" s="8" t="e">
        <f>VLOOKUP($D320,설문!$C$2:$G$444,4,FALSE)</f>
        <v>#N/A</v>
      </c>
      <c r="H320" s="8" t="e">
        <f>VLOOKUP($D320,설문!$C$2:$G$444,5,FALSE)</f>
        <v>#N/A</v>
      </c>
    </row>
    <row r="321" spans="1:8">
      <c r="A321" s="6" t="s">
        <v>599</v>
      </c>
      <c r="B321" s="7" t="s">
        <v>2538</v>
      </c>
      <c r="C321" s="7" t="s">
        <v>2538</v>
      </c>
      <c r="D321" s="7" t="s">
        <v>2575</v>
      </c>
      <c r="E321" s="6" t="s">
        <v>2576</v>
      </c>
      <c r="F321" s="8" t="e">
        <f>VLOOKUP($D321,설문!$C$2:$G$444,3,FALSE)</f>
        <v>#N/A</v>
      </c>
      <c r="G321" s="8" t="e">
        <f>VLOOKUP($D321,설문!$C$2:$G$444,4,FALSE)</f>
        <v>#N/A</v>
      </c>
      <c r="H321" s="8" t="e">
        <f>VLOOKUP($D321,설문!$C$2:$G$444,5,FALSE)</f>
        <v>#N/A</v>
      </c>
    </row>
    <row r="322" spans="1:8">
      <c r="A322" s="6" t="s">
        <v>599</v>
      </c>
      <c r="B322" s="7" t="s">
        <v>2527</v>
      </c>
      <c r="C322" s="7" t="s">
        <v>2527</v>
      </c>
      <c r="D322" s="7" t="s">
        <v>2577</v>
      </c>
      <c r="E322" s="6" t="s">
        <v>2578</v>
      </c>
      <c r="F322" s="8" t="e">
        <f>VLOOKUP($D322,설문!$C$2:$G$444,3,FALSE)</f>
        <v>#N/A</v>
      </c>
      <c r="G322" s="8" t="e">
        <f>VLOOKUP($D322,설문!$C$2:$G$444,4,FALSE)</f>
        <v>#N/A</v>
      </c>
      <c r="H322" s="8" t="e">
        <f>VLOOKUP($D322,설문!$C$2:$G$444,5,FALSE)</f>
        <v>#N/A</v>
      </c>
    </row>
    <row r="323" spans="1:8">
      <c r="A323" s="6" t="s">
        <v>599</v>
      </c>
      <c r="B323" s="7" t="s">
        <v>2579</v>
      </c>
      <c r="C323" s="7" t="s">
        <v>2579</v>
      </c>
      <c r="D323" s="7" t="s">
        <v>2580</v>
      </c>
      <c r="E323" s="6" t="s">
        <v>2581</v>
      </c>
      <c r="F323" s="8" t="e">
        <f>VLOOKUP($D323,설문!$C$2:$G$444,3,FALSE)</f>
        <v>#N/A</v>
      </c>
      <c r="G323" s="8" t="e">
        <f>VLOOKUP($D323,설문!$C$2:$G$444,4,FALSE)</f>
        <v>#N/A</v>
      </c>
      <c r="H323" s="8" t="e">
        <f>VLOOKUP($D323,설문!$C$2:$G$444,5,FALSE)</f>
        <v>#N/A</v>
      </c>
    </row>
    <row r="324" spans="1:8">
      <c r="A324" s="6" t="s">
        <v>599</v>
      </c>
      <c r="B324" s="7" t="s">
        <v>2530</v>
      </c>
      <c r="C324" s="7" t="s">
        <v>2530</v>
      </c>
      <c r="D324" s="7" t="s">
        <v>2582</v>
      </c>
      <c r="E324" s="6" t="s">
        <v>2583</v>
      </c>
      <c r="F324" s="8" t="e">
        <f>VLOOKUP($D324,설문!$C$2:$G$444,3,FALSE)</f>
        <v>#N/A</v>
      </c>
      <c r="G324" s="8" t="e">
        <f>VLOOKUP($D324,설문!$C$2:$G$444,4,FALSE)</f>
        <v>#N/A</v>
      </c>
      <c r="H324" s="8" t="e">
        <f>VLOOKUP($D324,설문!$C$2:$G$444,5,FALSE)</f>
        <v>#N/A</v>
      </c>
    </row>
    <row r="325" spans="1:8">
      <c r="A325" s="6" t="s">
        <v>599</v>
      </c>
      <c r="B325" s="7" t="s">
        <v>2516</v>
      </c>
      <c r="C325" s="7" t="s">
        <v>2516</v>
      </c>
      <c r="D325" s="7" t="s">
        <v>2584</v>
      </c>
      <c r="E325" s="6" t="s">
        <v>2585</v>
      </c>
      <c r="F325" s="8" t="e">
        <f>VLOOKUP($D325,설문!$C$2:$G$444,3,FALSE)</f>
        <v>#N/A</v>
      </c>
      <c r="G325" s="8" t="e">
        <f>VLOOKUP($D325,설문!$C$2:$G$444,4,FALSE)</f>
        <v>#N/A</v>
      </c>
      <c r="H325" s="8" t="e">
        <f>VLOOKUP($D325,설문!$C$2:$G$444,5,FALSE)</f>
        <v>#N/A</v>
      </c>
    </row>
    <row r="326" spans="1:8">
      <c r="A326" s="6" t="s">
        <v>599</v>
      </c>
      <c r="B326" s="7" t="s">
        <v>2516</v>
      </c>
      <c r="C326" s="7" t="s">
        <v>2516</v>
      </c>
      <c r="D326" s="7" t="s">
        <v>2586</v>
      </c>
      <c r="E326" s="6" t="s">
        <v>2587</v>
      </c>
      <c r="F326" s="8" t="e">
        <f>VLOOKUP($D326,설문!$C$2:$G$444,3,FALSE)</f>
        <v>#N/A</v>
      </c>
      <c r="G326" s="8" t="e">
        <f>VLOOKUP($D326,설문!$C$2:$G$444,4,FALSE)</f>
        <v>#N/A</v>
      </c>
      <c r="H326" s="8" t="e">
        <f>VLOOKUP($D326,설문!$C$2:$G$444,5,FALSE)</f>
        <v>#N/A</v>
      </c>
    </row>
    <row r="327" spans="1:8">
      <c r="A327" s="6" t="s">
        <v>599</v>
      </c>
      <c r="B327" s="7" t="s">
        <v>600</v>
      </c>
      <c r="C327" s="7" t="s">
        <v>600</v>
      </c>
      <c r="D327" s="7" t="s">
        <v>2588</v>
      </c>
      <c r="E327" s="6" t="s">
        <v>2589</v>
      </c>
      <c r="F327" s="8" t="str">
        <f>VLOOKUP($D327,설문!$C$2:$G$444,3,FALSE)</f>
        <v>리스크관리(미들)</v>
      </c>
      <c r="G327" s="8" t="str">
        <f>VLOOKUP($D327,설문!$C$2:$G$444,4,FALSE)</f>
        <v>금융회사,금융 유관기관,일반기업고객</v>
      </c>
      <c r="H327" s="8" t="str">
        <f>VLOOKUP($D327,설문!$C$2:$G$444,5,FALSE)</f>
        <v>국채선물,국내주식/지수관련파생,원화 이자율스왑</v>
      </c>
    </row>
    <row r="328" spans="1:8">
      <c r="A328" s="6" t="s">
        <v>599</v>
      </c>
      <c r="B328" s="7" t="s">
        <v>2590</v>
      </c>
      <c r="C328" s="7" t="s">
        <v>2590</v>
      </c>
      <c r="D328" s="7" t="s">
        <v>2591</v>
      </c>
      <c r="E328" s="6" t="s">
        <v>2592</v>
      </c>
      <c r="F328" s="8" t="e">
        <f>VLOOKUP($D328,설문!$C$2:$G$444,3,FALSE)</f>
        <v>#N/A</v>
      </c>
      <c r="G328" s="8" t="e">
        <f>VLOOKUP($D328,설문!$C$2:$G$444,4,FALSE)</f>
        <v>#N/A</v>
      </c>
      <c r="H328" s="8" t="e">
        <f>VLOOKUP($D328,설문!$C$2:$G$444,5,FALSE)</f>
        <v>#N/A</v>
      </c>
    </row>
    <row r="329" spans="1:8">
      <c r="A329" s="6" t="s">
        <v>599</v>
      </c>
      <c r="B329" s="7" t="s">
        <v>2538</v>
      </c>
      <c r="C329" s="7" t="s">
        <v>2538</v>
      </c>
      <c r="D329" s="7" t="s">
        <v>2593</v>
      </c>
      <c r="E329" s="6" t="s">
        <v>2594</v>
      </c>
      <c r="F329" s="8" t="e">
        <f>VLOOKUP($D329,설문!$C$2:$G$444,3,FALSE)</f>
        <v>#N/A</v>
      </c>
      <c r="G329" s="8" t="e">
        <f>VLOOKUP($D329,설문!$C$2:$G$444,4,FALSE)</f>
        <v>#N/A</v>
      </c>
      <c r="H329" s="8" t="e">
        <f>VLOOKUP($D329,설문!$C$2:$G$444,5,FALSE)</f>
        <v>#N/A</v>
      </c>
    </row>
    <row r="330" spans="1:8">
      <c r="A330" s="6" t="s">
        <v>599</v>
      </c>
      <c r="B330" s="7" t="s">
        <v>2551</v>
      </c>
      <c r="C330" s="7" t="s">
        <v>2551</v>
      </c>
      <c r="D330" s="7" t="s">
        <v>2595</v>
      </c>
      <c r="E330" s="6" t="s">
        <v>2596</v>
      </c>
      <c r="F330" s="8" t="str">
        <f>VLOOKUP($D330,설문!$C$2:$G$444,3,FALSE)</f>
        <v>백오피스</v>
      </c>
      <c r="G330" s="8" t="str">
        <f>VLOOKUP($D330,설문!$C$2:$G$444,4,FALSE)</f>
        <v>금융회사</v>
      </c>
      <c r="H330" s="8" t="str">
        <f>VLOOKUP($D330,설문!$C$2:$G$444,5,FALSE)</f>
        <v>국내주식/지수,국고채/통안채,회사채,단기자금,국채선물,Korean Paper,외화채권(KP제외),원화 구조화채권,국내주식/지수관련파생,외화 구조화채권,원화 이자율스왑,외화 이자율스왑,FX Spot &amp; FX Swap,CRS &amp; FX Option,해외주식/지수,대체투자(부동산/인프라)</v>
      </c>
    </row>
    <row r="331" spans="1:8">
      <c r="A331" s="6" t="s">
        <v>599</v>
      </c>
      <c r="B331" s="7" t="s">
        <v>2513</v>
      </c>
      <c r="C331" s="7" t="s">
        <v>2513</v>
      </c>
      <c r="D331" s="7" t="s">
        <v>2597</v>
      </c>
      <c r="E331" s="6" t="s">
        <v>2598</v>
      </c>
      <c r="F331" s="8" t="e">
        <f>VLOOKUP($D331,설문!$C$2:$G$444,3,FALSE)</f>
        <v>#N/A</v>
      </c>
      <c r="G331" s="8" t="e">
        <f>VLOOKUP($D331,설문!$C$2:$G$444,4,FALSE)</f>
        <v>#N/A</v>
      </c>
      <c r="H331" s="8" t="e">
        <f>VLOOKUP($D331,설문!$C$2:$G$444,5,FALSE)</f>
        <v>#N/A</v>
      </c>
    </row>
    <row r="332" spans="1:8">
      <c r="A332" s="6" t="s">
        <v>599</v>
      </c>
      <c r="B332" s="7" t="s">
        <v>2527</v>
      </c>
      <c r="C332" s="7" t="s">
        <v>2527</v>
      </c>
      <c r="D332" s="7" t="s">
        <v>2599</v>
      </c>
      <c r="E332" s="6" t="s">
        <v>2390</v>
      </c>
      <c r="F332" s="8" t="e">
        <f>VLOOKUP($D332,설문!$C$2:$G$444,3,FALSE)</f>
        <v>#N/A</v>
      </c>
      <c r="G332" s="8" t="e">
        <f>VLOOKUP($D332,설문!$C$2:$G$444,4,FALSE)</f>
        <v>#N/A</v>
      </c>
      <c r="H332" s="8" t="e">
        <f>VLOOKUP($D332,설문!$C$2:$G$444,5,FALSE)</f>
        <v>#N/A</v>
      </c>
    </row>
    <row r="333" spans="1:8">
      <c r="A333" s="6" t="s">
        <v>599</v>
      </c>
      <c r="B333" s="7" t="s">
        <v>2516</v>
      </c>
      <c r="C333" s="7" t="s">
        <v>2516</v>
      </c>
      <c r="D333" s="7" t="s">
        <v>2600</v>
      </c>
      <c r="E333" s="6" t="s">
        <v>2601</v>
      </c>
      <c r="F333" s="8" t="e">
        <f>VLOOKUP($D333,설문!$C$2:$G$444,3,FALSE)</f>
        <v>#N/A</v>
      </c>
      <c r="G333" s="8" t="e">
        <f>VLOOKUP($D333,설문!$C$2:$G$444,4,FALSE)</f>
        <v>#N/A</v>
      </c>
      <c r="H333" s="8" t="e">
        <f>VLOOKUP($D333,설문!$C$2:$G$444,5,FALSE)</f>
        <v>#N/A</v>
      </c>
    </row>
    <row r="334" spans="1:8">
      <c r="A334" s="6" t="s">
        <v>599</v>
      </c>
      <c r="B334" s="7" t="s">
        <v>2551</v>
      </c>
      <c r="C334" s="7" t="s">
        <v>2551</v>
      </c>
      <c r="D334" s="7" t="s">
        <v>2602</v>
      </c>
      <c r="E334" s="6" t="s">
        <v>2603</v>
      </c>
      <c r="F334" s="8" t="e">
        <f>VLOOKUP($D334,설문!$C$2:$G$444,3,FALSE)</f>
        <v>#N/A</v>
      </c>
      <c r="G334" s="8" t="e">
        <f>VLOOKUP($D334,설문!$C$2:$G$444,4,FALSE)</f>
        <v>#N/A</v>
      </c>
      <c r="H334" s="8" t="e">
        <f>VLOOKUP($D334,설문!$C$2:$G$444,5,FALSE)</f>
        <v>#N/A</v>
      </c>
    </row>
    <row r="335" spans="1:8">
      <c r="A335" s="6" t="s">
        <v>599</v>
      </c>
      <c r="B335" s="7" t="s">
        <v>2527</v>
      </c>
      <c r="C335" s="7" t="s">
        <v>2604</v>
      </c>
      <c r="D335" s="7" t="s">
        <v>2605</v>
      </c>
      <c r="E335" s="6" t="s">
        <v>2606</v>
      </c>
      <c r="F335" s="8" t="e">
        <f>VLOOKUP($D335,설문!$C$2:$G$444,3,FALSE)</f>
        <v>#N/A</v>
      </c>
      <c r="G335" s="8" t="e">
        <f>VLOOKUP($D335,설문!$C$2:$G$444,4,FALSE)</f>
        <v>#N/A</v>
      </c>
      <c r="H335" s="8" t="e">
        <f>VLOOKUP($D335,설문!$C$2:$G$444,5,FALSE)</f>
        <v>#N/A</v>
      </c>
    </row>
    <row r="336" spans="1:8">
      <c r="A336" s="6" t="s">
        <v>599</v>
      </c>
      <c r="B336" s="7" t="s">
        <v>2516</v>
      </c>
      <c r="C336" s="7" t="s">
        <v>2516</v>
      </c>
      <c r="D336" s="7" t="s">
        <v>2607</v>
      </c>
      <c r="E336" s="6" t="s">
        <v>2608</v>
      </c>
      <c r="F336" s="8" t="e">
        <f>VLOOKUP($D336,설문!$C$2:$G$444,3,FALSE)</f>
        <v>#N/A</v>
      </c>
      <c r="G336" s="8" t="e">
        <f>VLOOKUP($D336,설문!$C$2:$G$444,4,FALSE)</f>
        <v>#N/A</v>
      </c>
      <c r="H336" s="8" t="e">
        <f>VLOOKUP($D336,설문!$C$2:$G$444,5,FALSE)</f>
        <v>#N/A</v>
      </c>
    </row>
    <row r="337" spans="1:8">
      <c r="A337" s="6" t="s">
        <v>599</v>
      </c>
      <c r="B337" s="7" t="s">
        <v>2516</v>
      </c>
      <c r="C337" s="7" t="s">
        <v>2516</v>
      </c>
      <c r="D337" s="7" t="s">
        <v>2609</v>
      </c>
      <c r="E337" s="6" t="s">
        <v>2071</v>
      </c>
      <c r="F337" s="8" t="e">
        <f>VLOOKUP($D337,설문!$C$2:$G$444,3,FALSE)</f>
        <v>#N/A</v>
      </c>
      <c r="G337" s="8" t="e">
        <f>VLOOKUP($D337,설문!$C$2:$G$444,4,FALSE)</f>
        <v>#N/A</v>
      </c>
      <c r="H337" s="8" t="e">
        <f>VLOOKUP($D337,설문!$C$2:$G$444,5,FALSE)</f>
        <v>#N/A</v>
      </c>
    </row>
    <row r="338" spans="1:8">
      <c r="A338" s="6" t="s">
        <v>599</v>
      </c>
      <c r="B338" s="7" t="s">
        <v>2530</v>
      </c>
      <c r="C338" s="7" t="s">
        <v>2530</v>
      </c>
      <c r="D338" s="7" t="s">
        <v>2610</v>
      </c>
      <c r="E338" s="6" t="s">
        <v>2611</v>
      </c>
      <c r="F338" s="8" t="e">
        <f>VLOOKUP($D338,설문!$C$2:$G$444,3,FALSE)</f>
        <v>#N/A</v>
      </c>
      <c r="G338" s="8" t="e">
        <f>VLOOKUP($D338,설문!$C$2:$G$444,4,FALSE)</f>
        <v>#N/A</v>
      </c>
      <c r="H338" s="8" t="e">
        <f>VLOOKUP($D338,설문!$C$2:$G$444,5,FALSE)</f>
        <v>#N/A</v>
      </c>
    </row>
    <row r="339" spans="1:8">
      <c r="A339" s="6" t="s">
        <v>599</v>
      </c>
      <c r="B339" s="7" t="s">
        <v>2516</v>
      </c>
      <c r="C339" s="7" t="s">
        <v>2516</v>
      </c>
      <c r="D339" s="7" t="s">
        <v>2612</v>
      </c>
      <c r="E339" s="6" t="s">
        <v>251</v>
      </c>
      <c r="F339" s="8" t="str">
        <f>VLOOKUP($D339,설문!$C$2:$G$444,3,FALSE)</f>
        <v>분석 및 전략</v>
      </c>
      <c r="G339" s="8" t="str">
        <f>VLOOKUP($D339,설문!$C$2:$G$444,4,FALSE)</f>
        <v>금융회사,일반기업고객</v>
      </c>
      <c r="H339" s="8" t="str">
        <f>VLOOKUP($D339,설문!$C$2:$G$444,5,FALSE)</f>
        <v>국내주식/지수</v>
      </c>
    </row>
    <row r="340" spans="1:8">
      <c r="A340" s="6" t="s">
        <v>599</v>
      </c>
      <c r="B340" s="7" t="s">
        <v>2579</v>
      </c>
      <c r="C340" s="7" t="s">
        <v>2579</v>
      </c>
      <c r="D340" s="7" t="s">
        <v>2613</v>
      </c>
      <c r="E340" s="6" t="s">
        <v>2614</v>
      </c>
      <c r="F340" s="8" t="str">
        <f>VLOOKUP($D340,설문!$C$2:$G$444,3,FALSE)</f>
        <v>기타</v>
      </c>
      <c r="G340" s="8" t="str">
        <f>VLOOKUP($D340,설문!$C$2:$G$444,4,FALSE)</f>
        <v>금융회사,금융 유관기관</v>
      </c>
      <c r="H340" s="8" t="str">
        <f>VLOOKUP($D340,설문!$C$2:$G$444,5,FALSE)</f>
        <v>외화 구조화채권,해외주식/지수</v>
      </c>
    </row>
    <row r="341" spans="1:8">
      <c r="A341" s="6" t="s">
        <v>372</v>
      </c>
      <c r="B341" s="7" t="s">
        <v>373</v>
      </c>
      <c r="C341" s="7" t="s">
        <v>374</v>
      </c>
      <c r="D341" s="7" t="s">
        <v>375</v>
      </c>
      <c r="E341" s="6" t="s">
        <v>376</v>
      </c>
      <c r="F341" s="8" t="e">
        <f>VLOOKUP($D341,설문!$C$2:$G$444,3,FALSE)</f>
        <v>#N/A</v>
      </c>
      <c r="G341" s="8" t="e">
        <f>VLOOKUP($D341,설문!$C$2:$G$444,4,FALSE)</f>
        <v>#N/A</v>
      </c>
      <c r="H341" s="8" t="e">
        <f>VLOOKUP($D341,설문!$C$2:$G$444,5,FALSE)</f>
        <v>#N/A</v>
      </c>
    </row>
    <row r="342" spans="1:8">
      <c r="A342" s="6" t="s">
        <v>372</v>
      </c>
      <c r="B342" s="7" t="s">
        <v>789</v>
      </c>
      <c r="C342" s="7" t="s">
        <v>9</v>
      </c>
      <c r="D342" s="7" t="s">
        <v>790</v>
      </c>
      <c r="E342" s="6" t="s">
        <v>791</v>
      </c>
      <c r="F342" s="8" t="e">
        <f>VLOOKUP($D342,설문!$C$2:$G$444,3,FALSE)</f>
        <v>#N/A</v>
      </c>
      <c r="G342" s="8" t="e">
        <f>VLOOKUP($D342,설문!$C$2:$G$444,4,FALSE)</f>
        <v>#N/A</v>
      </c>
      <c r="H342" s="8" t="e">
        <f>VLOOKUP($D342,설문!$C$2:$G$444,5,FALSE)</f>
        <v>#N/A</v>
      </c>
    </row>
    <row r="343" spans="1:8">
      <c r="A343" s="6" t="s">
        <v>372</v>
      </c>
      <c r="B343" s="7" t="s">
        <v>789</v>
      </c>
      <c r="C343" s="7" t="s">
        <v>789</v>
      </c>
      <c r="D343" s="7" t="s">
        <v>1032</v>
      </c>
      <c r="E343" s="6" t="s">
        <v>1033</v>
      </c>
      <c r="F343" s="8" t="str">
        <f>VLOOKUP($D343,설문!$C$2:$G$444,3,FALSE)</f>
        <v>펀드매니저</v>
      </c>
      <c r="G343" s="8" t="str">
        <f>VLOOKUP($D343,설문!$C$2:$G$444,4,FALSE)</f>
        <v>금융회사</v>
      </c>
      <c r="H343" s="8" t="str">
        <f>VLOOKUP($D343,설문!$C$2:$G$444,5,FALSE)</f>
        <v>국고채/통안채,회사채</v>
      </c>
    </row>
    <row r="344" spans="1:8">
      <c r="A344" s="6" t="s">
        <v>372</v>
      </c>
      <c r="B344" s="7" t="s">
        <v>9</v>
      </c>
      <c r="C344" s="7" t="s">
        <v>374</v>
      </c>
      <c r="D344" s="7" t="s">
        <v>1212</v>
      </c>
      <c r="E344" s="6" t="s">
        <v>1213</v>
      </c>
      <c r="F344" s="8" t="e">
        <f>VLOOKUP($D344,설문!$C$2:$G$444,3,FALSE)</f>
        <v>#N/A</v>
      </c>
      <c r="G344" s="8" t="e">
        <f>VLOOKUP($D344,설문!$C$2:$G$444,4,FALSE)</f>
        <v>#N/A</v>
      </c>
      <c r="H344" s="8" t="e">
        <f>VLOOKUP($D344,설문!$C$2:$G$444,5,FALSE)</f>
        <v>#N/A</v>
      </c>
    </row>
    <row r="345" spans="1:8">
      <c r="A345" s="6" t="s">
        <v>372</v>
      </c>
      <c r="B345" s="7" t="s">
        <v>1431</v>
      </c>
      <c r="C345" s="7" t="s">
        <v>1431</v>
      </c>
      <c r="D345" s="7" t="s">
        <v>1432</v>
      </c>
      <c r="E345" s="6" t="s">
        <v>1433</v>
      </c>
      <c r="F345" s="8" t="e">
        <f>VLOOKUP($D345,설문!$C$2:$G$444,3,FALSE)</f>
        <v>#N/A</v>
      </c>
      <c r="G345" s="8" t="e">
        <f>VLOOKUP($D345,설문!$C$2:$G$444,4,FALSE)</f>
        <v>#N/A</v>
      </c>
      <c r="H345" s="8" t="e">
        <f>VLOOKUP($D345,설문!$C$2:$G$444,5,FALSE)</f>
        <v>#N/A</v>
      </c>
    </row>
    <row r="346" spans="1:8">
      <c r="A346" s="6" t="s">
        <v>372</v>
      </c>
      <c r="B346" s="7" t="s">
        <v>796</v>
      </c>
      <c r="C346" s="7" t="s">
        <v>1560</v>
      </c>
      <c r="D346" s="7" t="s">
        <v>1561</v>
      </c>
      <c r="E346" s="6" t="s">
        <v>1562</v>
      </c>
      <c r="F346" s="8" t="e">
        <f>VLOOKUP($D346,설문!$C$2:$G$444,3,FALSE)</f>
        <v>#N/A</v>
      </c>
      <c r="G346" s="8" t="e">
        <f>VLOOKUP($D346,설문!$C$2:$G$444,4,FALSE)</f>
        <v>#N/A</v>
      </c>
      <c r="H346" s="8" t="e">
        <f>VLOOKUP($D346,설문!$C$2:$G$444,5,FALSE)</f>
        <v>#N/A</v>
      </c>
    </row>
    <row r="347" spans="1:8">
      <c r="A347" s="6" t="s">
        <v>372</v>
      </c>
      <c r="B347" s="7" t="s">
        <v>374</v>
      </c>
      <c r="C347" s="7" t="s">
        <v>374</v>
      </c>
      <c r="D347" s="7" t="s">
        <v>1812</v>
      </c>
      <c r="E347" s="6" t="s">
        <v>1813</v>
      </c>
      <c r="F347" s="8" t="e">
        <f>VLOOKUP($D347,설문!$C$2:$G$444,3,FALSE)</f>
        <v>#N/A</v>
      </c>
      <c r="G347" s="8" t="e">
        <f>VLOOKUP($D347,설문!$C$2:$G$444,4,FALSE)</f>
        <v>#N/A</v>
      </c>
      <c r="H347" s="8" t="e">
        <f>VLOOKUP($D347,설문!$C$2:$G$444,5,FALSE)</f>
        <v>#N/A</v>
      </c>
    </row>
    <row r="348" spans="1:8">
      <c r="A348" s="6" t="s">
        <v>372</v>
      </c>
      <c r="B348" s="7" t="s">
        <v>508</v>
      </c>
      <c r="C348" s="7" t="s">
        <v>508</v>
      </c>
      <c r="D348" s="7" t="s">
        <v>1838</v>
      </c>
      <c r="E348" s="6" t="s">
        <v>106</v>
      </c>
      <c r="F348" s="8" t="e">
        <f>VLOOKUP($D348,설문!$C$2:$G$444,3,FALSE)</f>
        <v>#N/A</v>
      </c>
      <c r="G348" s="8" t="e">
        <f>VLOOKUP($D348,설문!$C$2:$G$444,4,FALSE)</f>
        <v>#N/A</v>
      </c>
      <c r="H348" s="8" t="e">
        <f>VLOOKUP($D348,설문!$C$2:$G$444,5,FALSE)</f>
        <v>#N/A</v>
      </c>
    </row>
    <row r="349" spans="1:8">
      <c r="A349" s="6" t="s">
        <v>372</v>
      </c>
      <c r="B349" s="7" t="s">
        <v>1431</v>
      </c>
      <c r="C349" s="7" t="s">
        <v>1431</v>
      </c>
      <c r="D349" s="7" t="s">
        <v>1883</v>
      </c>
      <c r="E349" s="6" t="s">
        <v>1884</v>
      </c>
      <c r="F349" s="8" t="e">
        <f>VLOOKUP($D349,설문!$C$2:$G$444,3,FALSE)</f>
        <v>#N/A</v>
      </c>
      <c r="G349" s="8" t="e">
        <f>VLOOKUP($D349,설문!$C$2:$G$444,4,FALSE)</f>
        <v>#N/A</v>
      </c>
      <c r="H349" s="8" t="e">
        <f>VLOOKUP($D349,설문!$C$2:$G$444,5,FALSE)</f>
        <v>#N/A</v>
      </c>
    </row>
    <row r="350" spans="1:8">
      <c r="A350" s="6" t="s">
        <v>372</v>
      </c>
      <c r="B350" s="7" t="s">
        <v>1431</v>
      </c>
      <c r="C350" s="7" t="s">
        <v>1431</v>
      </c>
      <c r="D350" s="7" t="s">
        <v>1905</v>
      </c>
      <c r="E350" s="6" t="s">
        <v>1906</v>
      </c>
      <c r="F350" s="8" t="str">
        <f>VLOOKUP($D350,설문!$C$2:$G$444,3,FALSE)</f>
        <v>트레이더</v>
      </c>
      <c r="G350" s="8" t="str">
        <f>VLOOKUP($D350,설문!$C$2:$G$444,4,FALSE)</f>
        <v>금융회사,금융 유관기관</v>
      </c>
      <c r="H350" s="8" t="str">
        <f>VLOOKUP($D350,설문!$C$2:$G$444,5,FALSE)</f>
        <v>국내주식/지수</v>
      </c>
    </row>
    <row r="351" spans="1:8">
      <c r="A351" s="6" t="s">
        <v>372</v>
      </c>
      <c r="B351" s="7" t="s">
        <v>1916</v>
      </c>
      <c r="C351" s="7" t="s">
        <v>1916</v>
      </c>
      <c r="D351" s="7" t="s">
        <v>1917</v>
      </c>
      <c r="E351" s="6" t="s">
        <v>1918</v>
      </c>
      <c r="F351" s="8" t="e">
        <f>VLOOKUP($D351,설문!$C$2:$G$444,3,FALSE)</f>
        <v>#N/A</v>
      </c>
      <c r="G351" s="8" t="e">
        <f>VLOOKUP($D351,설문!$C$2:$G$444,4,FALSE)</f>
        <v>#N/A</v>
      </c>
      <c r="H351" s="8" t="e">
        <f>VLOOKUP($D351,설문!$C$2:$G$444,5,FALSE)</f>
        <v>#N/A</v>
      </c>
    </row>
    <row r="352" spans="1:8">
      <c r="A352" s="6" t="s">
        <v>372</v>
      </c>
      <c r="B352" s="7" t="s">
        <v>1937</v>
      </c>
      <c r="C352" s="7" t="s">
        <v>1937</v>
      </c>
      <c r="D352" s="7" t="s">
        <v>1938</v>
      </c>
      <c r="E352" s="6" t="s">
        <v>1939</v>
      </c>
      <c r="F352" s="8" t="e">
        <f>VLOOKUP($D352,설문!$C$2:$G$444,3,FALSE)</f>
        <v>#N/A</v>
      </c>
      <c r="G352" s="8" t="e">
        <f>VLOOKUP($D352,설문!$C$2:$G$444,4,FALSE)</f>
        <v>#N/A</v>
      </c>
      <c r="H352" s="8" t="e">
        <f>VLOOKUP($D352,설문!$C$2:$G$444,5,FALSE)</f>
        <v>#N/A</v>
      </c>
    </row>
    <row r="353" spans="1:8">
      <c r="A353" s="6" t="s">
        <v>372</v>
      </c>
      <c r="B353" s="7" t="s">
        <v>1937</v>
      </c>
      <c r="C353" s="7" t="s">
        <v>1937</v>
      </c>
      <c r="D353" s="7" t="s">
        <v>3387</v>
      </c>
      <c r="E353" s="6" t="s">
        <v>1939</v>
      </c>
      <c r="F353" s="8" t="str">
        <f>VLOOKUP($D353,설문!$C$2:$G$444,3,FALSE)</f>
        <v>펀드매니저</v>
      </c>
      <c r="G353" s="8" t="str">
        <f>VLOOKUP($D353,설문!$C$2:$G$444,4,FALSE)</f>
        <v>금융회사,금융 유관기관,개인고객</v>
      </c>
      <c r="H353" s="8" t="str">
        <f>VLOOKUP($D353,설문!$C$2:$G$444,5,FALSE)</f>
        <v>국내주식/지수,국내주식/지수관련파생</v>
      </c>
    </row>
    <row r="354" spans="1:8">
      <c r="A354" s="6" t="s">
        <v>372</v>
      </c>
      <c r="B354" s="7" t="s">
        <v>1937</v>
      </c>
      <c r="C354" s="7" t="s">
        <v>1937</v>
      </c>
      <c r="D354" s="7" t="s">
        <v>3388</v>
      </c>
      <c r="E354" s="6" t="s">
        <v>3048</v>
      </c>
      <c r="F354" s="8" t="e">
        <f>VLOOKUP($D354,설문!$C$2:$G$444,3,FALSE)</f>
        <v>#N/A</v>
      </c>
      <c r="G354" s="8" t="e">
        <f>VLOOKUP($D354,설문!$C$2:$G$444,4,FALSE)</f>
        <v>#N/A</v>
      </c>
      <c r="H354" s="8" t="e">
        <f>VLOOKUP($D354,설문!$C$2:$G$444,5,FALSE)</f>
        <v>#N/A</v>
      </c>
    </row>
    <row r="355" spans="1:8">
      <c r="A355" s="6" t="s">
        <v>372</v>
      </c>
      <c r="B355" s="7" t="s">
        <v>3389</v>
      </c>
      <c r="C355" s="7" t="s">
        <v>3390</v>
      </c>
      <c r="D355" s="7" t="s">
        <v>3391</v>
      </c>
      <c r="E355" s="6" t="s">
        <v>3392</v>
      </c>
      <c r="F355" s="8" t="e">
        <f>VLOOKUP($D355,설문!$C$2:$G$444,3,FALSE)</f>
        <v>#N/A</v>
      </c>
      <c r="G355" s="8" t="e">
        <f>VLOOKUP($D355,설문!$C$2:$G$444,4,FALSE)</f>
        <v>#N/A</v>
      </c>
      <c r="H355" s="8" t="e">
        <f>VLOOKUP($D355,설문!$C$2:$G$444,5,FALSE)</f>
        <v>#N/A</v>
      </c>
    </row>
    <row r="356" spans="1:8">
      <c r="A356" s="6" t="s">
        <v>372</v>
      </c>
      <c r="B356" s="7" t="s">
        <v>3389</v>
      </c>
      <c r="C356" s="7" t="s">
        <v>3389</v>
      </c>
      <c r="D356" s="7" t="s">
        <v>3393</v>
      </c>
      <c r="E356" s="6" t="s">
        <v>3394</v>
      </c>
      <c r="F356" s="8" t="e">
        <f>VLOOKUP($D356,설문!$C$2:$G$444,3,FALSE)</f>
        <v>#N/A</v>
      </c>
      <c r="G356" s="8" t="e">
        <f>VLOOKUP($D356,설문!$C$2:$G$444,4,FALSE)</f>
        <v>#N/A</v>
      </c>
      <c r="H356" s="8" t="e">
        <f>VLOOKUP($D356,설문!$C$2:$G$444,5,FALSE)</f>
        <v>#N/A</v>
      </c>
    </row>
    <row r="357" spans="1:8">
      <c r="A357" s="6" t="s">
        <v>372</v>
      </c>
      <c r="B357" s="7" t="s">
        <v>3389</v>
      </c>
      <c r="C357" s="7" t="s">
        <v>3389</v>
      </c>
      <c r="D357" s="7" t="s">
        <v>3395</v>
      </c>
      <c r="E357" s="6" t="s">
        <v>3396</v>
      </c>
      <c r="F357" s="8" t="e">
        <f>VLOOKUP($D357,설문!$C$2:$G$444,3,FALSE)</f>
        <v>#N/A</v>
      </c>
      <c r="G357" s="8" t="e">
        <f>VLOOKUP($D357,설문!$C$2:$G$444,4,FALSE)</f>
        <v>#N/A</v>
      </c>
      <c r="H357" s="8" t="e">
        <f>VLOOKUP($D357,설문!$C$2:$G$444,5,FALSE)</f>
        <v>#N/A</v>
      </c>
    </row>
    <row r="358" spans="1:8">
      <c r="A358" s="6" t="s">
        <v>372</v>
      </c>
      <c r="B358" s="7" t="s">
        <v>3389</v>
      </c>
      <c r="C358" s="7" t="s">
        <v>3389</v>
      </c>
      <c r="D358" s="7" t="s">
        <v>3397</v>
      </c>
      <c r="E358" s="6" t="s">
        <v>3398</v>
      </c>
      <c r="F358" s="8" t="e">
        <f>VLOOKUP($D358,설문!$C$2:$G$444,3,FALSE)</f>
        <v>#N/A</v>
      </c>
      <c r="G358" s="8" t="e">
        <f>VLOOKUP($D358,설문!$C$2:$G$444,4,FALSE)</f>
        <v>#N/A</v>
      </c>
      <c r="H358" s="8" t="e">
        <f>VLOOKUP($D358,설문!$C$2:$G$444,5,FALSE)</f>
        <v>#N/A</v>
      </c>
    </row>
    <row r="359" spans="1:8">
      <c r="A359" s="6" t="s">
        <v>372</v>
      </c>
      <c r="B359" s="7" t="s">
        <v>374</v>
      </c>
      <c r="C359" s="7" t="s">
        <v>374</v>
      </c>
      <c r="D359" s="7" t="s">
        <v>3399</v>
      </c>
      <c r="E359" s="6" t="s">
        <v>3400</v>
      </c>
      <c r="F359" s="8" t="e">
        <f>VLOOKUP($D359,설문!$C$2:$G$444,3,FALSE)</f>
        <v>#N/A</v>
      </c>
      <c r="G359" s="8" t="e">
        <f>VLOOKUP($D359,설문!$C$2:$G$444,4,FALSE)</f>
        <v>#N/A</v>
      </c>
      <c r="H359" s="8" t="e">
        <f>VLOOKUP($D359,설문!$C$2:$G$444,5,FALSE)</f>
        <v>#N/A</v>
      </c>
    </row>
    <row r="360" spans="1:8">
      <c r="A360" s="6" t="s">
        <v>372</v>
      </c>
      <c r="B360" s="7" t="s">
        <v>789</v>
      </c>
      <c r="C360" s="7" t="s">
        <v>1431</v>
      </c>
      <c r="D360" s="7" t="s">
        <v>3401</v>
      </c>
      <c r="E360" s="6" t="s">
        <v>3402</v>
      </c>
      <c r="F360" s="8" t="e">
        <f>VLOOKUP($D360,설문!$C$2:$G$444,3,FALSE)</f>
        <v>#N/A</v>
      </c>
      <c r="G360" s="8" t="e">
        <f>VLOOKUP($D360,설문!$C$2:$G$444,4,FALSE)</f>
        <v>#N/A</v>
      </c>
      <c r="H360" s="8" t="e">
        <f>VLOOKUP($D360,설문!$C$2:$G$444,5,FALSE)</f>
        <v>#N/A</v>
      </c>
    </row>
    <row r="361" spans="1:8">
      <c r="A361" s="6" t="s">
        <v>372</v>
      </c>
      <c r="B361" s="7" t="s">
        <v>3403</v>
      </c>
      <c r="C361" s="7" t="s">
        <v>3404</v>
      </c>
      <c r="D361" s="7" t="s">
        <v>3405</v>
      </c>
      <c r="E361" s="6" t="s">
        <v>3406</v>
      </c>
      <c r="F361" s="8" t="e">
        <f>VLOOKUP($D361,설문!$C$2:$G$444,3,FALSE)</f>
        <v>#N/A</v>
      </c>
      <c r="G361" s="8" t="e">
        <f>VLOOKUP($D361,설문!$C$2:$G$444,4,FALSE)</f>
        <v>#N/A</v>
      </c>
      <c r="H361" s="8" t="e">
        <f>VLOOKUP($D361,설문!$C$2:$G$444,5,FALSE)</f>
        <v>#N/A</v>
      </c>
    </row>
    <row r="362" spans="1:8">
      <c r="A362" s="6" t="s">
        <v>372</v>
      </c>
      <c r="B362" s="7" t="s">
        <v>3407</v>
      </c>
      <c r="C362" s="7" t="s">
        <v>69</v>
      </c>
      <c r="D362" s="7" t="s">
        <v>3408</v>
      </c>
      <c r="E362" s="6" t="s">
        <v>3409</v>
      </c>
      <c r="F362" s="8" t="e">
        <f>VLOOKUP($D362,설문!$C$2:$G$444,3,FALSE)</f>
        <v>#N/A</v>
      </c>
      <c r="G362" s="8" t="e">
        <f>VLOOKUP($D362,설문!$C$2:$G$444,4,FALSE)</f>
        <v>#N/A</v>
      </c>
      <c r="H362" s="8" t="e">
        <f>VLOOKUP($D362,설문!$C$2:$G$444,5,FALSE)</f>
        <v>#N/A</v>
      </c>
    </row>
    <row r="363" spans="1:8">
      <c r="A363" s="6" t="s">
        <v>372</v>
      </c>
      <c r="B363" s="7" t="s">
        <v>566</v>
      </c>
      <c r="C363" s="7" t="s">
        <v>3329</v>
      </c>
      <c r="D363" s="7" t="s">
        <v>3410</v>
      </c>
      <c r="E363" s="6" t="s">
        <v>3000</v>
      </c>
      <c r="F363" s="8" t="e">
        <f>VLOOKUP($D363,설문!$C$2:$G$444,3,FALSE)</f>
        <v>#N/A</v>
      </c>
      <c r="G363" s="8" t="e">
        <f>VLOOKUP($D363,설문!$C$2:$G$444,4,FALSE)</f>
        <v>#N/A</v>
      </c>
      <c r="H363" s="8" t="e">
        <f>VLOOKUP($D363,설문!$C$2:$G$444,5,FALSE)</f>
        <v>#N/A</v>
      </c>
    </row>
    <row r="364" spans="1:8">
      <c r="A364" s="6" t="s">
        <v>372</v>
      </c>
      <c r="B364" s="7" t="s">
        <v>3407</v>
      </c>
      <c r="C364" s="7" t="s">
        <v>1560</v>
      </c>
      <c r="D364" s="7" t="s">
        <v>3411</v>
      </c>
      <c r="E364" s="6" t="s">
        <v>3412</v>
      </c>
      <c r="F364" s="8" t="e">
        <f>VLOOKUP($D364,설문!$C$2:$G$444,3,FALSE)</f>
        <v>#N/A</v>
      </c>
      <c r="G364" s="8" t="e">
        <f>VLOOKUP($D364,설문!$C$2:$G$444,4,FALSE)</f>
        <v>#N/A</v>
      </c>
      <c r="H364" s="8" t="e">
        <f>VLOOKUP($D364,설문!$C$2:$G$444,5,FALSE)</f>
        <v>#N/A</v>
      </c>
    </row>
    <row r="365" spans="1:8">
      <c r="A365" s="6" t="s">
        <v>372</v>
      </c>
      <c r="B365" s="7" t="s">
        <v>566</v>
      </c>
      <c r="C365" s="7" t="s">
        <v>3329</v>
      </c>
      <c r="D365" s="7" t="s">
        <v>3413</v>
      </c>
      <c r="E365" s="6" t="s">
        <v>3414</v>
      </c>
      <c r="F365" s="8" t="e">
        <f>VLOOKUP($D365,설문!$C$2:$G$444,3,FALSE)</f>
        <v>#N/A</v>
      </c>
      <c r="G365" s="8" t="e">
        <f>VLOOKUP($D365,설문!$C$2:$G$444,4,FALSE)</f>
        <v>#N/A</v>
      </c>
      <c r="H365" s="8" t="e">
        <f>VLOOKUP($D365,설문!$C$2:$G$444,5,FALSE)</f>
        <v>#N/A</v>
      </c>
    </row>
    <row r="366" spans="1:8">
      <c r="A366" s="6" t="s">
        <v>372</v>
      </c>
      <c r="B366" s="7" t="s">
        <v>1131</v>
      </c>
      <c r="C366" s="7" t="s">
        <v>1131</v>
      </c>
      <c r="D366" s="7" t="s">
        <v>3415</v>
      </c>
      <c r="E366" s="6" t="s">
        <v>3416</v>
      </c>
      <c r="F366" s="8" t="e">
        <f>VLOOKUP($D366,설문!$C$2:$G$444,3,FALSE)</f>
        <v>#N/A</v>
      </c>
      <c r="G366" s="8" t="e">
        <f>VLOOKUP($D366,설문!$C$2:$G$444,4,FALSE)</f>
        <v>#N/A</v>
      </c>
      <c r="H366" s="8" t="e">
        <f>VLOOKUP($D366,설문!$C$2:$G$444,5,FALSE)</f>
        <v>#N/A</v>
      </c>
    </row>
    <row r="367" spans="1:8">
      <c r="A367" s="6" t="s">
        <v>372</v>
      </c>
      <c r="B367" s="7" t="s">
        <v>3403</v>
      </c>
      <c r="C367" s="7" t="s">
        <v>3417</v>
      </c>
      <c r="D367" s="7" t="s">
        <v>3418</v>
      </c>
      <c r="E367" s="6" t="s">
        <v>3419</v>
      </c>
      <c r="F367" s="8" t="e">
        <f>VLOOKUP($D367,설문!$C$2:$G$444,3,FALSE)</f>
        <v>#N/A</v>
      </c>
      <c r="G367" s="8" t="e">
        <f>VLOOKUP($D367,설문!$C$2:$G$444,4,FALSE)</f>
        <v>#N/A</v>
      </c>
      <c r="H367" s="8" t="e">
        <f>VLOOKUP($D367,설문!$C$2:$G$444,5,FALSE)</f>
        <v>#N/A</v>
      </c>
    </row>
    <row r="368" spans="1:8">
      <c r="A368" s="6" t="s">
        <v>447</v>
      </c>
      <c r="B368" s="7" t="s">
        <v>448</v>
      </c>
      <c r="C368" s="7" t="s">
        <v>448</v>
      </c>
      <c r="D368" s="7" t="s">
        <v>449</v>
      </c>
      <c r="E368" s="6" t="s">
        <v>450</v>
      </c>
      <c r="F368" s="8" t="str">
        <f>VLOOKUP($D368,설문!$C$2:$G$444,3,FALSE)</f>
        <v>세일즈</v>
      </c>
      <c r="G368" s="8" t="str">
        <f>VLOOKUP($D368,설문!$C$2:$G$444,4,FALSE)</f>
        <v>금융회사,일반기업고객</v>
      </c>
      <c r="H368" s="8" t="str">
        <f>VLOOKUP($D368,설문!$C$2:$G$444,5,FALSE)</f>
        <v>회사채,소액채권,외화채권(KP제외),원화 구조화채권,외화 구조화채권,CRS &amp; FX Option,FRA/이자율옵션,신용파생,IB(발행, M&amp;A 등),대체투자(부동산/인프라)</v>
      </c>
    </row>
    <row r="369" spans="1:8">
      <c r="A369" s="6" t="s">
        <v>447</v>
      </c>
      <c r="B369" s="7" t="s">
        <v>742</v>
      </c>
      <c r="C369" s="7" t="s">
        <v>742</v>
      </c>
      <c r="D369" s="7" t="s">
        <v>743</v>
      </c>
      <c r="E369" s="6" t="s">
        <v>744</v>
      </c>
      <c r="F369" s="8" t="e">
        <f>VLOOKUP($D369,설문!$C$2:$G$444,3,FALSE)</f>
        <v>#N/A</v>
      </c>
      <c r="G369" s="8" t="e">
        <f>VLOOKUP($D369,설문!$C$2:$G$444,4,FALSE)</f>
        <v>#N/A</v>
      </c>
      <c r="H369" s="8" t="e">
        <f>VLOOKUP($D369,설문!$C$2:$G$444,5,FALSE)</f>
        <v>#N/A</v>
      </c>
    </row>
    <row r="370" spans="1:8">
      <c r="A370" s="6" t="s">
        <v>447</v>
      </c>
      <c r="B370" s="7" t="s">
        <v>742</v>
      </c>
      <c r="C370" s="7" t="s">
        <v>742</v>
      </c>
      <c r="D370" s="7" t="s">
        <v>819</v>
      </c>
      <c r="E370" s="6" t="s">
        <v>820</v>
      </c>
      <c r="F370" s="8" t="e">
        <f>VLOOKUP($D370,설문!$C$2:$G$444,3,FALSE)</f>
        <v>#N/A</v>
      </c>
      <c r="G370" s="8" t="e">
        <f>VLOOKUP($D370,설문!$C$2:$G$444,4,FALSE)</f>
        <v>#N/A</v>
      </c>
      <c r="H370" s="8" t="e">
        <f>VLOOKUP($D370,설문!$C$2:$G$444,5,FALSE)</f>
        <v>#N/A</v>
      </c>
    </row>
    <row r="371" spans="1:8">
      <c r="A371" s="6" t="s">
        <v>447</v>
      </c>
      <c r="B371" s="7" t="s">
        <v>742</v>
      </c>
      <c r="C371" s="7" t="s">
        <v>742</v>
      </c>
      <c r="D371" s="7" t="s">
        <v>822</v>
      </c>
      <c r="E371" s="6" t="s">
        <v>823</v>
      </c>
      <c r="F371" s="8" t="e">
        <f>VLOOKUP($D371,설문!$C$2:$G$444,3,FALSE)</f>
        <v>#N/A</v>
      </c>
      <c r="G371" s="8" t="e">
        <f>VLOOKUP($D371,설문!$C$2:$G$444,4,FALSE)</f>
        <v>#N/A</v>
      </c>
      <c r="H371" s="8" t="e">
        <f>VLOOKUP($D371,설문!$C$2:$G$444,5,FALSE)</f>
        <v>#N/A</v>
      </c>
    </row>
    <row r="372" spans="1:8">
      <c r="A372" s="6" t="s">
        <v>447</v>
      </c>
      <c r="B372" s="7" t="s">
        <v>898</v>
      </c>
      <c r="C372" s="7" t="s">
        <v>119</v>
      </c>
      <c r="D372" s="7" t="s">
        <v>899</v>
      </c>
      <c r="E372" s="6" t="s">
        <v>900</v>
      </c>
      <c r="F372" s="8" t="e">
        <f>VLOOKUP($D372,설문!$C$2:$G$444,3,FALSE)</f>
        <v>#N/A</v>
      </c>
      <c r="G372" s="8" t="e">
        <f>VLOOKUP($D372,설문!$C$2:$G$444,4,FALSE)</f>
        <v>#N/A</v>
      </c>
      <c r="H372" s="8" t="e">
        <f>VLOOKUP($D372,설문!$C$2:$G$444,5,FALSE)</f>
        <v>#N/A</v>
      </c>
    </row>
    <row r="373" spans="1:8">
      <c r="A373" s="6" t="s">
        <v>447</v>
      </c>
      <c r="B373" s="7" t="s">
        <v>898</v>
      </c>
      <c r="C373" s="7" t="s">
        <v>119</v>
      </c>
      <c r="D373" s="7" t="s">
        <v>929</v>
      </c>
      <c r="E373" s="6" t="s">
        <v>930</v>
      </c>
      <c r="F373" s="8" t="e">
        <f>VLOOKUP($D373,설문!$C$2:$G$444,3,FALSE)</f>
        <v>#N/A</v>
      </c>
      <c r="G373" s="8" t="e">
        <f>VLOOKUP($D373,설문!$C$2:$G$444,4,FALSE)</f>
        <v>#N/A</v>
      </c>
      <c r="H373" s="8" t="e">
        <f>VLOOKUP($D373,설문!$C$2:$G$444,5,FALSE)</f>
        <v>#N/A</v>
      </c>
    </row>
    <row r="374" spans="1:8">
      <c r="A374" s="6" t="s">
        <v>447</v>
      </c>
      <c r="B374" s="7" t="s">
        <v>898</v>
      </c>
      <c r="C374" s="7" t="s">
        <v>119</v>
      </c>
      <c r="D374" s="7" t="s">
        <v>996</v>
      </c>
      <c r="E374" s="6" t="s">
        <v>640</v>
      </c>
      <c r="F374" s="8" t="e">
        <f>VLOOKUP($D374,설문!$C$2:$G$444,3,FALSE)</f>
        <v>#N/A</v>
      </c>
      <c r="G374" s="8" t="e">
        <f>VLOOKUP($D374,설문!$C$2:$G$444,4,FALSE)</f>
        <v>#N/A</v>
      </c>
      <c r="H374" s="8" t="e">
        <f>VLOOKUP($D374,설문!$C$2:$G$444,5,FALSE)</f>
        <v>#N/A</v>
      </c>
    </row>
    <row r="375" spans="1:8">
      <c r="A375" s="6" t="s">
        <v>447</v>
      </c>
      <c r="B375" s="7" t="s">
        <v>742</v>
      </c>
      <c r="C375" s="7" t="s">
        <v>1182</v>
      </c>
      <c r="D375" s="7" t="s">
        <v>1183</v>
      </c>
      <c r="E375" s="6" t="s">
        <v>1184</v>
      </c>
      <c r="F375" s="8" t="e">
        <f>VLOOKUP($D375,설문!$C$2:$G$444,3,FALSE)</f>
        <v>#N/A</v>
      </c>
      <c r="G375" s="8" t="e">
        <f>VLOOKUP($D375,설문!$C$2:$G$444,4,FALSE)</f>
        <v>#N/A</v>
      </c>
      <c r="H375" s="8" t="e">
        <f>VLOOKUP($D375,설문!$C$2:$G$444,5,FALSE)</f>
        <v>#N/A</v>
      </c>
    </row>
    <row r="376" spans="1:8">
      <c r="A376" s="6" t="s">
        <v>447</v>
      </c>
      <c r="B376" s="7" t="s">
        <v>1197</v>
      </c>
      <c r="C376" s="7" t="s">
        <v>1197</v>
      </c>
      <c r="D376" s="7" t="s">
        <v>1198</v>
      </c>
      <c r="E376" s="6" t="s">
        <v>1199</v>
      </c>
      <c r="F376" s="8" t="e">
        <f>VLOOKUP($D376,설문!$C$2:$G$444,3,FALSE)</f>
        <v>#N/A</v>
      </c>
      <c r="G376" s="8" t="e">
        <f>VLOOKUP($D376,설문!$C$2:$G$444,4,FALSE)</f>
        <v>#N/A</v>
      </c>
      <c r="H376" s="8" t="e">
        <f>VLOOKUP($D376,설문!$C$2:$G$444,5,FALSE)</f>
        <v>#N/A</v>
      </c>
    </row>
    <row r="377" spans="1:8">
      <c r="A377" s="6" t="s">
        <v>447</v>
      </c>
      <c r="B377" s="7" t="s">
        <v>898</v>
      </c>
      <c r="C377" s="7" t="s">
        <v>119</v>
      </c>
      <c r="D377" s="7" t="s">
        <v>1402</v>
      </c>
      <c r="E377" s="6" t="s">
        <v>1403</v>
      </c>
      <c r="F377" s="8" t="e">
        <f>VLOOKUP($D377,설문!$C$2:$G$444,3,FALSE)</f>
        <v>#N/A</v>
      </c>
      <c r="G377" s="8" t="e">
        <f>VLOOKUP($D377,설문!$C$2:$G$444,4,FALSE)</f>
        <v>#N/A</v>
      </c>
      <c r="H377" s="8" t="e">
        <f>VLOOKUP($D377,설문!$C$2:$G$444,5,FALSE)</f>
        <v>#N/A</v>
      </c>
    </row>
    <row r="378" spans="1:8">
      <c r="A378" s="6" t="s">
        <v>447</v>
      </c>
      <c r="B378" s="7" t="s">
        <v>365</v>
      </c>
      <c r="C378" s="7" t="s">
        <v>365</v>
      </c>
      <c r="D378" s="7" t="s">
        <v>1414</v>
      </c>
      <c r="E378" s="6" t="s">
        <v>1415</v>
      </c>
      <c r="F378" s="8" t="e">
        <f>VLOOKUP($D378,설문!$C$2:$G$444,3,FALSE)</f>
        <v>#N/A</v>
      </c>
      <c r="G378" s="8" t="e">
        <f>VLOOKUP($D378,설문!$C$2:$G$444,4,FALSE)</f>
        <v>#N/A</v>
      </c>
      <c r="H378" s="8" t="e">
        <f>VLOOKUP($D378,설문!$C$2:$G$444,5,FALSE)</f>
        <v>#N/A</v>
      </c>
    </row>
    <row r="379" spans="1:8">
      <c r="A379" s="6" t="s">
        <v>447</v>
      </c>
      <c r="B379" s="7" t="s">
        <v>1467</v>
      </c>
      <c r="C379" s="7" t="s">
        <v>1467</v>
      </c>
      <c r="D379" s="7" t="s">
        <v>1468</v>
      </c>
      <c r="E379" s="6" t="s">
        <v>1469</v>
      </c>
      <c r="F379" s="8" t="e">
        <f>VLOOKUP($D379,설문!$C$2:$G$444,3,FALSE)</f>
        <v>#N/A</v>
      </c>
      <c r="G379" s="8" t="e">
        <f>VLOOKUP($D379,설문!$C$2:$G$444,4,FALSE)</f>
        <v>#N/A</v>
      </c>
      <c r="H379" s="8" t="e">
        <f>VLOOKUP($D379,설문!$C$2:$G$444,5,FALSE)</f>
        <v>#N/A</v>
      </c>
    </row>
    <row r="380" spans="1:8">
      <c r="A380" s="6" t="s">
        <v>447</v>
      </c>
      <c r="B380" s="7" t="s">
        <v>1512</v>
      </c>
      <c r="C380" s="7" t="s">
        <v>1512</v>
      </c>
      <c r="D380" s="7" t="s">
        <v>1513</v>
      </c>
      <c r="E380" s="6" t="s">
        <v>1514</v>
      </c>
      <c r="F380" s="8" t="e">
        <f>VLOOKUP($D380,설문!$C$2:$G$444,3,FALSE)</f>
        <v>#N/A</v>
      </c>
      <c r="G380" s="8" t="e">
        <f>VLOOKUP($D380,설문!$C$2:$G$444,4,FALSE)</f>
        <v>#N/A</v>
      </c>
      <c r="H380" s="8" t="e">
        <f>VLOOKUP($D380,설문!$C$2:$G$444,5,FALSE)</f>
        <v>#N/A</v>
      </c>
    </row>
    <row r="381" spans="1:8">
      <c r="A381" s="6" t="s">
        <v>447</v>
      </c>
      <c r="B381" s="7" t="s">
        <v>898</v>
      </c>
      <c r="C381" s="7" t="s">
        <v>119</v>
      </c>
      <c r="D381" s="7" t="s">
        <v>1641</v>
      </c>
      <c r="E381" s="6" t="s">
        <v>1642</v>
      </c>
      <c r="F381" s="8" t="e">
        <f>VLOOKUP($D381,설문!$C$2:$G$444,3,FALSE)</f>
        <v>#N/A</v>
      </c>
      <c r="G381" s="8" t="e">
        <f>VLOOKUP($D381,설문!$C$2:$G$444,4,FALSE)</f>
        <v>#N/A</v>
      </c>
      <c r="H381" s="8" t="e">
        <f>VLOOKUP($D381,설문!$C$2:$G$444,5,FALSE)</f>
        <v>#N/A</v>
      </c>
    </row>
    <row r="382" spans="1:8">
      <c r="A382" s="6" t="s">
        <v>447</v>
      </c>
      <c r="B382" s="7" t="s">
        <v>898</v>
      </c>
      <c r="C382" s="7" t="s">
        <v>119</v>
      </c>
      <c r="D382" s="7" t="s">
        <v>1664</v>
      </c>
      <c r="E382" s="6" t="s">
        <v>1665</v>
      </c>
      <c r="F382" s="8" t="e">
        <f>VLOOKUP($D382,설문!$C$2:$G$444,3,FALSE)</f>
        <v>#N/A</v>
      </c>
      <c r="G382" s="8" t="e">
        <f>VLOOKUP($D382,설문!$C$2:$G$444,4,FALSE)</f>
        <v>#N/A</v>
      </c>
      <c r="H382" s="8" t="e">
        <f>VLOOKUP($D382,설문!$C$2:$G$444,5,FALSE)</f>
        <v>#N/A</v>
      </c>
    </row>
    <row r="383" spans="1:8">
      <c r="A383" s="6" t="s">
        <v>447</v>
      </c>
      <c r="B383" s="7" t="s">
        <v>365</v>
      </c>
      <c r="C383" s="7" t="s">
        <v>365</v>
      </c>
      <c r="D383" s="7" t="s">
        <v>1803</v>
      </c>
      <c r="E383" s="6" t="s">
        <v>1804</v>
      </c>
      <c r="F383" s="8" t="e">
        <f>VLOOKUP($D383,설문!$C$2:$G$444,3,FALSE)</f>
        <v>#N/A</v>
      </c>
      <c r="G383" s="8" t="e">
        <f>VLOOKUP($D383,설문!$C$2:$G$444,4,FALSE)</f>
        <v>#N/A</v>
      </c>
      <c r="H383" s="8" t="e">
        <f>VLOOKUP($D383,설문!$C$2:$G$444,5,FALSE)</f>
        <v>#N/A</v>
      </c>
    </row>
    <row r="384" spans="1:8">
      <c r="A384" s="6" t="s">
        <v>447</v>
      </c>
      <c r="B384" s="7" t="s">
        <v>1830</v>
      </c>
      <c r="C384" s="7" t="s">
        <v>1831</v>
      </c>
      <c r="D384" s="7" t="s">
        <v>1832</v>
      </c>
      <c r="E384" s="6" t="s">
        <v>1833</v>
      </c>
      <c r="F384" s="8" t="e">
        <f>VLOOKUP($D384,설문!$C$2:$G$444,3,FALSE)</f>
        <v>#N/A</v>
      </c>
      <c r="G384" s="8" t="e">
        <f>VLOOKUP($D384,설문!$C$2:$G$444,4,FALSE)</f>
        <v>#N/A</v>
      </c>
      <c r="H384" s="8" t="e">
        <f>VLOOKUP($D384,설문!$C$2:$G$444,5,FALSE)</f>
        <v>#N/A</v>
      </c>
    </row>
    <row r="385" spans="1:8">
      <c r="A385" s="6" t="s">
        <v>447</v>
      </c>
      <c r="B385" s="7" t="s">
        <v>6858</v>
      </c>
      <c r="C385" s="7" t="s">
        <v>6858</v>
      </c>
      <c r="D385" s="7" t="s">
        <v>6859</v>
      </c>
      <c r="E385" s="6" t="s">
        <v>62</v>
      </c>
      <c r="F385" s="8" t="e">
        <f>VLOOKUP($D385,설문!$C$2:$G$444,3,FALSE)</f>
        <v>#N/A</v>
      </c>
      <c r="G385" s="8" t="e">
        <f>VLOOKUP($D385,설문!$C$2:$G$444,4,FALSE)</f>
        <v>#N/A</v>
      </c>
      <c r="H385" s="8" t="e">
        <f>VLOOKUP($D385,설문!$C$2:$G$444,5,FALSE)</f>
        <v>#N/A</v>
      </c>
    </row>
    <row r="386" spans="1:8">
      <c r="A386" s="6" t="s">
        <v>447</v>
      </c>
      <c r="B386" s="7" t="s">
        <v>6860</v>
      </c>
      <c r="C386" s="7" t="s">
        <v>6861</v>
      </c>
      <c r="D386" s="7" t="s">
        <v>6862</v>
      </c>
      <c r="E386" s="6" t="s">
        <v>6863</v>
      </c>
      <c r="F386" s="8" t="e">
        <f>VLOOKUP($D386,설문!$C$2:$G$444,3,FALSE)</f>
        <v>#N/A</v>
      </c>
      <c r="G386" s="8" t="e">
        <f>VLOOKUP($D386,설문!$C$2:$G$444,4,FALSE)</f>
        <v>#N/A</v>
      </c>
      <c r="H386" s="8" t="e">
        <f>VLOOKUP($D386,설문!$C$2:$G$444,5,FALSE)</f>
        <v>#N/A</v>
      </c>
    </row>
    <row r="387" spans="1:8">
      <c r="A387" s="6" t="s">
        <v>447</v>
      </c>
      <c r="B387" s="7" t="s">
        <v>3032</v>
      </c>
      <c r="C387" s="7" t="s">
        <v>6864</v>
      </c>
      <c r="D387" s="7" t="s">
        <v>6865</v>
      </c>
      <c r="E387" s="6" t="s">
        <v>6449</v>
      </c>
      <c r="F387" s="8" t="e">
        <f>VLOOKUP($D387,설문!$C$2:$G$444,3,FALSE)</f>
        <v>#N/A</v>
      </c>
      <c r="G387" s="8" t="e">
        <f>VLOOKUP($D387,설문!$C$2:$G$444,4,FALSE)</f>
        <v>#N/A</v>
      </c>
      <c r="H387" s="8" t="e">
        <f>VLOOKUP($D387,설문!$C$2:$G$444,5,FALSE)</f>
        <v>#N/A</v>
      </c>
    </row>
    <row r="388" spans="1:8">
      <c r="A388" s="6" t="s">
        <v>447</v>
      </c>
      <c r="B388" s="7" t="s">
        <v>606</v>
      </c>
      <c r="C388" s="7" t="s">
        <v>606</v>
      </c>
      <c r="D388" s="7" t="s">
        <v>6866</v>
      </c>
      <c r="E388" s="6" t="s">
        <v>6867</v>
      </c>
      <c r="F388" s="8" t="e">
        <f>VLOOKUP($D388,설문!$C$2:$G$444,3,FALSE)</f>
        <v>#N/A</v>
      </c>
      <c r="G388" s="8" t="e">
        <f>VLOOKUP($D388,설문!$C$2:$G$444,4,FALSE)</f>
        <v>#N/A</v>
      </c>
      <c r="H388" s="8" t="e">
        <f>VLOOKUP($D388,설문!$C$2:$G$444,5,FALSE)</f>
        <v>#N/A</v>
      </c>
    </row>
    <row r="389" spans="1:8">
      <c r="A389" s="6" t="s">
        <v>447</v>
      </c>
      <c r="B389" s="7" t="s">
        <v>6868</v>
      </c>
      <c r="C389" s="7" t="s">
        <v>6868</v>
      </c>
      <c r="D389" s="7" t="s">
        <v>6869</v>
      </c>
      <c r="E389" s="6" t="s">
        <v>6870</v>
      </c>
      <c r="F389" s="8" t="e">
        <f>VLOOKUP($D389,설문!$C$2:$G$444,3,FALSE)</f>
        <v>#N/A</v>
      </c>
      <c r="G389" s="8" t="e">
        <f>VLOOKUP($D389,설문!$C$2:$G$444,4,FALSE)</f>
        <v>#N/A</v>
      </c>
      <c r="H389" s="8" t="e">
        <f>VLOOKUP($D389,설문!$C$2:$G$444,5,FALSE)</f>
        <v>#N/A</v>
      </c>
    </row>
    <row r="390" spans="1:8">
      <c r="A390" s="6" t="s">
        <v>447</v>
      </c>
      <c r="B390" s="7" t="s">
        <v>6868</v>
      </c>
      <c r="C390" s="7" t="s">
        <v>6868</v>
      </c>
      <c r="D390" s="7" t="s">
        <v>6871</v>
      </c>
      <c r="E390" s="6" t="s">
        <v>6872</v>
      </c>
      <c r="F390" s="8" t="str">
        <f>VLOOKUP($D390,설문!$C$2:$G$444,3,FALSE)</f>
        <v>펀드매니저</v>
      </c>
      <c r="G390" s="8" t="str">
        <f>VLOOKUP($D390,설문!$C$2:$G$444,4,FALSE)</f>
        <v>금융회사,금융 유관기관,일반기업고객,개인고객,기타</v>
      </c>
      <c r="H390" s="8" t="str">
        <f>VLOOKUP($D390,설문!$C$2:$G$444,5,FALSE)</f>
        <v>국고채/통안채,회사채,단기자금,원화 구조화채권</v>
      </c>
    </row>
    <row r="391" spans="1:8">
      <c r="A391" s="6" t="s">
        <v>447</v>
      </c>
      <c r="B391" s="7" t="s">
        <v>365</v>
      </c>
      <c r="C391" s="7" t="s">
        <v>6873</v>
      </c>
      <c r="D391" s="7" t="s">
        <v>6874</v>
      </c>
      <c r="E391" s="6" t="s">
        <v>6875</v>
      </c>
      <c r="F391" s="8" t="e">
        <f>VLOOKUP($D391,설문!$C$2:$G$444,3,FALSE)</f>
        <v>#N/A</v>
      </c>
      <c r="G391" s="8" t="e">
        <f>VLOOKUP($D391,설문!$C$2:$G$444,4,FALSE)</f>
        <v>#N/A</v>
      </c>
      <c r="H391" s="8" t="e">
        <f>VLOOKUP($D391,설문!$C$2:$G$444,5,FALSE)</f>
        <v>#N/A</v>
      </c>
    </row>
    <row r="392" spans="1:8">
      <c r="A392" s="6" t="s">
        <v>447</v>
      </c>
      <c r="B392" s="7" t="s">
        <v>365</v>
      </c>
      <c r="C392" s="7" t="s">
        <v>365</v>
      </c>
      <c r="D392" s="7" t="s">
        <v>6876</v>
      </c>
      <c r="E392" s="6" t="s">
        <v>6877</v>
      </c>
      <c r="F392" s="8" t="e">
        <f>VLOOKUP($D392,설문!$C$2:$G$444,3,FALSE)</f>
        <v>#N/A</v>
      </c>
      <c r="G392" s="8" t="e">
        <f>VLOOKUP($D392,설문!$C$2:$G$444,4,FALSE)</f>
        <v>#N/A</v>
      </c>
      <c r="H392" s="8" t="e">
        <f>VLOOKUP($D392,설문!$C$2:$G$444,5,FALSE)</f>
        <v>#N/A</v>
      </c>
    </row>
    <row r="393" spans="1:8">
      <c r="A393" s="6" t="s">
        <v>447</v>
      </c>
      <c r="B393" s="7" t="s">
        <v>365</v>
      </c>
      <c r="C393" s="7" t="s">
        <v>365</v>
      </c>
      <c r="D393" s="7" t="s">
        <v>6878</v>
      </c>
      <c r="E393" s="6" t="s">
        <v>6879</v>
      </c>
      <c r="F393" s="8" t="e">
        <f>VLOOKUP($D393,설문!$C$2:$G$444,3,FALSE)</f>
        <v>#N/A</v>
      </c>
      <c r="G393" s="8" t="e">
        <f>VLOOKUP($D393,설문!$C$2:$G$444,4,FALSE)</f>
        <v>#N/A</v>
      </c>
      <c r="H393" s="8" t="e">
        <f>VLOOKUP($D393,설문!$C$2:$G$444,5,FALSE)</f>
        <v>#N/A</v>
      </c>
    </row>
    <row r="394" spans="1:8">
      <c r="A394" s="6" t="s">
        <v>447</v>
      </c>
      <c r="B394" s="7" t="s">
        <v>365</v>
      </c>
      <c r="C394" s="7" t="s">
        <v>365</v>
      </c>
      <c r="D394" s="7" t="s">
        <v>6880</v>
      </c>
      <c r="E394" s="6" t="s">
        <v>6881</v>
      </c>
      <c r="F394" s="8" t="str">
        <f>VLOOKUP($D394,설문!$C$2:$G$444,3,FALSE)</f>
        <v>딜러,퀀트,분석 및 전략</v>
      </c>
      <c r="G394" s="8" t="str">
        <f>VLOOKUP($D394,설문!$C$2:$G$444,4,FALSE)</f>
        <v>금융회사</v>
      </c>
      <c r="H394" s="8" t="str">
        <f>VLOOKUP($D394,설문!$C$2:$G$444,5,FALSE)</f>
        <v>국고채/통안채,회사채,RP,단기자금,국채선물,Korean Paper,외화채권(KP제외),외화채권선물,원화 구조화채권,외화 구조화채권,원화 이자율스왑,외화 이자율스왑,FX Spot &amp; FX Swap,CRS &amp; FX Option,FRA/이자율옵션,신용파생,원자재파생,ELS/DLS</v>
      </c>
    </row>
    <row r="395" spans="1:8">
      <c r="A395" s="6" t="s">
        <v>447</v>
      </c>
      <c r="B395" s="7" t="s">
        <v>365</v>
      </c>
      <c r="C395" s="7" t="s">
        <v>365</v>
      </c>
      <c r="D395" s="7" t="s">
        <v>6882</v>
      </c>
      <c r="E395" s="6" t="s">
        <v>6883</v>
      </c>
      <c r="F395" s="8" t="e">
        <f>VLOOKUP($D395,설문!$C$2:$G$444,3,FALSE)</f>
        <v>#N/A</v>
      </c>
      <c r="G395" s="8" t="e">
        <f>VLOOKUP($D395,설문!$C$2:$G$444,4,FALSE)</f>
        <v>#N/A</v>
      </c>
      <c r="H395" s="8" t="e">
        <f>VLOOKUP($D395,설문!$C$2:$G$444,5,FALSE)</f>
        <v>#N/A</v>
      </c>
    </row>
    <row r="396" spans="1:8">
      <c r="A396" s="6" t="s">
        <v>447</v>
      </c>
      <c r="B396" s="7" t="s">
        <v>365</v>
      </c>
      <c r="C396" s="7" t="s">
        <v>365</v>
      </c>
      <c r="D396" s="7" t="s">
        <v>6884</v>
      </c>
      <c r="E396" s="6" t="s">
        <v>2748</v>
      </c>
      <c r="F396" s="8" t="str">
        <f>VLOOKUP($D396,설문!$C$2:$G$444,3,FALSE)</f>
        <v>트레이더,퀀트,세일즈</v>
      </c>
      <c r="G396" s="8" t="str">
        <f>VLOOKUP($D396,설문!$C$2:$G$444,4,FALSE)</f>
        <v>금융회사,일반기업고객</v>
      </c>
      <c r="H396" s="8" t="str">
        <f>VLOOKUP($D396,설문!$C$2:$G$444,5,FALSE)</f>
        <v>국내주식/지수,국고채/통안채,회사채,단기자금,국채선물,Korean Paper,외화채권(KP제외),외화채권선물,원화 구조화채권,국내주식/지수관련파생,외화 구조화채권,원화 이자율스왑,외화 이자율스왑,FX Spot &amp; FX Swap,CRS &amp; FX Option,FRA/이자율옵션,신용파생,원자재파생,해외주식/지수,해외주식/지수관련파생,ETF/ETN,ELS/DLS</v>
      </c>
    </row>
    <row r="397" spans="1:8">
      <c r="A397" s="6" t="s">
        <v>447</v>
      </c>
      <c r="B397" s="7" t="s">
        <v>742</v>
      </c>
      <c r="C397" s="7" t="s">
        <v>1182</v>
      </c>
      <c r="D397" s="7" t="s">
        <v>6885</v>
      </c>
      <c r="E397" s="6" t="s">
        <v>6886</v>
      </c>
      <c r="F397" s="8" t="e">
        <f>VLOOKUP($D397,설문!$C$2:$G$444,3,FALSE)</f>
        <v>#N/A</v>
      </c>
      <c r="G397" s="8" t="e">
        <f>VLOOKUP($D397,설문!$C$2:$G$444,4,FALSE)</f>
        <v>#N/A</v>
      </c>
      <c r="H397" s="8" t="e">
        <f>VLOOKUP($D397,설문!$C$2:$G$444,5,FALSE)</f>
        <v>#N/A</v>
      </c>
    </row>
    <row r="398" spans="1:8">
      <c r="A398" s="6" t="s">
        <v>447</v>
      </c>
      <c r="B398" s="7" t="s">
        <v>742</v>
      </c>
      <c r="C398" s="7" t="s">
        <v>742</v>
      </c>
      <c r="D398" s="7" t="s">
        <v>6887</v>
      </c>
      <c r="E398" s="6" t="s">
        <v>6888</v>
      </c>
      <c r="F398" s="8" t="str">
        <f>VLOOKUP($D398,설문!$C$2:$G$444,3,FALSE)</f>
        <v>펀드매니저</v>
      </c>
      <c r="G398" s="8" t="str">
        <f>VLOOKUP($D398,설문!$C$2:$G$444,4,FALSE)</f>
        <v>금융회사</v>
      </c>
      <c r="H398" s="8" t="str">
        <f>VLOOKUP($D398,설문!$C$2:$G$444,5,FALSE)</f>
        <v>국고채/통안채,원화 구조화채권</v>
      </c>
    </row>
    <row r="399" spans="1:8">
      <c r="A399" s="6" t="s">
        <v>447</v>
      </c>
      <c r="B399" s="7" t="s">
        <v>742</v>
      </c>
      <c r="C399" s="7" t="s">
        <v>742</v>
      </c>
      <c r="D399" s="7" t="s">
        <v>6889</v>
      </c>
      <c r="E399" s="6" t="s">
        <v>745</v>
      </c>
      <c r="F399" s="8" t="e">
        <f>VLOOKUP($D399,설문!$C$2:$G$444,3,FALSE)</f>
        <v>#N/A</v>
      </c>
      <c r="G399" s="8" t="e">
        <f>VLOOKUP($D399,설문!$C$2:$G$444,4,FALSE)</f>
        <v>#N/A</v>
      </c>
      <c r="H399" s="8" t="e">
        <f>VLOOKUP($D399,설문!$C$2:$G$444,5,FALSE)</f>
        <v>#N/A</v>
      </c>
    </row>
    <row r="400" spans="1:8">
      <c r="A400" s="6" t="s">
        <v>447</v>
      </c>
      <c r="B400" s="7" t="s">
        <v>742</v>
      </c>
      <c r="C400" s="7" t="s">
        <v>742</v>
      </c>
      <c r="D400" s="7" t="s">
        <v>6890</v>
      </c>
      <c r="E400" s="6" t="s">
        <v>6891</v>
      </c>
      <c r="F400" s="8" t="e">
        <f>VLOOKUP($D400,설문!$C$2:$G$444,3,FALSE)</f>
        <v>#N/A</v>
      </c>
      <c r="G400" s="8" t="e">
        <f>VLOOKUP($D400,설문!$C$2:$G$444,4,FALSE)</f>
        <v>#N/A</v>
      </c>
      <c r="H400" s="8" t="e">
        <f>VLOOKUP($D400,설문!$C$2:$G$444,5,FALSE)</f>
        <v>#N/A</v>
      </c>
    </row>
    <row r="401" spans="1:8">
      <c r="A401" s="6" t="s">
        <v>447</v>
      </c>
      <c r="B401" s="7" t="s">
        <v>742</v>
      </c>
      <c r="C401" s="7" t="s">
        <v>742</v>
      </c>
      <c r="D401" s="7" t="s">
        <v>6892</v>
      </c>
      <c r="E401" s="6" t="s">
        <v>821</v>
      </c>
      <c r="F401" s="8" t="e">
        <f>VLOOKUP($D401,설문!$C$2:$G$444,3,FALSE)</f>
        <v>#N/A</v>
      </c>
      <c r="G401" s="8" t="e">
        <f>VLOOKUP($D401,설문!$C$2:$G$444,4,FALSE)</f>
        <v>#N/A</v>
      </c>
      <c r="H401" s="8" t="e">
        <f>VLOOKUP($D401,설문!$C$2:$G$444,5,FALSE)</f>
        <v>#N/A</v>
      </c>
    </row>
    <row r="402" spans="1:8">
      <c r="A402" s="6" t="s">
        <v>447</v>
      </c>
      <c r="B402" s="7" t="s">
        <v>1512</v>
      </c>
      <c r="C402" s="7" t="s">
        <v>1512</v>
      </c>
      <c r="D402" s="7" t="s">
        <v>6893</v>
      </c>
      <c r="E402" s="6" t="s">
        <v>6894</v>
      </c>
      <c r="F402" s="8" t="str">
        <f>VLOOKUP($D402,설문!$C$2:$G$444,3,FALSE)</f>
        <v>딜러</v>
      </c>
      <c r="G402" s="8" t="str">
        <f>VLOOKUP($D402,설문!$C$2:$G$444,4,FALSE)</f>
        <v>기타</v>
      </c>
      <c r="H402" s="8" t="str">
        <f>VLOOKUP($D402,설문!$C$2:$G$444,5,FALSE)</f>
        <v>국내주식/지수,국고채/통안채,회사채,소액채권,RP,국채선물,국내주식/지수관련파생,원화 이자율스왑</v>
      </c>
    </row>
    <row r="403" spans="1:8">
      <c r="A403" s="6" t="s">
        <v>447</v>
      </c>
      <c r="B403" s="7" t="s">
        <v>1512</v>
      </c>
      <c r="C403" s="7" t="s">
        <v>1512</v>
      </c>
      <c r="D403" s="7" t="s">
        <v>6896</v>
      </c>
      <c r="E403" s="6" t="s">
        <v>6897</v>
      </c>
      <c r="F403" s="8" t="e">
        <f>VLOOKUP($D403,설문!$C$2:$G$444,3,FALSE)</f>
        <v>#N/A</v>
      </c>
      <c r="G403" s="8" t="e">
        <f>VLOOKUP($D403,설문!$C$2:$G$444,4,FALSE)</f>
        <v>#N/A</v>
      </c>
      <c r="H403" s="8" t="e">
        <f>VLOOKUP($D403,설문!$C$2:$G$444,5,FALSE)</f>
        <v>#N/A</v>
      </c>
    </row>
    <row r="404" spans="1:8">
      <c r="A404" s="6" t="s">
        <v>447</v>
      </c>
      <c r="B404" s="7" t="s">
        <v>1512</v>
      </c>
      <c r="C404" s="7" t="s">
        <v>1512</v>
      </c>
      <c r="D404" s="7" t="s">
        <v>6898</v>
      </c>
      <c r="E404" s="6" t="s">
        <v>6899</v>
      </c>
      <c r="F404" s="8" t="e">
        <f>VLOOKUP($D404,설문!$C$2:$G$444,3,FALSE)</f>
        <v>#N/A</v>
      </c>
      <c r="G404" s="8" t="e">
        <f>VLOOKUP($D404,설문!$C$2:$G$444,4,FALSE)</f>
        <v>#N/A</v>
      </c>
      <c r="H404" s="8" t="e">
        <f>VLOOKUP($D404,설문!$C$2:$G$444,5,FALSE)</f>
        <v>#N/A</v>
      </c>
    </row>
    <row r="405" spans="1:8">
      <c r="A405" s="6" t="s">
        <v>447</v>
      </c>
      <c r="B405" s="7" t="s">
        <v>1512</v>
      </c>
      <c r="C405" s="7" t="s">
        <v>1512</v>
      </c>
      <c r="D405" s="7" t="s">
        <v>6900</v>
      </c>
      <c r="E405" s="6" t="s">
        <v>6901</v>
      </c>
      <c r="F405" s="8" t="str">
        <f>VLOOKUP($D405,설문!$C$2:$G$444,3,FALSE)</f>
        <v>브로커</v>
      </c>
      <c r="G405" s="8" t="str">
        <f>VLOOKUP($D405,설문!$C$2:$G$444,4,FALSE)</f>
        <v>금융회사</v>
      </c>
      <c r="H405" s="8" t="str">
        <f>VLOOKUP($D405,설문!$C$2:$G$444,5,FALSE)</f>
        <v>국고채/통안채,회사채,소액채권</v>
      </c>
    </row>
    <row r="406" spans="1:8">
      <c r="A406" s="6" t="s">
        <v>447</v>
      </c>
      <c r="B406" s="7" t="s">
        <v>1512</v>
      </c>
      <c r="C406" s="7" t="s">
        <v>1512</v>
      </c>
      <c r="D406" s="7" t="s">
        <v>6902</v>
      </c>
      <c r="E406" s="6" t="s">
        <v>6903</v>
      </c>
      <c r="F406" s="8" t="str">
        <f>VLOOKUP($D406,설문!$C$2:$G$444,3,FALSE)</f>
        <v>딜러</v>
      </c>
      <c r="G406" s="8" t="str">
        <f>VLOOKUP($D406,설문!$C$2:$G$444,4,FALSE)</f>
        <v>금융회사</v>
      </c>
      <c r="H406" s="8" t="str">
        <f>VLOOKUP($D406,설문!$C$2:$G$444,5,FALSE)</f>
        <v>국고채/통안채,국채선물</v>
      </c>
    </row>
    <row r="407" spans="1:8">
      <c r="A407" s="6" t="s">
        <v>447</v>
      </c>
      <c r="B407" s="7" t="s">
        <v>1512</v>
      </c>
      <c r="C407" s="7" t="s">
        <v>1512</v>
      </c>
      <c r="D407" s="7" t="s">
        <v>6904</v>
      </c>
      <c r="E407" s="6" t="s">
        <v>6905</v>
      </c>
      <c r="F407" s="8" t="e">
        <f>VLOOKUP($D407,설문!$C$2:$G$444,3,FALSE)</f>
        <v>#N/A</v>
      </c>
      <c r="G407" s="8" t="e">
        <f>VLOOKUP($D407,설문!$C$2:$G$444,4,FALSE)</f>
        <v>#N/A</v>
      </c>
      <c r="H407" s="8" t="e">
        <f>VLOOKUP($D407,설문!$C$2:$G$444,5,FALSE)</f>
        <v>#N/A</v>
      </c>
    </row>
    <row r="408" spans="1:8">
      <c r="A408" s="6" t="s">
        <v>447</v>
      </c>
      <c r="B408" s="7" t="s">
        <v>1512</v>
      </c>
      <c r="C408" s="7" t="s">
        <v>1512</v>
      </c>
      <c r="D408" s="7" t="s">
        <v>6906</v>
      </c>
      <c r="E408" s="6" t="s">
        <v>6124</v>
      </c>
      <c r="F408" s="8" t="e">
        <f>VLOOKUP($D408,설문!$C$2:$G$444,3,FALSE)</f>
        <v>#N/A</v>
      </c>
      <c r="G408" s="8" t="e">
        <f>VLOOKUP($D408,설문!$C$2:$G$444,4,FALSE)</f>
        <v>#N/A</v>
      </c>
      <c r="H408" s="8" t="e">
        <f>VLOOKUP($D408,설문!$C$2:$G$444,5,FALSE)</f>
        <v>#N/A</v>
      </c>
    </row>
    <row r="409" spans="1:8">
      <c r="A409" s="6" t="s">
        <v>447</v>
      </c>
      <c r="B409" s="7" t="s">
        <v>1512</v>
      </c>
      <c r="C409" s="7" t="s">
        <v>1512</v>
      </c>
      <c r="D409" s="7" t="s">
        <v>6907</v>
      </c>
      <c r="E409" s="6" t="s">
        <v>6895</v>
      </c>
      <c r="F409" s="8" t="e">
        <f>VLOOKUP($D409,설문!$C$2:$G$444,3,FALSE)</f>
        <v>#N/A</v>
      </c>
      <c r="G409" s="8" t="e">
        <f>VLOOKUP($D409,설문!$C$2:$G$444,4,FALSE)</f>
        <v>#N/A</v>
      </c>
      <c r="H409" s="8" t="e">
        <f>VLOOKUP($D409,설문!$C$2:$G$444,5,FALSE)</f>
        <v>#N/A</v>
      </c>
    </row>
    <row r="410" spans="1:8">
      <c r="A410" s="6" t="s">
        <v>447</v>
      </c>
      <c r="B410" s="7" t="s">
        <v>1512</v>
      </c>
      <c r="C410" s="7" t="s">
        <v>1512</v>
      </c>
      <c r="D410" s="7" t="s">
        <v>6908</v>
      </c>
      <c r="E410" s="6" t="s">
        <v>6909</v>
      </c>
      <c r="F410" s="8" t="e">
        <f>VLOOKUP($D410,설문!$C$2:$G$444,3,FALSE)</f>
        <v>#N/A</v>
      </c>
      <c r="G410" s="8" t="e">
        <f>VLOOKUP($D410,설문!$C$2:$G$444,4,FALSE)</f>
        <v>#N/A</v>
      </c>
      <c r="H410" s="8" t="e">
        <f>VLOOKUP($D410,설문!$C$2:$G$444,5,FALSE)</f>
        <v>#N/A</v>
      </c>
    </row>
    <row r="411" spans="1:8">
      <c r="A411" s="6" t="s">
        <v>447</v>
      </c>
      <c r="B411" s="7" t="s">
        <v>1512</v>
      </c>
      <c r="C411" s="7" t="s">
        <v>1512</v>
      </c>
      <c r="D411" s="7" t="s">
        <v>6910</v>
      </c>
      <c r="E411" s="6" t="s">
        <v>586</v>
      </c>
      <c r="F411" s="8" t="e">
        <f>VLOOKUP($D411,설문!$C$2:$G$444,3,FALSE)</f>
        <v>#N/A</v>
      </c>
      <c r="G411" s="8" t="e">
        <f>VLOOKUP($D411,설문!$C$2:$G$444,4,FALSE)</f>
        <v>#N/A</v>
      </c>
      <c r="H411" s="8" t="e">
        <f>VLOOKUP($D411,설문!$C$2:$G$444,5,FALSE)</f>
        <v>#N/A</v>
      </c>
    </row>
    <row r="412" spans="1:8">
      <c r="A412" s="6" t="s">
        <v>447</v>
      </c>
      <c r="B412" s="7" t="s">
        <v>898</v>
      </c>
      <c r="C412" s="7" t="s">
        <v>6911</v>
      </c>
      <c r="D412" s="7" t="s">
        <v>6912</v>
      </c>
      <c r="E412" s="6" t="s">
        <v>6913</v>
      </c>
      <c r="F412" s="8" t="e">
        <f>VLOOKUP($D412,설문!$C$2:$G$444,3,FALSE)</f>
        <v>#N/A</v>
      </c>
      <c r="G412" s="8" t="e">
        <f>VLOOKUP($D412,설문!$C$2:$G$444,4,FALSE)</f>
        <v>#N/A</v>
      </c>
      <c r="H412" s="8" t="e">
        <f>VLOOKUP($D412,설문!$C$2:$G$444,5,FALSE)</f>
        <v>#N/A</v>
      </c>
    </row>
    <row r="413" spans="1:8">
      <c r="A413" s="6" t="s">
        <v>447</v>
      </c>
      <c r="B413" s="7" t="s">
        <v>898</v>
      </c>
      <c r="C413" s="7" t="s">
        <v>6911</v>
      </c>
      <c r="D413" s="7" t="s">
        <v>6914</v>
      </c>
      <c r="E413" s="6" t="s">
        <v>6915</v>
      </c>
      <c r="F413" s="8" t="e">
        <f>VLOOKUP($D413,설문!$C$2:$G$444,3,FALSE)</f>
        <v>#N/A</v>
      </c>
      <c r="G413" s="8" t="e">
        <f>VLOOKUP($D413,설문!$C$2:$G$444,4,FALSE)</f>
        <v>#N/A</v>
      </c>
      <c r="H413" s="8" t="e">
        <f>VLOOKUP($D413,설문!$C$2:$G$444,5,FALSE)</f>
        <v>#N/A</v>
      </c>
    </row>
    <row r="414" spans="1:8">
      <c r="A414" s="6" t="s">
        <v>447</v>
      </c>
      <c r="B414" s="7" t="s">
        <v>898</v>
      </c>
      <c r="C414" s="7" t="s">
        <v>119</v>
      </c>
      <c r="D414" s="7" t="s">
        <v>6916</v>
      </c>
      <c r="E414" s="6" t="s">
        <v>6917</v>
      </c>
      <c r="F414" s="8" t="e">
        <f>VLOOKUP($D414,설문!$C$2:$G$444,3,FALSE)</f>
        <v>#N/A</v>
      </c>
      <c r="G414" s="8" t="e">
        <f>VLOOKUP($D414,설문!$C$2:$G$444,4,FALSE)</f>
        <v>#N/A</v>
      </c>
      <c r="H414" s="8" t="e">
        <f>VLOOKUP($D414,설문!$C$2:$G$444,5,FALSE)</f>
        <v>#N/A</v>
      </c>
    </row>
    <row r="415" spans="1:8">
      <c r="A415" s="6" t="s">
        <v>2771</v>
      </c>
      <c r="B415" s="7" t="s">
        <v>584</v>
      </c>
      <c r="C415" s="7" t="s">
        <v>2772</v>
      </c>
      <c r="D415" s="7" t="s">
        <v>2773</v>
      </c>
      <c r="E415" s="6" t="s">
        <v>2774</v>
      </c>
      <c r="F415" s="8" t="e">
        <f>VLOOKUP($D415,설문!$C$2:$G$444,3,FALSE)</f>
        <v>#N/A</v>
      </c>
      <c r="G415" s="8" t="e">
        <f>VLOOKUP($D415,설문!$C$2:$G$444,4,FALSE)</f>
        <v>#N/A</v>
      </c>
      <c r="H415" s="8" t="e">
        <f>VLOOKUP($D415,설문!$C$2:$G$444,5,FALSE)</f>
        <v>#N/A</v>
      </c>
    </row>
    <row r="416" spans="1:8">
      <c r="A416" s="6" t="s">
        <v>2771</v>
      </c>
      <c r="B416" s="7" t="s">
        <v>584</v>
      </c>
      <c r="C416" s="7" t="s">
        <v>2775</v>
      </c>
      <c r="D416" s="7" t="s">
        <v>2776</v>
      </c>
      <c r="E416" s="6" t="s">
        <v>62</v>
      </c>
      <c r="F416" s="8" t="e">
        <f>VLOOKUP($D416,설문!$C$2:$G$444,3,FALSE)</f>
        <v>#N/A</v>
      </c>
      <c r="G416" s="8" t="e">
        <f>VLOOKUP($D416,설문!$C$2:$G$444,4,FALSE)</f>
        <v>#N/A</v>
      </c>
      <c r="H416" s="8" t="e">
        <f>VLOOKUP($D416,설문!$C$2:$G$444,5,FALSE)</f>
        <v>#N/A</v>
      </c>
    </row>
    <row r="417" spans="1:8">
      <c r="A417" s="6" t="s">
        <v>2771</v>
      </c>
      <c r="B417" s="7" t="s">
        <v>2777</v>
      </c>
      <c r="C417" s="7" t="s">
        <v>2778</v>
      </c>
      <c r="D417" s="7" t="s">
        <v>2779</v>
      </c>
      <c r="E417" s="6" t="s">
        <v>2780</v>
      </c>
      <c r="F417" s="8" t="e">
        <f>VLOOKUP($D417,설문!$C$2:$G$444,3,FALSE)</f>
        <v>#N/A</v>
      </c>
      <c r="G417" s="8" t="e">
        <f>VLOOKUP($D417,설문!$C$2:$G$444,4,FALSE)</f>
        <v>#N/A</v>
      </c>
      <c r="H417" s="8" t="e">
        <f>VLOOKUP($D417,설문!$C$2:$G$444,5,FALSE)</f>
        <v>#N/A</v>
      </c>
    </row>
    <row r="418" spans="1:8">
      <c r="A418" s="6" t="s">
        <v>2771</v>
      </c>
      <c r="B418" s="7" t="s">
        <v>2722</v>
      </c>
      <c r="C418" s="7" t="s">
        <v>2722</v>
      </c>
      <c r="D418" s="7" t="s">
        <v>2781</v>
      </c>
      <c r="E418" s="6" t="s">
        <v>62</v>
      </c>
      <c r="F418" s="8" t="e">
        <f>VLOOKUP($D418,설문!$C$2:$G$444,3,FALSE)</f>
        <v>#N/A</v>
      </c>
      <c r="G418" s="8" t="e">
        <f>VLOOKUP($D418,설문!$C$2:$G$444,4,FALSE)</f>
        <v>#N/A</v>
      </c>
      <c r="H418" s="8" t="e">
        <f>VLOOKUP($D418,설문!$C$2:$G$444,5,FALSE)</f>
        <v>#N/A</v>
      </c>
    </row>
    <row r="419" spans="1:8">
      <c r="A419" s="6" t="s">
        <v>2771</v>
      </c>
      <c r="B419" s="7" t="s">
        <v>2782</v>
      </c>
      <c r="C419" s="7" t="s">
        <v>2783</v>
      </c>
      <c r="D419" s="7" t="s">
        <v>2784</v>
      </c>
      <c r="E419" s="6" t="s">
        <v>2785</v>
      </c>
      <c r="F419" s="8" t="e">
        <f>VLOOKUP($D419,설문!$C$2:$G$444,3,FALSE)</f>
        <v>#N/A</v>
      </c>
      <c r="G419" s="8" t="e">
        <f>VLOOKUP($D419,설문!$C$2:$G$444,4,FALSE)</f>
        <v>#N/A</v>
      </c>
      <c r="H419" s="8" t="e">
        <f>VLOOKUP($D419,설문!$C$2:$G$444,5,FALSE)</f>
        <v>#N/A</v>
      </c>
    </row>
    <row r="420" spans="1:8">
      <c r="A420" s="6" t="s">
        <v>2771</v>
      </c>
      <c r="B420" s="7" t="s">
        <v>2782</v>
      </c>
      <c r="C420" s="7" t="s">
        <v>2786</v>
      </c>
      <c r="D420" s="7" t="s">
        <v>2787</v>
      </c>
      <c r="E420" s="6" t="s">
        <v>2788</v>
      </c>
      <c r="F420" s="8" t="e">
        <f>VLOOKUP($D420,설문!$C$2:$G$444,3,FALSE)</f>
        <v>#N/A</v>
      </c>
      <c r="G420" s="8" t="e">
        <f>VLOOKUP($D420,설문!$C$2:$G$444,4,FALSE)</f>
        <v>#N/A</v>
      </c>
      <c r="H420" s="8" t="e">
        <f>VLOOKUP($D420,설문!$C$2:$G$444,5,FALSE)</f>
        <v>#N/A</v>
      </c>
    </row>
    <row r="421" spans="1:8">
      <c r="A421" s="6" t="s">
        <v>2771</v>
      </c>
      <c r="B421" s="7" t="s">
        <v>2789</v>
      </c>
      <c r="C421" s="7" t="s">
        <v>2790</v>
      </c>
      <c r="D421" s="7" t="s">
        <v>2791</v>
      </c>
      <c r="E421" s="6" t="s">
        <v>2792</v>
      </c>
      <c r="F421" s="8" t="e">
        <f>VLOOKUP($D421,설문!$C$2:$G$444,3,FALSE)</f>
        <v>#N/A</v>
      </c>
      <c r="G421" s="8" t="e">
        <f>VLOOKUP($D421,설문!$C$2:$G$444,4,FALSE)</f>
        <v>#N/A</v>
      </c>
      <c r="H421" s="8" t="e">
        <f>VLOOKUP($D421,설문!$C$2:$G$444,5,FALSE)</f>
        <v>#N/A</v>
      </c>
    </row>
    <row r="422" spans="1:8">
      <c r="A422" s="6" t="s">
        <v>2771</v>
      </c>
      <c r="B422" s="7" t="s">
        <v>2793</v>
      </c>
      <c r="C422" s="7" t="s">
        <v>2794</v>
      </c>
      <c r="D422" s="7" t="s">
        <v>2795</v>
      </c>
      <c r="E422" s="6" t="s">
        <v>2796</v>
      </c>
      <c r="F422" s="8" t="e">
        <f>VLOOKUP($D422,설문!$C$2:$G$444,3,FALSE)</f>
        <v>#N/A</v>
      </c>
      <c r="G422" s="8" t="e">
        <f>VLOOKUP($D422,설문!$C$2:$G$444,4,FALSE)</f>
        <v>#N/A</v>
      </c>
      <c r="H422" s="8" t="e">
        <f>VLOOKUP($D422,설문!$C$2:$G$444,5,FALSE)</f>
        <v>#N/A</v>
      </c>
    </row>
    <row r="423" spans="1:8">
      <c r="A423" s="6" t="s">
        <v>2771</v>
      </c>
      <c r="B423" s="7" t="s">
        <v>2797</v>
      </c>
      <c r="C423" s="7" t="s">
        <v>2798</v>
      </c>
      <c r="D423" s="7" t="s">
        <v>2799</v>
      </c>
      <c r="E423" s="6" t="s">
        <v>2800</v>
      </c>
      <c r="F423" s="8" t="e">
        <f>VLOOKUP($D423,설문!$C$2:$G$444,3,FALSE)</f>
        <v>#N/A</v>
      </c>
      <c r="G423" s="8" t="e">
        <f>VLOOKUP($D423,설문!$C$2:$G$444,4,FALSE)</f>
        <v>#N/A</v>
      </c>
      <c r="H423" s="8" t="e">
        <f>VLOOKUP($D423,설문!$C$2:$G$444,5,FALSE)</f>
        <v>#N/A</v>
      </c>
    </row>
    <row r="424" spans="1:8">
      <c r="A424" s="6" t="s">
        <v>2771</v>
      </c>
      <c r="B424" s="7" t="s">
        <v>2797</v>
      </c>
      <c r="C424" s="7" t="s">
        <v>2798</v>
      </c>
      <c r="D424" s="7" t="s">
        <v>2801</v>
      </c>
      <c r="E424" s="6" t="s">
        <v>2802</v>
      </c>
      <c r="F424" s="8" t="e">
        <f>VLOOKUP($D424,설문!$C$2:$G$444,3,FALSE)</f>
        <v>#N/A</v>
      </c>
      <c r="G424" s="8" t="e">
        <f>VLOOKUP($D424,설문!$C$2:$G$444,4,FALSE)</f>
        <v>#N/A</v>
      </c>
      <c r="H424" s="8" t="e">
        <f>VLOOKUP($D424,설문!$C$2:$G$444,5,FALSE)</f>
        <v>#N/A</v>
      </c>
    </row>
    <row r="425" spans="1:8">
      <c r="A425" s="6" t="s">
        <v>2771</v>
      </c>
      <c r="B425" s="7" t="s">
        <v>2803</v>
      </c>
      <c r="C425" s="7" t="s">
        <v>2804</v>
      </c>
      <c r="D425" s="7" t="s">
        <v>2805</v>
      </c>
      <c r="E425" s="6" t="s">
        <v>916</v>
      </c>
      <c r="F425" s="8" t="e">
        <f>VLOOKUP($D425,설문!$C$2:$G$444,3,FALSE)</f>
        <v>#N/A</v>
      </c>
      <c r="G425" s="8" t="e">
        <f>VLOOKUP($D425,설문!$C$2:$G$444,4,FALSE)</f>
        <v>#N/A</v>
      </c>
      <c r="H425" s="8" t="e">
        <f>VLOOKUP($D425,설문!$C$2:$G$444,5,FALSE)</f>
        <v>#N/A</v>
      </c>
    </row>
    <row r="426" spans="1:8">
      <c r="A426" s="6" t="s">
        <v>2771</v>
      </c>
      <c r="B426" s="7" t="s">
        <v>2797</v>
      </c>
      <c r="C426" s="7" t="s">
        <v>2806</v>
      </c>
      <c r="D426" s="7" t="s">
        <v>2807</v>
      </c>
      <c r="E426" s="6" t="s">
        <v>2808</v>
      </c>
      <c r="F426" s="8" t="e">
        <f>VLOOKUP($D426,설문!$C$2:$G$444,3,FALSE)</f>
        <v>#N/A</v>
      </c>
      <c r="G426" s="8" t="e">
        <f>VLOOKUP($D426,설문!$C$2:$G$444,4,FALSE)</f>
        <v>#N/A</v>
      </c>
      <c r="H426" s="8" t="e">
        <f>VLOOKUP($D426,설문!$C$2:$G$444,5,FALSE)</f>
        <v>#N/A</v>
      </c>
    </row>
    <row r="427" spans="1:8">
      <c r="A427" s="6" t="s">
        <v>2771</v>
      </c>
      <c r="B427" s="7" t="s">
        <v>2782</v>
      </c>
      <c r="C427" s="7" t="s">
        <v>2786</v>
      </c>
      <c r="D427" s="7" t="s">
        <v>2809</v>
      </c>
      <c r="E427" s="6" t="s">
        <v>2810</v>
      </c>
      <c r="F427" s="8" t="e">
        <f>VLOOKUP($D427,설문!$C$2:$G$444,3,FALSE)</f>
        <v>#N/A</v>
      </c>
      <c r="G427" s="8" t="e">
        <f>VLOOKUP($D427,설문!$C$2:$G$444,4,FALSE)</f>
        <v>#N/A</v>
      </c>
      <c r="H427" s="8" t="e">
        <f>VLOOKUP($D427,설문!$C$2:$G$444,5,FALSE)</f>
        <v>#N/A</v>
      </c>
    </row>
    <row r="428" spans="1:8">
      <c r="A428" s="6" t="s">
        <v>2771</v>
      </c>
      <c r="B428" s="7" t="s">
        <v>2782</v>
      </c>
      <c r="C428" s="7" t="s">
        <v>2783</v>
      </c>
      <c r="D428" s="7" t="s">
        <v>2811</v>
      </c>
      <c r="E428" s="6" t="s">
        <v>2812</v>
      </c>
      <c r="F428" s="8" t="e">
        <f>VLOOKUP($D428,설문!$C$2:$G$444,3,FALSE)</f>
        <v>#N/A</v>
      </c>
      <c r="G428" s="8" t="e">
        <f>VLOOKUP($D428,설문!$C$2:$G$444,4,FALSE)</f>
        <v>#N/A</v>
      </c>
      <c r="H428" s="8" t="e">
        <f>VLOOKUP($D428,설문!$C$2:$G$444,5,FALSE)</f>
        <v>#N/A</v>
      </c>
    </row>
    <row r="429" spans="1:8">
      <c r="A429" s="6" t="s">
        <v>2771</v>
      </c>
      <c r="B429" s="7" t="s">
        <v>2782</v>
      </c>
      <c r="C429" s="7" t="s">
        <v>2783</v>
      </c>
      <c r="D429" s="7" t="s">
        <v>2813</v>
      </c>
      <c r="E429" s="6" t="s">
        <v>2814</v>
      </c>
      <c r="F429" s="8" t="e">
        <f>VLOOKUP($D429,설문!$C$2:$G$444,3,FALSE)</f>
        <v>#N/A</v>
      </c>
      <c r="G429" s="8" t="e">
        <f>VLOOKUP($D429,설문!$C$2:$G$444,4,FALSE)</f>
        <v>#N/A</v>
      </c>
      <c r="H429" s="8" t="e">
        <f>VLOOKUP($D429,설문!$C$2:$G$444,5,FALSE)</f>
        <v>#N/A</v>
      </c>
    </row>
    <row r="430" spans="1:8">
      <c r="A430" s="6" t="s">
        <v>2771</v>
      </c>
      <c r="B430" s="7" t="s">
        <v>2782</v>
      </c>
      <c r="C430" s="7" t="s">
        <v>2783</v>
      </c>
      <c r="D430" s="7" t="s">
        <v>2815</v>
      </c>
      <c r="E430" s="6" t="s">
        <v>2816</v>
      </c>
      <c r="F430" s="8" t="e">
        <f>VLOOKUP($D430,설문!$C$2:$G$444,3,FALSE)</f>
        <v>#N/A</v>
      </c>
      <c r="G430" s="8" t="e">
        <f>VLOOKUP($D430,설문!$C$2:$G$444,4,FALSE)</f>
        <v>#N/A</v>
      </c>
      <c r="H430" s="8" t="e">
        <f>VLOOKUP($D430,설문!$C$2:$G$444,5,FALSE)</f>
        <v>#N/A</v>
      </c>
    </row>
    <row r="431" spans="1:8">
      <c r="A431" s="6" t="s">
        <v>2771</v>
      </c>
      <c r="B431" s="7" t="s">
        <v>2782</v>
      </c>
      <c r="C431" s="7" t="s">
        <v>2783</v>
      </c>
      <c r="D431" s="7" t="s">
        <v>2817</v>
      </c>
      <c r="E431" s="6" t="s">
        <v>2818</v>
      </c>
      <c r="F431" s="8" t="e">
        <f>VLOOKUP($D431,설문!$C$2:$G$444,3,FALSE)</f>
        <v>#N/A</v>
      </c>
      <c r="G431" s="8" t="e">
        <f>VLOOKUP($D431,설문!$C$2:$G$444,4,FALSE)</f>
        <v>#N/A</v>
      </c>
      <c r="H431" s="8" t="e">
        <f>VLOOKUP($D431,설문!$C$2:$G$444,5,FALSE)</f>
        <v>#N/A</v>
      </c>
    </row>
    <row r="432" spans="1:8">
      <c r="A432" s="6" t="s">
        <v>2771</v>
      </c>
      <c r="B432" s="7" t="s">
        <v>2793</v>
      </c>
      <c r="C432" s="7" t="s">
        <v>2793</v>
      </c>
      <c r="D432" s="7" t="s">
        <v>2819</v>
      </c>
      <c r="E432" s="6" t="s">
        <v>2820</v>
      </c>
      <c r="F432" s="8" t="e">
        <f>VLOOKUP($D432,설문!$C$2:$G$444,3,FALSE)</f>
        <v>#N/A</v>
      </c>
      <c r="G432" s="8" t="e">
        <f>VLOOKUP($D432,설문!$C$2:$G$444,4,FALSE)</f>
        <v>#N/A</v>
      </c>
      <c r="H432" s="8" t="e">
        <f>VLOOKUP($D432,설문!$C$2:$G$444,5,FALSE)</f>
        <v>#N/A</v>
      </c>
    </row>
    <row r="433" spans="1:8">
      <c r="A433" s="6" t="s">
        <v>2771</v>
      </c>
      <c r="B433" s="7" t="s">
        <v>2782</v>
      </c>
      <c r="C433" s="7" t="s">
        <v>2821</v>
      </c>
      <c r="D433" s="7" t="s">
        <v>2822</v>
      </c>
      <c r="E433" s="6" t="s">
        <v>2823</v>
      </c>
      <c r="F433" s="8" t="e">
        <f>VLOOKUP($D433,설문!$C$2:$G$444,3,FALSE)</f>
        <v>#N/A</v>
      </c>
      <c r="G433" s="8" t="e">
        <f>VLOOKUP($D433,설문!$C$2:$G$444,4,FALSE)</f>
        <v>#N/A</v>
      </c>
      <c r="H433" s="8" t="e">
        <f>VLOOKUP($D433,설문!$C$2:$G$444,5,FALSE)</f>
        <v>#N/A</v>
      </c>
    </row>
    <row r="434" spans="1:8">
      <c r="A434" s="6" t="s">
        <v>2771</v>
      </c>
      <c r="B434" s="7" t="s">
        <v>2782</v>
      </c>
      <c r="C434" s="7" t="s">
        <v>2783</v>
      </c>
      <c r="D434" s="7" t="s">
        <v>2824</v>
      </c>
      <c r="E434" s="6" t="s">
        <v>2825</v>
      </c>
      <c r="F434" s="8" t="e">
        <f>VLOOKUP($D434,설문!$C$2:$G$444,3,FALSE)</f>
        <v>#N/A</v>
      </c>
      <c r="G434" s="8" t="e">
        <f>VLOOKUP($D434,설문!$C$2:$G$444,4,FALSE)</f>
        <v>#N/A</v>
      </c>
      <c r="H434" s="8" t="e">
        <f>VLOOKUP($D434,설문!$C$2:$G$444,5,FALSE)</f>
        <v>#N/A</v>
      </c>
    </row>
    <row r="435" spans="1:8">
      <c r="A435" s="6" t="s">
        <v>2771</v>
      </c>
      <c r="B435" s="7" t="s">
        <v>2782</v>
      </c>
      <c r="C435" s="7" t="s">
        <v>2821</v>
      </c>
      <c r="D435" s="7" t="s">
        <v>2826</v>
      </c>
      <c r="E435" s="6" t="s">
        <v>2827</v>
      </c>
      <c r="F435" s="8" t="e">
        <f>VLOOKUP($D435,설문!$C$2:$G$444,3,FALSE)</f>
        <v>#N/A</v>
      </c>
      <c r="G435" s="8" t="e">
        <f>VLOOKUP($D435,설문!$C$2:$G$444,4,FALSE)</f>
        <v>#N/A</v>
      </c>
      <c r="H435" s="8" t="e">
        <f>VLOOKUP($D435,설문!$C$2:$G$444,5,FALSE)</f>
        <v>#N/A</v>
      </c>
    </row>
    <row r="436" spans="1:8">
      <c r="A436" s="6" t="s">
        <v>2771</v>
      </c>
      <c r="B436" s="7" t="s">
        <v>2828</v>
      </c>
      <c r="C436" s="7" t="s">
        <v>2829</v>
      </c>
      <c r="D436" s="7" t="s">
        <v>2830</v>
      </c>
      <c r="E436" s="6" t="s">
        <v>2831</v>
      </c>
      <c r="F436" s="8" t="str">
        <f>VLOOKUP($D436,설문!$C$2:$G$444,3,FALSE)</f>
        <v>리스크관리(미들)</v>
      </c>
      <c r="G436" s="8" t="str">
        <f>VLOOKUP($D436,설문!$C$2:$G$444,4,FALSE)</f>
        <v>기타</v>
      </c>
      <c r="H436" s="8" t="str">
        <f>VLOOKUP($D436,설문!$C$2:$G$444,5,FALSE)</f>
        <v>국내주식/지수,국고채/통안채,회사채,해외주식/지수</v>
      </c>
    </row>
    <row r="437" spans="1:8">
      <c r="A437" s="6" t="s">
        <v>2771</v>
      </c>
      <c r="B437" s="7" t="s">
        <v>2782</v>
      </c>
      <c r="C437" s="7" t="s">
        <v>2783</v>
      </c>
      <c r="D437" s="7" t="s">
        <v>2832</v>
      </c>
      <c r="E437" s="6" t="s">
        <v>2833</v>
      </c>
      <c r="F437" s="8" t="e">
        <f>VLOOKUP($D437,설문!$C$2:$G$444,3,FALSE)</f>
        <v>#N/A</v>
      </c>
      <c r="G437" s="8" t="e">
        <f>VLOOKUP($D437,설문!$C$2:$G$444,4,FALSE)</f>
        <v>#N/A</v>
      </c>
      <c r="H437" s="8" t="e">
        <f>VLOOKUP($D437,설문!$C$2:$G$444,5,FALSE)</f>
        <v>#N/A</v>
      </c>
    </row>
    <row r="438" spans="1:8">
      <c r="A438" s="6" t="s">
        <v>2771</v>
      </c>
      <c r="B438" s="7" t="s">
        <v>2782</v>
      </c>
      <c r="C438" s="7" t="s">
        <v>2821</v>
      </c>
      <c r="D438" s="7" t="s">
        <v>2834</v>
      </c>
      <c r="E438" s="6" t="s">
        <v>2835</v>
      </c>
      <c r="F438" s="8" t="e">
        <f>VLOOKUP($D438,설문!$C$2:$G$444,3,FALSE)</f>
        <v>#N/A</v>
      </c>
      <c r="G438" s="8" t="e">
        <f>VLOOKUP($D438,설문!$C$2:$G$444,4,FALSE)</f>
        <v>#N/A</v>
      </c>
      <c r="H438" s="8" t="e">
        <f>VLOOKUP($D438,설문!$C$2:$G$444,5,FALSE)</f>
        <v>#N/A</v>
      </c>
    </row>
    <row r="439" spans="1:8">
      <c r="A439" s="6" t="s">
        <v>2771</v>
      </c>
      <c r="B439" s="7" t="s">
        <v>2782</v>
      </c>
      <c r="C439" s="7" t="s">
        <v>2821</v>
      </c>
      <c r="D439" s="7" t="s">
        <v>2836</v>
      </c>
      <c r="E439" s="6" t="s">
        <v>2837</v>
      </c>
      <c r="F439" s="8" t="e">
        <f>VLOOKUP($D439,설문!$C$2:$G$444,3,FALSE)</f>
        <v>#N/A</v>
      </c>
      <c r="G439" s="8" t="e">
        <f>VLOOKUP($D439,설문!$C$2:$G$444,4,FALSE)</f>
        <v>#N/A</v>
      </c>
      <c r="H439" s="8" t="e">
        <f>VLOOKUP($D439,설문!$C$2:$G$444,5,FALSE)</f>
        <v>#N/A</v>
      </c>
    </row>
    <row r="440" spans="1:8">
      <c r="A440" s="6" t="s">
        <v>2771</v>
      </c>
      <c r="B440" s="7" t="s">
        <v>2828</v>
      </c>
      <c r="C440" s="7" t="s">
        <v>2829</v>
      </c>
      <c r="D440" s="7" t="s">
        <v>2838</v>
      </c>
      <c r="E440" s="6" t="s">
        <v>2839</v>
      </c>
      <c r="F440" s="8" t="e">
        <f>VLOOKUP($D440,설문!$C$2:$G$444,3,FALSE)</f>
        <v>#N/A</v>
      </c>
      <c r="G440" s="8" t="e">
        <f>VLOOKUP($D440,설문!$C$2:$G$444,4,FALSE)</f>
        <v>#N/A</v>
      </c>
      <c r="H440" s="8" t="e">
        <f>VLOOKUP($D440,설문!$C$2:$G$444,5,FALSE)</f>
        <v>#N/A</v>
      </c>
    </row>
    <row r="441" spans="1:8">
      <c r="A441" s="6" t="s">
        <v>2771</v>
      </c>
      <c r="B441" s="7" t="s">
        <v>2782</v>
      </c>
      <c r="C441" s="7" t="s">
        <v>2786</v>
      </c>
      <c r="D441" s="7" t="s">
        <v>2840</v>
      </c>
      <c r="E441" s="6" t="s">
        <v>2841</v>
      </c>
      <c r="F441" s="8" t="e">
        <f>VLOOKUP($D441,설문!$C$2:$G$444,3,FALSE)</f>
        <v>#N/A</v>
      </c>
      <c r="G441" s="8" t="e">
        <f>VLOOKUP($D441,설문!$C$2:$G$444,4,FALSE)</f>
        <v>#N/A</v>
      </c>
      <c r="H441" s="8" t="e">
        <f>VLOOKUP($D441,설문!$C$2:$G$444,5,FALSE)</f>
        <v>#N/A</v>
      </c>
    </row>
    <row r="442" spans="1:8">
      <c r="A442" s="6" t="s">
        <v>2771</v>
      </c>
      <c r="B442" s="7" t="s">
        <v>2782</v>
      </c>
      <c r="C442" s="7" t="s">
        <v>2783</v>
      </c>
      <c r="D442" s="7" t="s">
        <v>2842</v>
      </c>
      <c r="E442" s="6" t="s">
        <v>2071</v>
      </c>
      <c r="F442" s="8" t="e">
        <f>VLOOKUP($D442,설문!$C$2:$G$444,3,FALSE)</f>
        <v>#N/A</v>
      </c>
      <c r="G442" s="8" t="e">
        <f>VLOOKUP($D442,설문!$C$2:$G$444,4,FALSE)</f>
        <v>#N/A</v>
      </c>
      <c r="H442" s="8" t="e">
        <f>VLOOKUP($D442,설문!$C$2:$G$444,5,FALSE)</f>
        <v>#N/A</v>
      </c>
    </row>
    <row r="443" spans="1:8">
      <c r="A443" s="6" t="s">
        <v>2771</v>
      </c>
      <c r="B443" s="7" t="s">
        <v>2782</v>
      </c>
      <c r="C443" s="7" t="s">
        <v>2786</v>
      </c>
      <c r="D443" s="7" t="s">
        <v>2843</v>
      </c>
      <c r="E443" s="6" t="s">
        <v>2844</v>
      </c>
      <c r="F443" s="8" t="e">
        <f>VLOOKUP($D443,설문!$C$2:$G$444,3,FALSE)</f>
        <v>#N/A</v>
      </c>
      <c r="G443" s="8" t="e">
        <f>VLOOKUP($D443,설문!$C$2:$G$444,4,FALSE)</f>
        <v>#N/A</v>
      </c>
      <c r="H443" s="8" t="e">
        <f>VLOOKUP($D443,설문!$C$2:$G$444,5,FALSE)</f>
        <v>#N/A</v>
      </c>
    </row>
    <row r="444" spans="1:8">
      <c r="A444" s="6" t="s">
        <v>2771</v>
      </c>
      <c r="B444" s="7" t="s">
        <v>2782</v>
      </c>
      <c r="C444" s="7" t="s">
        <v>2783</v>
      </c>
      <c r="D444" s="7" t="s">
        <v>2845</v>
      </c>
      <c r="E444" s="6" t="s">
        <v>2846</v>
      </c>
      <c r="F444" s="8" t="e">
        <f>VLOOKUP($D444,설문!$C$2:$G$444,3,FALSE)</f>
        <v>#N/A</v>
      </c>
      <c r="G444" s="8" t="e">
        <f>VLOOKUP($D444,설문!$C$2:$G$444,4,FALSE)</f>
        <v>#N/A</v>
      </c>
      <c r="H444" s="8" t="e">
        <f>VLOOKUP($D444,설문!$C$2:$G$444,5,FALSE)</f>
        <v>#N/A</v>
      </c>
    </row>
    <row r="445" spans="1:8">
      <c r="A445" s="6" t="s">
        <v>2771</v>
      </c>
      <c r="B445" s="7" t="s">
        <v>2782</v>
      </c>
      <c r="C445" s="7" t="s">
        <v>2821</v>
      </c>
      <c r="D445" s="7" t="s">
        <v>2847</v>
      </c>
      <c r="E445" s="6" t="s">
        <v>2848</v>
      </c>
      <c r="F445" s="8" t="e">
        <f>VLOOKUP($D445,설문!$C$2:$G$444,3,FALSE)</f>
        <v>#N/A</v>
      </c>
      <c r="G445" s="8" t="e">
        <f>VLOOKUP($D445,설문!$C$2:$G$444,4,FALSE)</f>
        <v>#N/A</v>
      </c>
      <c r="H445" s="8" t="e">
        <f>VLOOKUP($D445,설문!$C$2:$G$444,5,FALSE)</f>
        <v>#N/A</v>
      </c>
    </row>
    <row r="446" spans="1:8">
      <c r="A446" s="6" t="s">
        <v>2771</v>
      </c>
      <c r="B446" s="7" t="s">
        <v>2782</v>
      </c>
      <c r="C446" s="7" t="s">
        <v>2821</v>
      </c>
      <c r="D446" s="7" t="s">
        <v>2849</v>
      </c>
      <c r="E446" s="6" t="s">
        <v>1498</v>
      </c>
      <c r="F446" s="8" t="e">
        <f>VLOOKUP($D446,설문!$C$2:$G$444,3,FALSE)</f>
        <v>#N/A</v>
      </c>
      <c r="G446" s="8" t="e">
        <f>VLOOKUP($D446,설문!$C$2:$G$444,4,FALSE)</f>
        <v>#N/A</v>
      </c>
      <c r="H446" s="8" t="e">
        <f>VLOOKUP($D446,설문!$C$2:$G$444,5,FALSE)</f>
        <v>#N/A</v>
      </c>
    </row>
    <row r="447" spans="1:8">
      <c r="A447" s="6" t="s">
        <v>2771</v>
      </c>
      <c r="B447" s="7" t="s">
        <v>2782</v>
      </c>
      <c r="C447" s="7" t="s">
        <v>2783</v>
      </c>
      <c r="D447" s="7" t="s">
        <v>2850</v>
      </c>
      <c r="E447" s="6" t="s">
        <v>2851</v>
      </c>
      <c r="F447" s="8" t="e">
        <f>VLOOKUP($D447,설문!$C$2:$G$444,3,FALSE)</f>
        <v>#N/A</v>
      </c>
      <c r="G447" s="8" t="e">
        <f>VLOOKUP($D447,설문!$C$2:$G$444,4,FALSE)</f>
        <v>#N/A</v>
      </c>
      <c r="H447" s="8" t="e">
        <f>VLOOKUP($D447,설문!$C$2:$G$444,5,FALSE)</f>
        <v>#N/A</v>
      </c>
    </row>
    <row r="448" spans="1:8">
      <c r="A448" s="6" t="s">
        <v>2771</v>
      </c>
      <c r="B448" s="7" t="s">
        <v>2852</v>
      </c>
      <c r="C448" s="7" t="s">
        <v>2853</v>
      </c>
      <c r="D448" s="7" t="s">
        <v>2854</v>
      </c>
      <c r="E448" s="6" t="s">
        <v>2855</v>
      </c>
      <c r="F448" s="8" t="e">
        <f>VLOOKUP($D448,설문!$C$2:$G$444,3,FALSE)</f>
        <v>#N/A</v>
      </c>
      <c r="G448" s="8" t="e">
        <f>VLOOKUP($D448,설문!$C$2:$G$444,4,FALSE)</f>
        <v>#N/A</v>
      </c>
      <c r="H448" s="8" t="e">
        <f>VLOOKUP($D448,설문!$C$2:$G$444,5,FALSE)</f>
        <v>#N/A</v>
      </c>
    </row>
    <row r="449" spans="1:8">
      <c r="A449" s="6" t="s">
        <v>2771</v>
      </c>
      <c r="B449" s="7" t="s">
        <v>2852</v>
      </c>
      <c r="C449" s="7" t="s">
        <v>2856</v>
      </c>
      <c r="D449" s="7" t="s">
        <v>2857</v>
      </c>
      <c r="E449" s="6" t="s">
        <v>2858</v>
      </c>
      <c r="F449" s="8" t="str">
        <f>VLOOKUP($D449,설문!$C$2:$G$444,3,FALSE)</f>
        <v>퀀트,리스크관리(미들),분석 및 전략</v>
      </c>
      <c r="G449" s="8" t="str">
        <f>VLOOKUP($D449,설문!$C$2:$G$444,4,FALSE)</f>
        <v>금융회사</v>
      </c>
      <c r="H449" s="8" t="str">
        <f>VLOOKUP($D449,설문!$C$2:$G$444,5,FALSE)</f>
        <v>국내주식/지수,해외주식/지수</v>
      </c>
    </row>
    <row r="450" spans="1:8">
      <c r="A450" s="6" t="s">
        <v>2771</v>
      </c>
      <c r="B450" s="7" t="s">
        <v>2852</v>
      </c>
      <c r="C450" s="7" t="s">
        <v>2859</v>
      </c>
      <c r="D450" s="7" t="s">
        <v>2860</v>
      </c>
      <c r="E450" s="6" t="s">
        <v>2861</v>
      </c>
      <c r="F450" s="8" t="e">
        <f>VLOOKUP($D450,설문!$C$2:$G$444,3,FALSE)</f>
        <v>#N/A</v>
      </c>
      <c r="G450" s="8" t="e">
        <f>VLOOKUP($D450,설문!$C$2:$G$444,4,FALSE)</f>
        <v>#N/A</v>
      </c>
      <c r="H450" s="8" t="e">
        <f>VLOOKUP($D450,설문!$C$2:$G$444,5,FALSE)</f>
        <v>#N/A</v>
      </c>
    </row>
    <row r="451" spans="1:8">
      <c r="A451" s="6" t="s">
        <v>2771</v>
      </c>
      <c r="B451" s="7" t="s">
        <v>2852</v>
      </c>
      <c r="C451" s="7" t="s">
        <v>2859</v>
      </c>
      <c r="D451" s="7" t="s">
        <v>2862</v>
      </c>
      <c r="E451" s="6" t="s">
        <v>2863</v>
      </c>
      <c r="F451" s="8" t="e">
        <f>VLOOKUP($D451,설문!$C$2:$G$444,3,FALSE)</f>
        <v>#N/A</v>
      </c>
      <c r="G451" s="8" t="e">
        <f>VLOOKUP($D451,설문!$C$2:$G$444,4,FALSE)</f>
        <v>#N/A</v>
      </c>
      <c r="H451" s="8" t="e">
        <f>VLOOKUP($D451,설문!$C$2:$G$444,5,FALSE)</f>
        <v>#N/A</v>
      </c>
    </row>
    <row r="452" spans="1:8">
      <c r="A452" s="6" t="s">
        <v>2771</v>
      </c>
      <c r="B452" s="7" t="s">
        <v>2852</v>
      </c>
      <c r="C452" s="7" t="s">
        <v>2859</v>
      </c>
      <c r="D452" s="7" t="s">
        <v>2864</v>
      </c>
      <c r="E452" s="6" t="s">
        <v>2865</v>
      </c>
      <c r="F452" s="8" t="e">
        <f>VLOOKUP($D452,설문!$C$2:$G$444,3,FALSE)</f>
        <v>#N/A</v>
      </c>
      <c r="G452" s="8" t="e">
        <f>VLOOKUP($D452,설문!$C$2:$G$444,4,FALSE)</f>
        <v>#N/A</v>
      </c>
      <c r="H452" s="8" t="e">
        <f>VLOOKUP($D452,설문!$C$2:$G$444,5,FALSE)</f>
        <v>#N/A</v>
      </c>
    </row>
    <row r="453" spans="1:8">
      <c r="A453" s="6" t="s">
        <v>2771</v>
      </c>
      <c r="B453" s="7" t="s">
        <v>2793</v>
      </c>
      <c r="C453" s="7" t="s">
        <v>2794</v>
      </c>
      <c r="D453" s="7" t="s">
        <v>2866</v>
      </c>
      <c r="E453" s="6" t="s">
        <v>2867</v>
      </c>
      <c r="F453" s="8" t="e">
        <f>VLOOKUP($D453,설문!$C$2:$G$444,3,FALSE)</f>
        <v>#N/A</v>
      </c>
      <c r="G453" s="8" t="e">
        <f>VLOOKUP($D453,설문!$C$2:$G$444,4,FALSE)</f>
        <v>#N/A</v>
      </c>
      <c r="H453" s="8" t="e">
        <f>VLOOKUP($D453,설문!$C$2:$G$444,5,FALSE)</f>
        <v>#N/A</v>
      </c>
    </row>
    <row r="454" spans="1:8">
      <c r="A454" s="6" t="s">
        <v>2771</v>
      </c>
      <c r="B454" s="7" t="s">
        <v>2868</v>
      </c>
      <c r="C454" s="7" t="s">
        <v>2868</v>
      </c>
      <c r="D454" s="7" t="s">
        <v>2869</v>
      </c>
      <c r="E454" s="6" t="s">
        <v>2213</v>
      </c>
      <c r="F454" s="8" t="str">
        <f>VLOOKUP($D454,설문!$C$2:$G$444,3,FALSE)</f>
        <v>펀드매니저</v>
      </c>
      <c r="G454" s="8" t="str">
        <f>VLOOKUP($D454,설문!$C$2:$G$444,4,FALSE)</f>
        <v>금융회사</v>
      </c>
      <c r="H454" s="8" t="str">
        <f>VLOOKUP($D454,설문!$C$2:$G$444,5,FALSE)</f>
        <v>국내주식/지수</v>
      </c>
    </row>
    <row r="455" spans="1:8">
      <c r="A455" s="6" t="s">
        <v>2771</v>
      </c>
      <c r="B455" s="7" t="s">
        <v>2793</v>
      </c>
      <c r="C455" s="7" t="s">
        <v>2794</v>
      </c>
      <c r="D455" s="7" t="s">
        <v>2870</v>
      </c>
      <c r="E455" s="6" t="s">
        <v>2871</v>
      </c>
      <c r="F455" s="8" t="e">
        <f>VLOOKUP($D455,설문!$C$2:$G$444,3,FALSE)</f>
        <v>#N/A</v>
      </c>
      <c r="G455" s="8" t="e">
        <f>VLOOKUP($D455,설문!$C$2:$G$444,4,FALSE)</f>
        <v>#N/A</v>
      </c>
      <c r="H455" s="8" t="e">
        <f>VLOOKUP($D455,설문!$C$2:$G$444,5,FALSE)</f>
        <v>#N/A</v>
      </c>
    </row>
    <row r="456" spans="1:8">
      <c r="A456" s="6" t="s">
        <v>2771</v>
      </c>
      <c r="B456" s="7" t="s">
        <v>2793</v>
      </c>
      <c r="C456" s="7" t="s">
        <v>2794</v>
      </c>
      <c r="D456" s="7" t="s">
        <v>2872</v>
      </c>
      <c r="E456" s="6" t="s">
        <v>2873</v>
      </c>
      <c r="F456" s="8" t="e">
        <f>VLOOKUP($D456,설문!$C$2:$G$444,3,FALSE)</f>
        <v>#N/A</v>
      </c>
      <c r="G456" s="8" t="e">
        <f>VLOOKUP($D456,설문!$C$2:$G$444,4,FALSE)</f>
        <v>#N/A</v>
      </c>
      <c r="H456" s="8" t="e">
        <f>VLOOKUP($D456,설문!$C$2:$G$444,5,FALSE)</f>
        <v>#N/A</v>
      </c>
    </row>
    <row r="457" spans="1:8">
      <c r="A457" s="6" t="s">
        <v>2771</v>
      </c>
      <c r="B457" s="7" t="s">
        <v>2793</v>
      </c>
      <c r="C457" s="7" t="s">
        <v>2794</v>
      </c>
      <c r="D457" s="7" t="s">
        <v>2874</v>
      </c>
      <c r="E457" s="6" t="s">
        <v>2875</v>
      </c>
      <c r="F457" s="8" t="e">
        <f>VLOOKUP($D457,설문!$C$2:$G$444,3,FALSE)</f>
        <v>#N/A</v>
      </c>
      <c r="G457" s="8" t="e">
        <f>VLOOKUP($D457,설문!$C$2:$G$444,4,FALSE)</f>
        <v>#N/A</v>
      </c>
      <c r="H457" s="8" t="e">
        <f>VLOOKUP($D457,설문!$C$2:$G$444,5,FALSE)</f>
        <v>#N/A</v>
      </c>
    </row>
    <row r="458" spans="1:8">
      <c r="A458" s="6" t="s">
        <v>2771</v>
      </c>
      <c r="B458" s="7" t="s">
        <v>2793</v>
      </c>
      <c r="C458" s="7" t="s">
        <v>2876</v>
      </c>
      <c r="D458" s="7" t="s">
        <v>2877</v>
      </c>
      <c r="E458" s="6" t="s">
        <v>2878</v>
      </c>
      <c r="F458" s="8" t="e">
        <f>VLOOKUP($D458,설문!$C$2:$G$444,3,FALSE)</f>
        <v>#N/A</v>
      </c>
      <c r="G458" s="8" t="e">
        <f>VLOOKUP($D458,설문!$C$2:$G$444,4,FALSE)</f>
        <v>#N/A</v>
      </c>
      <c r="H458" s="8" t="e">
        <f>VLOOKUP($D458,설문!$C$2:$G$444,5,FALSE)</f>
        <v>#N/A</v>
      </c>
    </row>
    <row r="459" spans="1:8">
      <c r="A459" s="6" t="s">
        <v>2771</v>
      </c>
      <c r="B459" s="7" t="s">
        <v>2793</v>
      </c>
      <c r="C459" s="7" t="s">
        <v>116</v>
      </c>
      <c r="D459" s="7" t="s">
        <v>2879</v>
      </c>
      <c r="E459" s="6" t="s">
        <v>2880</v>
      </c>
      <c r="F459" s="8" t="e">
        <f>VLOOKUP($D459,설문!$C$2:$G$444,3,FALSE)</f>
        <v>#N/A</v>
      </c>
      <c r="G459" s="8" t="e">
        <f>VLOOKUP($D459,설문!$C$2:$G$444,4,FALSE)</f>
        <v>#N/A</v>
      </c>
      <c r="H459" s="8" t="e">
        <f>VLOOKUP($D459,설문!$C$2:$G$444,5,FALSE)</f>
        <v>#N/A</v>
      </c>
    </row>
    <row r="460" spans="1:8">
      <c r="A460" s="6" t="s">
        <v>2771</v>
      </c>
      <c r="B460" s="7" t="s">
        <v>2782</v>
      </c>
      <c r="C460" s="7" t="s">
        <v>2786</v>
      </c>
      <c r="D460" s="7" t="s">
        <v>2881</v>
      </c>
      <c r="E460" s="6" t="s">
        <v>2882</v>
      </c>
      <c r="F460" s="8" t="e">
        <f>VLOOKUP($D460,설문!$C$2:$G$444,3,FALSE)</f>
        <v>#N/A</v>
      </c>
      <c r="G460" s="8" t="e">
        <f>VLOOKUP($D460,설문!$C$2:$G$444,4,FALSE)</f>
        <v>#N/A</v>
      </c>
      <c r="H460" s="8" t="e">
        <f>VLOOKUP($D460,설문!$C$2:$G$444,5,FALSE)</f>
        <v>#N/A</v>
      </c>
    </row>
    <row r="461" spans="1:8">
      <c r="A461" s="6" t="s">
        <v>2771</v>
      </c>
      <c r="B461" s="7" t="s">
        <v>2782</v>
      </c>
      <c r="C461" s="7" t="s">
        <v>2783</v>
      </c>
      <c r="D461" s="7" t="s">
        <v>2883</v>
      </c>
      <c r="E461" s="6" t="s">
        <v>2884</v>
      </c>
      <c r="F461" s="8" t="e">
        <f>VLOOKUP($D461,설문!$C$2:$G$444,3,FALSE)</f>
        <v>#N/A</v>
      </c>
      <c r="G461" s="8" t="e">
        <f>VLOOKUP($D461,설문!$C$2:$G$444,4,FALSE)</f>
        <v>#N/A</v>
      </c>
      <c r="H461" s="8" t="e">
        <f>VLOOKUP($D461,설문!$C$2:$G$444,5,FALSE)</f>
        <v>#N/A</v>
      </c>
    </row>
    <row r="462" spans="1:8">
      <c r="A462" s="6" t="s">
        <v>2771</v>
      </c>
      <c r="B462" s="7" t="s">
        <v>2793</v>
      </c>
      <c r="C462" s="7" t="s">
        <v>116</v>
      </c>
      <c r="D462" s="7" t="s">
        <v>2885</v>
      </c>
      <c r="E462" s="6" t="s">
        <v>2886</v>
      </c>
      <c r="F462" s="8" t="e">
        <f>VLOOKUP($D462,설문!$C$2:$G$444,3,FALSE)</f>
        <v>#N/A</v>
      </c>
      <c r="G462" s="8" t="e">
        <f>VLOOKUP($D462,설문!$C$2:$G$444,4,FALSE)</f>
        <v>#N/A</v>
      </c>
      <c r="H462" s="8" t="e">
        <f>VLOOKUP($D462,설문!$C$2:$G$444,5,FALSE)</f>
        <v>#N/A</v>
      </c>
    </row>
    <row r="463" spans="1:8">
      <c r="A463" s="6" t="s">
        <v>2771</v>
      </c>
      <c r="B463" s="7" t="s">
        <v>2793</v>
      </c>
      <c r="C463" s="7" t="s">
        <v>116</v>
      </c>
      <c r="D463" s="7" t="s">
        <v>2887</v>
      </c>
      <c r="E463" s="6" t="s">
        <v>2888</v>
      </c>
      <c r="F463" s="8" t="e">
        <f>VLOOKUP($D463,설문!$C$2:$G$444,3,FALSE)</f>
        <v>#N/A</v>
      </c>
      <c r="G463" s="8" t="e">
        <f>VLOOKUP($D463,설문!$C$2:$G$444,4,FALSE)</f>
        <v>#N/A</v>
      </c>
      <c r="H463" s="8" t="e">
        <f>VLOOKUP($D463,설문!$C$2:$G$444,5,FALSE)</f>
        <v>#N/A</v>
      </c>
    </row>
    <row r="464" spans="1:8">
      <c r="A464" s="6" t="s">
        <v>2771</v>
      </c>
      <c r="B464" s="7" t="s">
        <v>2793</v>
      </c>
      <c r="C464" s="7" t="s">
        <v>116</v>
      </c>
      <c r="D464" s="7" t="s">
        <v>2889</v>
      </c>
      <c r="E464" s="6" t="s">
        <v>2890</v>
      </c>
      <c r="F464" s="8" t="e">
        <f>VLOOKUP($D464,설문!$C$2:$G$444,3,FALSE)</f>
        <v>#N/A</v>
      </c>
      <c r="G464" s="8" t="e">
        <f>VLOOKUP($D464,설문!$C$2:$G$444,4,FALSE)</f>
        <v>#N/A</v>
      </c>
      <c r="H464" s="8" t="e">
        <f>VLOOKUP($D464,설문!$C$2:$G$444,5,FALSE)</f>
        <v>#N/A</v>
      </c>
    </row>
    <row r="465" spans="1:8">
      <c r="A465" s="6" t="s">
        <v>2771</v>
      </c>
      <c r="B465" s="7" t="s">
        <v>2828</v>
      </c>
      <c r="C465" s="7" t="s">
        <v>2891</v>
      </c>
      <c r="D465" s="7" t="s">
        <v>2892</v>
      </c>
      <c r="E465" s="6" t="s">
        <v>2893</v>
      </c>
      <c r="F465" s="8" t="e">
        <f>VLOOKUP($D465,설문!$C$2:$G$444,3,FALSE)</f>
        <v>#N/A</v>
      </c>
      <c r="G465" s="8" t="e">
        <f>VLOOKUP($D465,설문!$C$2:$G$444,4,FALSE)</f>
        <v>#N/A</v>
      </c>
      <c r="H465" s="8" t="e">
        <f>VLOOKUP($D465,설문!$C$2:$G$444,5,FALSE)</f>
        <v>#N/A</v>
      </c>
    </row>
    <row r="466" spans="1:8">
      <c r="A466" s="6" t="s">
        <v>2771</v>
      </c>
      <c r="B466" s="7" t="s">
        <v>2782</v>
      </c>
      <c r="C466" s="7" t="s">
        <v>2821</v>
      </c>
      <c r="D466" s="7" t="s">
        <v>2894</v>
      </c>
      <c r="E466" s="6" t="s">
        <v>2895</v>
      </c>
      <c r="F466" s="8" t="e">
        <f>VLOOKUP($D466,설문!$C$2:$G$444,3,FALSE)</f>
        <v>#N/A</v>
      </c>
      <c r="G466" s="8" t="e">
        <f>VLOOKUP($D466,설문!$C$2:$G$444,4,FALSE)</f>
        <v>#N/A</v>
      </c>
      <c r="H466" s="8" t="e">
        <f>VLOOKUP($D466,설문!$C$2:$G$444,5,FALSE)</f>
        <v>#N/A</v>
      </c>
    </row>
    <row r="467" spans="1:8">
      <c r="A467" s="6" t="s">
        <v>2771</v>
      </c>
      <c r="B467" s="7" t="s">
        <v>2896</v>
      </c>
      <c r="C467" s="7" t="s">
        <v>2897</v>
      </c>
      <c r="D467" s="7" t="s">
        <v>2898</v>
      </c>
      <c r="E467" s="6" t="s">
        <v>2899</v>
      </c>
      <c r="F467" s="8" t="e">
        <f>VLOOKUP($D467,설문!$C$2:$G$444,3,FALSE)</f>
        <v>#N/A</v>
      </c>
      <c r="G467" s="8" t="e">
        <f>VLOOKUP($D467,설문!$C$2:$G$444,4,FALSE)</f>
        <v>#N/A</v>
      </c>
      <c r="H467" s="8" t="e">
        <f>VLOOKUP($D467,설문!$C$2:$G$444,5,FALSE)</f>
        <v>#N/A</v>
      </c>
    </row>
    <row r="468" spans="1:8">
      <c r="A468" s="6" t="s">
        <v>2771</v>
      </c>
      <c r="B468" s="7" t="s">
        <v>2782</v>
      </c>
      <c r="C468" s="7" t="s">
        <v>2900</v>
      </c>
      <c r="D468" s="7" t="s">
        <v>2901</v>
      </c>
      <c r="E468" s="6" t="s">
        <v>2902</v>
      </c>
      <c r="F468" s="8" t="e">
        <f>VLOOKUP($D468,설문!$C$2:$G$444,3,FALSE)</f>
        <v>#N/A</v>
      </c>
      <c r="G468" s="8" t="e">
        <f>VLOOKUP($D468,설문!$C$2:$G$444,4,FALSE)</f>
        <v>#N/A</v>
      </c>
      <c r="H468" s="8" t="e">
        <f>VLOOKUP($D468,설문!$C$2:$G$444,5,FALSE)</f>
        <v>#N/A</v>
      </c>
    </row>
    <row r="469" spans="1:8">
      <c r="A469" s="6" t="s">
        <v>2771</v>
      </c>
      <c r="B469" s="7" t="s">
        <v>2828</v>
      </c>
      <c r="C469" s="7" t="s">
        <v>2829</v>
      </c>
      <c r="D469" s="7" t="s">
        <v>2903</v>
      </c>
      <c r="E469" s="6" t="s">
        <v>2904</v>
      </c>
      <c r="F469" s="8" t="e">
        <f>VLOOKUP($D469,설문!$C$2:$G$444,3,FALSE)</f>
        <v>#N/A</v>
      </c>
      <c r="G469" s="8" t="e">
        <f>VLOOKUP($D469,설문!$C$2:$G$444,4,FALSE)</f>
        <v>#N/A</v>
      </c>
      <c r="H469" s="8" t="e">
        <f>VLOOKUP($D469,설문!$C$2:$G$444,5,FALSE)</f>
        <v>#N/A</v>
      </c>
    </row>
    <row r="470" spans="1:8">
      <c r="A470" s="6" t="s">
        <v>2771</v>
      </c>
      <c r="B470" s="7" t="s">
        <v>2782</v>
      </c>
      <c r="C470" s="7" t="s">
        <v>2786</v>
      </c>
      <c r="D470" s="7" t="s">
        <v>2905</v>
      </c>
      <c r="E470" s="6" t="s">
        <v>2906</v>
      </c>
      <c r="F470" s="8" t="e">
        <f>VLOOKUP($D470,설문!$C$2:$G$444,3,FALSE)</f>
        <v>#N/A</v>
      </c>
      <c r="G470" s="8" t="e">
        <f>VLOOKUP($D470,설문!$C$2:$G$444,4,FALSE)</f>
        <v>#N/A</v>
      </c>
      <c r="H470" s="8" t="e">
        <f>VLOOKUP($D470,설문!$C$2:$G$444,5,FALSE)</f>
        <v>#N/A</v>
      </c>
    </row>
    <row r="471" spans="1:8">
      <c r="A471" s="6" t="s">
        <v>2771</v>
      </c>
      <c r="B471" s="7" t="s">
        <v>2828</v>
      </c>
      <c r="C471" s="7" t="s">
        <v>2907</v>
      </c>
      <c r="D471" s="7" t="s">
        <v>2908</v>
      </c>
      <c r="E471" s="6" t="s">
        <v>2909</v>
      </c>
      <c r="F471" s="8" t="e">
        <f>VLOOKUP($D471,설문!$C$2:$G$444,3,FALSE)</f>
        <v>#N/A</v>
      </c>
      <c r="G471" s="8" t="e">
        <f>VLOOKUP($D471,설문!$C$2:$G$444,4,FALSE)</f>
        <v>#N/A</v>
      </c>
      <c r="H471" s="8" t="e">
        <f>VLOOKUP($D471,설문!$C$2:$G$444,5,FALSE)</f>
        <v>#N/A</v>
      </c>
    </row>
    <row r="472" spans="1:8">
      <c r="A472" s="6" t="s">
        <v>2771</v>
      </c>
      <c r="B472" s="7" t="s">
        <v>2828</v>
      </c>
      <c r="C472" s="7" t="s">
        <v>2907</v>
      </c>
      <c r="D472" s="7" t="s">
        <v>2910</v>
      </c>
      <c r="E472" s="6" t="s">
        <v>2911</v>
      </c>
      <c r="F472" s="8" t="e">
        <f>VLOOKUP($D472,설문!$C$2:$G$444,3,FALSE)</f>
        <v>#N/A</v>
      </c>
      <c r="G472" s="8" t="e">
        <f>VLOOKUP($D472,설문!$C$2:$G$444,4,FALSE)</f>
        <v>#N/A</v>
      </c>
      <c r="H472" s="8" t="e">
        <f>VLOOKUP($D472,설문!$C$2:$G$444,5,FALSE)</f>
        <v>#N/A</v>
      </c>
    </row>
    <row r="473" spans="1:8">
      <c r="A473" s="6" t="s">
        <v>2771</v>
      </c>
      <c r="B473" s="7" t="s">
        <v>2828</v>
      </c>
      <c r="C473" s="7" t="s">
        <v>2912</v>
      </c>
      <c r="D473" s="7" t="s">
        <v>2913</v>
      </c>
      <c r="E473" s="6" t="s">
        <v>2914</v>
      </c>
      <c r="F473" s="8" t="e">
        <f>VLOOKUP($D473,설문!$C$2:$G$444,3,FALSE)</f>
        <v>#N/A</v>
      </c>
      <c r="G473" s="8" t="e">
        <f>VLOOKUP($D473,설문!$C$2:$G$444,4,FALSE)</f>
        <v>#N/A</v>
      </c>
      <c r="H473" s="8" t="e">
        <f>VLOOKUP($D473,설문!$C$2:$G$444,5,FALSE)</f>
        <v>#N/A</v>
      </c>
    </row>
    <row r="474" spans="1:8">
      <c r="A474" s="6" t="s">
        <v>2771</v>
      </c>
      <c r="B474" s="7" t="s">
        <v>2868</v>
      </c>
      <c r="C474" s="7" t="s">
        <v>2915</v>
      </c>
      <c r="D474" s="7" t="s">
        <v>2916</v>
      </c>
      <c r="E474" s="6" t="s">
        <v>2331</v>
      </c>
      <c r="F474" s="8" t="e">
        <f>VLOOKUP($D474,설문!$C$2:$G$444,3,FALSE)</f>
        <v>#N/A</v>
      </c>
      <c r="G474" s="8" t="e">
        <f>VLOOKUP($D474,설문!$C$2:$G$444,4,FALSE)</f>
        <v>#N/A</v>
      </c>
      <c r="H474" s="8" t="e">
        <f>VLOOKUP($D474,설문!$C$2:$G$444,5,FALSE)</f>
        <v>#N/A</v>
      </c>
    </row>
    <row r="475" spans="1:8">
      <c r="A475" s="6" t="s">
        <v>2771</v>
      </c>
      <c r="B475" s="7" t="s">
        <v>2782</v>
      </c>
      <c r="C475" s="7" t="s">
        <v>2821</v>
      </c>
      <c r="D475" s="7" t="s">
        <v>2917</v>
      </c>
      <c r="E475" s="6" t="s">
        <v>2918</v>
      </c>
      <c r="F475" s="8" t="e">
        <f>VLOOKUP($D475,설문!$C$2:$G$444,3,FALSE)</f>
        <v>#N/A</v>
      </c>
      <c r="G475" s="8" t="e">
        <f>VLOOKUP($D475,설문!$C$2:$G$444,4,FALSE)</f>
        <v>#N/A</v>
      </c>
      <c r="H475" s="8" t="e">
        <f>VLOOKUP($D475,설문!$C$2:$G$444,5,FALSE)</f>
        <v>#N/A</v>
      </c>
    </row>
    <row r="476" spans="1:8">
      <c r="A476" s="6" t="s">
        <v>2771</v>
      </c>
      <c r="B476" s="7" t="s">
        <v>2868</v>
      </c>
      <c r="C476" s="7" t="s">
        <v>2765</v>
      </c>
      <c r="D476" s="7" t="s">
        <v>2919</v>
      </c>
      <c r="E476" s="6" t="s">
        <v>2920</v>
      </c>
      <c r="F476" s="8" t="e">
        <f>VLOOKUP($D476,설문!$C$2:$G$444,3,FALSE)</f>
        <v>#N/A</v>
      </c>
      <c r="G476" s="8" t="e">
        <f>VLOOKUP($D476,설문!$C$2:$G$444,4,FALSE)</f>
        <v>#N/A</v>
      </c>
      <c r="H476" s="8" t="e">
        <f>VLOOKUP($D476,설문!$C$2:$G$444,5,FALSE)</f>
        <v>#N/A</v>
      </c>
    </row>
    <row r="477" spans="1:8">
      <c r="A477" s="6" t="s">
        <v>248</v>
      </c>
      <c r="B477" s="7" t="s">
        <v>249</v>
      </c>
      <c r="C477" s="7" t="s">
        <v>249</v>
      </c>
      <c r="D477" s="7" t="s">
        <v>250</v>
      </c>
      <c r="E477" s="6" t="s">
        <v>251</v>
      </c>
      <c r="F477" s="8" t="e">
        <f>VLOOKUP($D477,설문!$C$2:$G$444,3,FALSE)</f>
        <v>#N/A</v>
      </c>
      <c r="G477" s="8" t="e">
        <f>VLOOKUP($D477,설문!$C$2:$G$444,4,FALSE)</f>
        <v>#N/A</v>
      </c>
      <c r="H477" s="8" t="e">
        <f>VLOOKUP($D477,설문!$C$2:$G$444,5,FALSE)</f>
        <v>#N/A</v>
      </c>
    </row>
    <row r="478" spans="1:8">
      <c r="A478" s="6" t="s">
        <v>248</v>
      </c>
      <c r="B478" s="7" t="s">
        <v>880</v>
      </c>
      <c r="C478" s="7" t="s">
        <v>881</v>
      </c>
      <c r="D478" s="7" t="s">
        <v>882</v>
      </c>
      <c r="E478" s="6" t="s">
        <v>883</v>
      </c>
      <c r="F478" s="8" t="e">
        <f>VLOOKUP($D478,설문!$C$2:$G$444,3,FALSE)</f>
        <v>#N/A</v>
      </c>
      <c r="G478" s="8" t="e">
        <f>VLOOKUP($D478,설문!$C$2:$G$444,4,FALSE)</f>
        <v>#N/A</v>
      </c>
      <c r="H478" s="8" t="e">
        <f>VLOOKUP($D478,설문!$C$2:$G$444,5,FALSE)</f>
        <v>#N/A</v>
      </c>
    </row>
    <row r="479" spans="1:8">
      <c r="A479" s="6" t="s">
        <v>248</v>
      </c>
      <c r="B479" s="7" t="s">
        <v>1549</v>
      </c>
      <c r="C479" s="7" t="s">
        <v>1549</v>
      </c>
      <c r="D479" s="7" t="s">
        <v>1550</v>
      </c>
      <c r="E479" s="6" t="s">
        <v>1551</v>
      </c>
      <c r="F479" s="8" t="e">
        <f>VLOOKUP($D479,설문!$C$2:$G$444,3,FALSE)</f>
        <v>#N/A</v>
      </c>
      <c r="G479" s="8" t="e">
        <f>VLOOKUP($D479,설문!$C$2:$G$444,4,FALSE)</f>
        <v>#N/A</v>
      </c>
      <c r="H479" s="8" t="e">
        <f>VLOOKUP($D479,설문!$C$2:$G$444,5,FALSE)</f>
        <v>#N/A</v>
      </c>
    </row>
    <row r="480" spans="1:8">
      <c r="A480" s="6" t="s">
        <v>248</v>
      </c>
      <c r="B480" s="7" t="s">
        <v>1629</v>
      </c>
      <c r="C480" s="7" t="s">
        <v>1629</v>
      </c>
      <c r="D480" s="7" t="s">
        <v>1630</v>
      </c>
      <c r="E480" s="6" t="s">
        <v>1631</v>
      </c>
      <c r="F480" s="8" t="str">
        <f>VLOOKUP($D480,설문!$C$2:$G$444,3,FALSE)</f>
        <v>펀드매니저,딜러</v>
      </c>
      <c r="G480" s="8" t="str">
        <f>VLOOKUP($D480,설문!$C$2:$G$444,4,FALSE)</f>
        <v>금융회사</v>
      </c>
      <c r="H480" s="8" t="str">
        <f>VLOOKUP($D480,설문!$C$2:$G$444,5,FALSE)</f>
        <v>국고채/통안채</v>
      </c>
    </row>
    <row r="481" spans="1:8">
      <c r="A481" s="6" t="s">
        <v>248</v>
      </c>
      <c r="B481" s="7" t="s">
        <v>4554</v>
      </c>
      <c r="C481" s="7" t="s">
        <v>9</v>
      </c>
      <c r="D481" s="7" t="s">
        <v>4555</v>
      </c>
      <c r="E481" s="6" t="s">
        <v>4556</v>
      </c>
      <c r="F481" s="8" t="e">
        <f>VLOOKUP($D481,설문!$C$2:$G$444,3,FALSE)</f>
        <v>#N/A</v>
      </c>
      <c r="G481" s="8" t="e">
        <f>VLOOKUP($D481,설문!$C$2:$G$444,4,FALSE)</f>
        <v>#N/A</v>
      </c>
      <c r="H481" s="8" t="e">
        <f>VLOOKUP($D481,설문!$C$2:$G$444,5,FALSE)</f>
        <v>#N/A</v>
      </c>
    </row>
    <row r="482" spans="1:8">
      <c r="A482" s="6" t="s">
        <v>248</v>
      </c>
      <c r="B482" s="7" t="s">
        <v>4554</v>
      </c>
      <c r="C482" s="7" t="s">
        <v>9</v>
      </c>
      <c r="D482" s="7" t="s">
        <v>4557</v>
      </c>
      <c r="E482" s="6" t="s">
        <v>4556</v>
      </c>
      <c r="F482" s="8" t="e">
        <f>VLOOKUP($D482,설문!$C$2:$G$444,3,FALSE)</f>
        <v>#N/A</v>
      </c>
      <c r="G482" s="8" t="e">
        <f>VLOOKUP($D482,설문!$C$2:$G$444,4,FALSE)</f>
        <v>#N/A</v>
      </c>
      <c r="H482" s="8" t="e">
        <f>VLOOKUP($D482,설문!$C$2:$G$444,5,FALSE)</f>
        <v>#N/A</v>
      </c>
    </row>
    <row r="483" spans="1:8">
      <c r="A483" s="6" t="s">
        <v>248</v>
      </c>
      <c r="B483" s="7" t="s">
        <v>4554</v>
      </c>
      <c r="C483" s="7" t="s">
        <v>9</v>
      </c>
      <c r="D483" s="7" t="s">
        <v>4558</v>
      </c>
      <c r="E483" s="6" t="s">
        <v>4556</v>
      </c>
      <c r="F483" s="8" t="e">
        <f>VLOOKUP($D483,설문!$C$2:$G$444,3,FALSE)</f>
        <v>#N/A</v>
      </c>
      <c r="G483" s="8" t="e">
        <f>VLOOKUP($D483,설문!$C$2:$G$444,4,FALSE)</f>
        <v>#N/A</v>
      </c>
      <c r="H483" s="8" t="e">
        <f>VLOOKUP($D483,설문!$C$2:$G$444,5,FALSE)</f>
        <v>#N/A</v>
      </c>
    </row>
    <row r="484" spans="1:8">
      <c r="A484" s="6" t="s">
        <v>248</v>
      </c>
      <c r="B484" s="7" t="s">
        <v>4554</v>
      </c>
      <c r="C484" s="7" t="s">
        <v>9</v>
      </c>
      <c r="D484" s="7" t="s">
        <v>4559</v>
      </c>
      <c r="E484" s="6" t="s">
        <v>4556</v>
      </c>
      <c r="F484" s="8" t="e">
        <f>VLOOKUP($D484,설문!$C$2:$G$444,3,FALSE)</f>
        <v>#N/A</v>
      </c>
      <c r="G484" s="8" t="e">
        <f>VLOOKUP($D484,설문!$C$2:$G$444,4,FALSE)</f>
        <v>#N/A</v>
      </c>
      <c r="H484" s="8" t="e">
        <f>VLOOKUP($D484,설문!$C$2:$G$444,5,FALSE)</f>
        <v>#N/A</v>
      </c>
    </row>
    <row r="485" spans="1:8">
      <c r="A485" s="6" t="s">
        <v>248</v>
      </c>
      <c r="B485" s="7" t="s">
        <v>3043</v>
      </c>
      <c r="C485" s="7" t="s">
        <v>3043</v>
      </c>
      <c r="D485" s="7" t="s">
        <v>4560</v>
      </c>
      <c r="E485" s="6" t="s">
        <v>4561</v>
      </c>
      <c r="F485" s="8" t="e">
        <f>VLOOKUP($D485,설문!$C$2:$G$444,3,FALSE)</f>
        <v>#N/A</v>
      </c>
      <c r="G485" s="8" t="e">
        <f>VLOOKUP($D485,설문!$C$2:$G$444,4,FALSE)</f>
        <v>#N/A</v>
      </c>
      <c r="H485" s="8" t="e">
        <f>VLOOKUP($D485,설문!$C$2:$G$444,5,FALSE)</f>
        <v>#N/A</v>
      </c>
    </row>
    <row r="486" spans="1:8">
      <c r="A486" s="6" t="s">
        <v>248</v>
      </c>
      <c r="B486" s="7" t="s">
        <v>3043</v>
      </c>
      <c r="C486" s="7" t="s">
        <v>3043</v>
      </c>
      <c r="D486" s="7" t="s">
        <v>4562</v>
      </c>
      <c r="E486" s="6" t="s">
        <v>4563</v>
      </c>
      <c r="F486" s="8" t="e">
        <f>VLOOKUP($D486,설문!$C$2:$G$444,3,FALSE)</f>
        <v>#N/A</v>
      </c>
      <c r="G486" s="8" t="e">
        <f>VLOOKUP($D486,설문!$C$2:$G$444,4,FALSE)</f>
        <v>#N/A</v>
      </c>
      <c r="H486" s="8" t="e">
        <f>VLOOKUP($D486,설문!$C$2:$G$444,5,FALSE)</f>
        <v>#N/A</v>
      </c>
    </row>
    <row r="487" spans="1:8">
      <c r="A487" s="6" t="s">
        <v>248</v>
      </c>
      <c r="B487" s="7" t="s">
        <v>1549</v>
      </c>
      <c r="C487" s="7" t="s">
        <v>1549</v>
      </c>
      <c r="D487" s="7" t="s">
        <v>4564</v>
      </c>
      <c r="E487" s="6" t="s">
        <v>4565</v>
      </c>
      <c r="F487" s="8" t="e">
        <f>VLOOKUP($D487,설문!$C$2:$G$444,3,FALSE)</f>
        <v>#N/A</v>
      </c>
      <c r="G487" s="8" t="e">
        <f>VLOOKUP($D487,설문!$C$2:$G$444,4,FALSE)</f>
        <v>#N/A</v>
      </c>
      <c r="H487" s="8" t="e">
        <f>VLOOKUP($D487,설문!$C$2:$G$444,5,FALSE)</f>
        <v>#N/A</v>
      </c>
    </row>
    <row r="488" spans="1:8">
      <c r="A488" s="6" t="s">
        <v>248</v>
      </c>
      <c r="B488" s="7" t="s">
        <v>4566</v>
      </c>
      <c r="C488" s="7" t="s">
        <v>4566</v>
      </c>
      <c r="D488" s="7" t="s">
        <v>4567</v>
      </c>
      <c r="E488" s="6" t="s">
        <v>4568</v>
      </c>
      <c r="F488" s="8" t="e">
        <f>VLOOKUP($D488,설문!$C$2:$G$444,3,FALSE)</f>
        <v>#N/A</v>
      </c>
      <c r="G488" s="8" t="e">
        <f>VLOOKUP($D488,설문!$C$2:$G$444,4,FALSE)</f>
        <v>#N/A</v>
      </c>
      <c r="H488" s="8" t="e">
        <f>VLOOKUP($D488,설문!$C$2:$G$444,5,FALSE)</f>
        <v>#N/A</v>
      </c>
    </row>
    <row r="489" spans="1:8">
      <c r="A489" s="6" t="s">
        <v>248</v>
      </c>
      <c r="B489" s="7" t="s">
        <v>880</v>
      </c>
      <c r="C489" s="7" t="s">
        <v>4569</v>
      </c>
      <c r="D489" s="7" t="s">
        <v>4570</v>
      </c>
      <c r="E489" s="6" t="s">
        <v>4571</v>
      </c>
      <c r="F489" s="8" t="e">
        <f>VLOOKUP($D489,설문!$C$2:$G$444,3,FALSE)</f>
        <v>#N/A</v>
      </c>
      <c r="G489" s="8" t="e">
        <f>VLOOKUP($D489,설문!$C$2:$G$444,4,FALSE)</f>
        <v>#N/A</v>
      </c>
      <c r="H489" s="8" t="e">
        <f>VLOOKUP($D489,설문!$C$2:$G$444,5,FALSE)</f>
        <v>#N/A</v>
      </c>
    </row>
    <row r="490" spans="1:8">
      <c r="A490" s="6" t="s">
        <v>248</v>
      </c>
      <c r="B490" s="7" t="s">
        <v>880</v>
      </c>
      <c r="C490" s="7" t="s">
        <v>4569</v>
      </c>
      <c r="D490" s="7" t="s">
        <v>4572</v>
      </c>
      <c r="E490" s="6" t="s">
        <v>4573</v>
      </c>
      <c r="F490" s="8" t="e">
        <f>VLOOKUP($D490,설문!$C$2:$G$444,3,FALSE)</f>
        <v>#N/A</v>
      </c>
      <c r="G490" s="8" t="e">
        <f>VLOOKUP($D490,설문!$C$2:$G$444,4,FALSE)</f>
        <v>#N/A</v>
      </c>
      <c r="H490" s="8" t="e">
        <f>VLOOKUP($D490,설문!$C$2:$G$444,5,FALSE)</f>
        <v>#N/A</v>
      </c>
    </row>
    <row r="491" spans="1:8">
      <c r="A491" s="6" t="s">
        <v>248</v>
      </c>
      <c r="B491" s="7" t="s">
        <v>880</v>
      </c>
      <c r="C491" s="7" t="s">
        <v>4574</v>
      </c>
      <c r="D491" s="7" t="s">
        <v>4575</v>
      </c>
      <c r="E491" s="6" t="s">
        <v>4576</v>
      </c>
      <c r="F491" s="8" t="str">
        <f>VLOOKUP($D491,설문!$C$2:$G$444,3,FALSE)</f>
        <v>펀드매니저</v>
      </c>
      <c r="G491" s="8" t="str">
        <f>VLOOKUP($D491,설문!$C$2:$G$444,4,FALSE)</f>
        <v>금융회사</v>
      </c>
      <c r="H491" s="8" t="str">
        <f>VLOOKUP($D491,설문!$C$2:$G$444,5,FALSE)</f>
        <v>회사채,RP,단기자금,원화 구조화채권,대체투자(부동산/인프라)</v>
      </c>
    </row>
    <row r="492" spans="1:8">
      <c r="A492" s="6" t="s">
        <v>248</v>
      </c>
      <c r="B492" s="7" t="s">
        <v>880</v>
      </c>
      <c r="C492" s="7" t="s">
        <v>4577</v>
      </c>
      <c r="D492" s="7" t="s">
        <v>4578</v>
      </c>
      <c r="E492" s="6" t="s">
        <v>1960</v>
      </c>
      <c r="F492" s="8" t="e">
        <f>VLOOKUP($D492,설문!$C$2:$G$444,3,FALSE)</f>
        <v>#N/A</v>
      </c>
      <c r="G492" s="8" t="e">
        <f>VLOOKUP($D492,설문!$C$2:$G$444,4,FALSE)</f>
        <v>#N/A</v>
      </c>
      <c r="H492" s="8" t="e">
        <f>VLOOKUP($D492,설문!$C$2:$G$444,5,FALSE)</f>
        <v>#N/A</v>
      </c>
    </row>
    <row r="493" spans="1:8">
      <c r="A493" s="6" t="s">
        <v>248</v>
      </c>
      <c r="B493" s="7" t="s">
        <v>3958</v>
      </c>
      <c r="C493" s="7" t="s">
        <v>4579</v>
      </c>
      <c r="D493" s="7" t="s">
        <v>4580</v>
      </c>
      <c r="E493" s="6" t="s">
        <v>4581</v>
      </c>
      <c r="F493" s="8" t="e">
        <f>VLOOKUP($D493,설문!$C$2:$G$444,3,FALSE)</f>
        <v>#N/A</v>
      </c>
      <c r="G493" s="8" t="e">
        <f>VLOOKUP($D493,설문!$C$2:$G$444,4,FALSE)</f>
        <v>#N/A</v>
      </c>
      <c r="H493" s="8" t="e">
        <f>VLOOKUP($D493,설문!$C$2:$G$444,5,FALSE)</f>
        <v>#N/A</v>
      </c>
    </row>
    <row r="494" spans="1:8">
      <c r="A494" s="6" t="s">
        <v>248</v>
      </c>
      <c r="B494" s="7" t="s">
        <v>880</v>
      </c>
      <c r="C494" s="7" t="s">
        <v>881</v>
      </c>
      <c r="D494" s="7" t="s">
        <v>4582</v>
      </c>
      <c r="E494" s="6" t="s">
        <v>4583</v>
      </c>
      <c r="F494" s="8" t="e">
        <f>VLOOKUP($D494,설문!$C$2:$G$444,3,FALSE)</f>
        <v>#N/A</v>
      </c>
      <c r="G494" s="8" t="e">
        <f>VLOOKUP($D494,설문!$C$2:$G$444,4,FALSE)</f>
        <v>#N/A</v>
      </c>
      <c r="H494" s="8" t="e">
        <f>VLOOKUP($D494,설문!$C$2:$G$444,5,FALSE)</f>
        <v>#N/A</v>
      </c>
    </row>
    <row r="495" spans="1:8">
      <c r="A495" s="6" t="s">
        <v>248</v>
      </c>
      <c r="B495" s="7" t="s">
        <v>3958</v>
      </c>
      <c r="C495" s="7" t="s">
        <v>4584</v>
      </c>
      <c r="D495" s="7" t="s">
        <v>4585</v>
      </c>
      <c r="E495" s="6" t="s">
        <v>4586</v>
      </c>
      <c r="F495" s="8" t="e">
        <f>VLOOKUP($D495,설문!$C$2:$G$444,3,FALSE)</f>
        <v>#N/A</v>
      </c>
      <c r="G495" s="8" t="e">
        <f>VLOOKUP($D495,설문!$C$2:$G$444,4,FALSE)</f>
        <v>#N/A</v>
      </c>
      <c r="H495" s="8" t="e">
        <f>VLOOKUP($D495,설문!$C$2:$G$444,5,FALSE)</f>
        <v>#N/A</v>
      </c>
    </row>
    <row r="496" spans="1:8">
      <c r="A496" s="6" t="s">
        <v>248</v>
      </c>
      <c r="B496" s="7" t="s">
        <v>880</v>
      </c>
      <c r="C496" s="7" t="s">
        <v>4569</v>
      </c>
      <c r="D496" s="7" t="s">
        <v>4587</v>
      </c>
      <c r="E496" s="6" t="s">
        <v>4588</v>
      </c>
      <c r="F496" s="8" t="e">
        <f>VLOOKUP($D496,설문!$C$2:$G$444,3,FALSE)</f>
        <v>#N/A</v>
      </c>
      <c r="G496" s="8" t="e">
        <f>VLOOKUP($D496,설문!$C$2:$G$444,4,FALSE)</f>
        <v>#N/A</v>
      </c>
      <c r="H496" s="8" t="e">
        <f>VLOOKUP($D496,설문!$C$2:$G$444,5,FALSE)</f>
        <v>#N/A</v>
      </c>
    </row>
    <row r="497" spans="1:8">
      <c r="A497" s="6" t="s">
        <v>248</v>
      </c>
      <c r="B497" s="7" t="s">
        <v>880</v>
      </c>
      <c r="C497" s="7" t="s">
        <v>4577</v>
      </c>
      <c r="D497" s="7" t="s">
        <v>4589</v>
      </c>
      <c r="E497" s="6" t="s">
        <v>4590</v>
      </c>
      <c r="F497" s="8" t="e">
        <f>VLOOKUP($D497,설문!$C$2:$G$444,3,FALSE)</f>
        <v>#N/A</v>
      </c>
      <c r="G497" s="8" t="e">
        <f>VLOOKUP($D497,설문!$C$2:$G$444,4,FALSE)</f>
        <v>#N/A</v>
      </c>
      <c r="H497" s="8" t="e">
        <f>VLOOKUP($D497,설문!$C$2:$G$444,5,FALSE)</f>
        <v>#N/A</v>
      </c>
    </row>
    <row r="498" spans="1:8">
      <c r="A498" s="6" t="s">
        <v>248</v>
      </c>
      <c r="B498" s="7" t="s">
        <v>880</v>
      </c>
      <c r="C498" s="7" t="s">
        <v>4569</v>
      </c>
      <c r="D498" s="7" t="s">
        <v>4591</v>
      </c>
      <c r="E498" s="6" t="s">
        <v>4586</v>
      </c>
      <c r="F498" s="8" t="e">
        <f>VLOOKUP($D498,설문!$C$2:$G$444,3,FALSE)</f>
        <v>#N/A</v>
      </c>
      <c r="G498" s="8" t="e">
        <f>VLOOKUP($D498,설문!$C$2:$G$444,4,FALSE)</f>
        <v>#N/A</v>
      </c>
      <c r="H498" s="8" t="e">
        <f>VLOOKUP($D498,설문!$C$2:$G$444,5,FALSE)</f>
        <v>#N/A</v>
      </c>
    </row>
    <row r="499" spans="1:8">
      <c r="A499" s="6" t="s">
        <v>248</v>
      </c>
      <c r="B499" s="7" t="s">
        <v>880</v>
      </c>
      <c r="C499" s="7" t="s">
        <v>4577</v>
      </c>
      <c r="D499" s="7" t="s">
        <v>4592</v>
      </c>
      <c r="E499" s="6" t="s">
        <v>4593</v>
      </c>
      <c r="F499" s="8" t="str">
        <f>VLOOKUP($D499,설문!$C$2:$G$444,3,FALSE)</f>
        <v>펀드매니저</v>
      </c>
      <c r="G499" s="8" t="str">
        <f>VLOOKUP($D499,설문!$C$2:$G$444,4,FALSE)</f>
        <v>개인고객</v>
      </c>
      <c r="H499" s="8" t="str">
        <f>VLOOKUP($D499,설문!$C$2:$G$444,5,FALSE)</f>
        <v>국내주식/지수,ETF/ETN</v>
      </c>
    </row>
    <row r="500" spans="1:8">
      <c r="A500" s="6" t="s">
        <v>248</v>
      </c>
      <c r="B500" s="7" t="s">
        <v>561</v>
      </c>
      <c r="C500" s="7" t="s">
        <v>561</v>
      </c>
      <c r="D500" s="7" t="s">
        <v>4594</v>
      </c>
      <c r="E500" s="6" t="s">
        <v>4595</v>
      </c>
      <c r="F500" s="8" t="str">
        <f>VLOOKUP($D500,설문!$C$2:$G$444,3,FALSE)</f>
        <v>퀀트,리스크관리(미들)</v>
      </c>
      <c r="G500" s="8" t="str">
        <f>VLOOKUP($D500,설문!$C$2:$G$444,4,FALSE)</f>
        <v>금융회사</v>
      </c>
      <c r="H500" s="8" t="str">
        <f>VLOOKUP($D500,설문!$C$2:$G$444,5,FALSE)</f>
        <v>국내주식/지수관련파생,원화 이자율스왑,외화 이자율스왑,CRS &amp; FX Option,ELS/DLS</v>
      </c>
    </row>
    <row r="501" spans="1:8">
      <c r="A501" s="6" t="s">
        <v>248</v>
      </c>
      <c r="B501" s="7" t="s">
        <v>4596</v>
      </c>
      <c r="C501" s="7" t="s">
        <v>4597</v>
      </c>
      <c r="D501" s="7" t="s">
        <v>4598</v>
      </c>
      <c r="E501" s="6" t="s">
        <v>2100</v>
      </c>
      <c r="F501" s="8" t="e">
        <f>VLOOKUP($D501,설문!$C$2:$G$444,3,FALSE)</f>
        <v>#N/A</v>
      </c>
      <c r="G501" s="8" t="e">
        <f>VLOOKUP($D501,설문!$C$2:$G$444,4,FALSE)</f>
        <v>#N/A</v>
      </c>
      <c r="H501" s="8" t="e">
        <f>VLOOKUP($D501,설문!$C$2:$G$444,5,FALSE)</f>
        <v>#N/A</v>
      </c>
    </row>
    <row r="502" spans="1:8">
      <c r="A502" s="6" t="s">
        <v>248</v>
      </c>
      <c r="B502" s="7" t="s">
        <v>4596</v>
      </c>
      <c r="C502" s="7" t="s">
        <v>4599</v>
      </c>
      <c r="D502" s="7" t="s">
        <v>4600</v>
      </c>
      <c r="E502" s="6" t="s">
        <v>4601</v>
      </c>
      <c r="F502" s="8" t="e">
        <f>VLOOKUP($D502,설문!$C$2:$G$444,3,FALSE)</f>
        <v>#N/A</v>
      </c>
      <c r="G502" s="8" t="e">
        <f>VLOOKUP($D502,설문!$C$2:$G$444,4,FALSE)</f>
        <v>#N/A</v>
      </c>
      <c r="H502" s="8" t="e">
        <f>VLOOKUP($D502,설문!$C$2:$G$444,5,FALSE)</f>
        <v>#N/A</v>
      </c>
    </row>
    <row r="503" spans="1:8">
      <c r="A503" s="6" t="s">
        <v>248</v>
      </c>
      <c r="B503" s="7" t="s">
        <v>4602</v>
      </c>
      <c r="C503" s="7" t="s">
        <v>4602</v>
      </c>
      <c r="D503" s="7" t="s">
        <v>4603</v>
      </c>
      <c r="E503" s="6" t="s">
        <v>4604</v>
      </c>
      <c r="F503" s="8" t="e">
        <f>VLOOKUP($D503,설문!$C$2:$G$444,3,FALSE)</f>
        <v>#N/A</v>
      </c>
      <c r="G503" s="8" t="e">
        <f>VLOOKUP($D503,설문!$C$2:$G$444,4,FALSE)</f>
        <v>#N/A</v>
      </c>
      <c r="H503" s="8" t="e">
        <f>VLOOKUP($D503,설문!$C$2:$G$444,5,FALSE)</f>
        <v>#N/A</v>
      </c>
    </row>
    <row r="504" spans="1:8">
      <c r="A504" s="6" t="s">
        <v>1202</v>
      </c>
      <c r="B504" s="7" t="s">
        <v>9</v>
      </c>
      <c r="C504" s="7" t="s">
        <v>1203</v>
      </c>
      <c r="D504" s="7" t="s">
        <v>1204</v>
      </c>
      <c r="E504" s="6" t="s">
        <v>1205</v>
      </c>
      <c r="F504" s="8" t="e">
        <f>VLOOKUP($D504,설문!$C$2:$G$444,3,FALSE)</f>
        <v>#N/A</v>
      </c>
      <c r="G504" s="8" t="e">
        <f>VLOOKUP($D504,설문!$C$2:$G$444,4,FALSE)</f>
        <v>#N/A</v>
      </c>
      <c r="H504" s="8" t="e">
        <f>VLOOKUP($D504,설문!$C$2:$G$444,5,FALSE)</f>
        <v>#N/A</v>
      </c>
    </row>
    <row r="505" spans="1:8">
      <c r="A505" s="6" t="s">
        <v>1202</v>
      </c>
      <c r="B505" s="7" t="s">
        <v>1969</v>
      </c>
      <c r="C505" s="7" t="s">
        <v>78</v>
      </c>
      <c r="D505" s="7" t="s">
        <v>1970</v>
      </c>
      <c r="E505" s="6" t="s">
        <v>1971</v>
      </c>
      <c r="F505" s="8" t="e">
        <f>VLOOKUP($D505,설문!$C$2:$G$444,3,FALSE)</f>
        <v>#N/A</v>
      </c>
      <c r="G505" s="8" t="e">
        <f>VLOOKUP($D505,설문!$C$2:$G$444,4,FALSE)</f>
        <v>#N/A</v>
      </c>
      <c r="H505" s="8" t="e">
        <f>VLOOKUP($D505,설문!$C$2:$G$444,5,FALSE)</f>
        <v>#N/A</v>
      </c>
    </row>
    <row r="506" spans="1:8">
      <c r="A506" s="6" t="s">
        <v>1202</v>
      </c>
      <c r="B506" s="7" t="s">
        <v>1969</v>
      </c>
      <c r="C506" s="7" t="s">
        <v>78</v>
      </c>
      <c r="D506" s="7" t="s">
        <v>1972</v>
      </c>
      <c r="E506" s="6" t="s">
        <v>1973</v>
      </c>
      <c r="F506" s="8" t="e">
        <f>VLOOKUP($D506,설문!$C$2:$G$444,3,FALSE)</f>
        <v>#N/A</v>
      </c>
      <c r="G506" s="8" t="e">
        <f>VLOOKUP($D506,설문!$C$2:$G$444,4,FALSE)</f>
        <v>#N/A</v>
      </c>
      <c r="H506" s="8" t="e">
        <f>VLOOKUP($D506,설문!$C$2:$G$444,5,FALSE)</f>
        <v>#N/A</v>
      </c>
    </row>
    <row r="507" spans="1:8">
      <c r="A507" s="6" t="s">
        <v>1202</v>
      </c>
      <c r="B507" s="7" t="s">
        <v>1969</v>
      </c>
      <c r="C507" s="7" t="s">
        <v>1974</v>
      </c>
      <c r="D507" s="7" t="s">
        <v>1975</v>
      </c>
      <c r="E507" s="6" t="s">
        <v>1976</v>
      </c>
      <c r="F507" s="8" t="e">
        <f>VLOOKUP($D507,설문!$C$2:$G$444,3,FALSE)</f>
        <v>#N/A</v>
      </c>
      <c r="G507" s="8" t="e">
        <f>VLOOKUP($D507,설문!$C$2:$G$444,4,FALSE)</f>
        <v>#N/A</v>
      </c>
      <c r="H507" s="8" t="e">
        <f>VLOOKUP($D507,설문!$C$2:$G$444,5,FALSE)</f>
        <v>#N/A</v>
      </c>
    </row>
    <row r="508" spans="1:8">
      <c r="A508" s="6" t="s">
        <v>4871</v>
      </c>
      <c r="B508" s="7" t="s">
        <v>4872</v>
      </c>
      <c r="C508" s="7" t="s">
        <v>4873</v>
      </c>
      <c r="D508" s="7" t="s">
        <v>4874</v>
      </c>
      <c r="E508" s="6" t="s">
        <v>4875</v>
      </c>
      <c r="F508" s="8" t="e">
        <f>VLOOKUP($D508,설문!$C$2:$G$444,3,FALSE)</f>
        <v>#N/A</v>
      </c>
      <c r="G508" s="8" t="e">
        <f>VLOOKUP($D508,설문!$C$2:$G$444,4,FALSE)</f>
        <v>#N/A</v>
      </c>
      <c r="H508" s="8" t="e">
        <f>VLOOKUP($D508,설문!$C$2:$G$444,5,FALSE)</f>
        <v>#N/A</v>
      </c>
    </row>
    <row r="509" spans="1:8">
      <c r="A509" s="6" t="s">
        <v>4871</v>
      </c>
      <c r="B509" s="7" t="s">
        <v>4876</v>
      </c>
      <c r="C509" s="7" t="s">
        <v>4873</v>
      </c>
      <c r="D509" s="7" t="s">
        <v>4877</v>
      </c>
      <c r="E509" s="6" t="s">
        <v>4878</v>
      </c>
      <c r="F509" s="8" t="e">
        <f>VLOOKUP($D509,설문!$C$2:$G$444,3,FALSE)</f>
        <v>#N/A</v>
      </c>
      <c r="G509" s="8" t="e">
        <f>VLOOKUP($D509,설문!$C$2:$G$444,4,FALSE)</f>
        <v>#N/A</v>
      </c>
      <c r="H509" s="8" t="e">
        <f>VLOOKUP($D509,설문!$C$2:$G$444,5,FALSE)</f>
        <v>#N/A</v>
      </c>
    </row>
    <row r="510" spans="1:8">
      <c r="A510" s="6" t="s">
        <v>4871</v>
      </c>
      <c r="B510" s="7" t="s">
        <v>4879</v>
      </c>
      <c r="C510" s="7" t="s">
        <v>4873</v>
      </c>
      <c r="D510" s="7" t="s">
        <v>4880</v>
      </c>
      <c r="E510" s="6" t="s">
        <v>4881</v>
      </c>
      <c r="F510" s="8" t="e">
        <f>VLOOKUP($D510,설문!$C$2:$G$444,3,FALSE)</f>
        <v>#N/A</v>
      </c>
      <c r="G510" s="8" t="e">
        <f>VLOOKUP($D510,설문!$C$2:$G$444,4,FALSE)</f>
        <v>#N/A</v>
      </c>
      <c r="H510" s="8" t="e">
        <f>VLOOKUP($D510,설문!$C$2:$G$444,5,FALSE)</f>
        <v>#N/A</v>
      </c>
    </row>
    <row r="511" spans="1:8">
      <c r="A511" s="6" t="s">
        <v>4871</v>
      </c>
      <c r="B511" s="7" t="s">
        <v>4882</v>
      </c>
      <c r="C511" s="7" t="s">
        <v>4883</v>
      </c>
      <c r="D511" s="7" t="s">
        <v>4884</v>
      </c>
      <c r="E511" s="6" t="s">
        <v>4885</v>
      </c>
      <c r="F511" s="8" t="e">
        <f>VLOOKUP($D511,설문!$C$2:$G$444,3,FALSE)</f>
        <v>#N/A</v>
      </c>
      <c r="G511" s="8" t="e">
        <f>VLOOKUP($D511,설문!$C$2:$G$444,4,FALSE)</f>
        <v>#N/A</v>
      </c>
      <c r="H511" s="8" t="e">
        <f>VLOOKUP($D511,설문!$C$2:$G$444,5,FALSE)</f>
        <v>#N/A</v>
      </c>
    </row>
    <row r="512" spans="1:8">
      <c r="A512" s="6" t="s">
        <v>4871</v>
      </c>
      <c r="B512" s="7" t="s">
        <v>4886</v>
      </c>
      <c r="C512" s="7" t="s">
        <v>4883</v>
      </c>
      <c r="D512" s="7" t="s">
        <v>4887</v>
      </c>
      <c r="E512" s="6" t="s">
        <v>4888</v>
      </c>
      <c r="F512" s="8" t="e">
        <f>VLOOKUP($D512,설문!$C$2:$G$444,3,FALSE)</f>
        <v>#N/A</v>
      </c>
      <c r="G512" s="8" t="e">
        <f>VLOOKUP($D512,설문!$C$2:$G$444,4,FALSE)</f>
        <v>#N/A</v>
      </c>
      <c r="H512" s="8" t="e">
        <f>VLOOKUP($D512,설문!$C$2:$G$444,5,FALSE)</f>
        <v>#N/A</v>
      </c>
    </row>
    <row r="513" spans="1:8">
      <c r="A513" s="6" t="s">
        <v>4871</v>
      </c>
      <c r="B513" s="7" t="s">
        <v>4889</v>
      </c>
      <c r="C513" s="7" t="s">
        <v>4889</v>
      </c>
      <c r="D513" s="7" t="s">
        <v>4890</v>
      </c>
      <c r="E513" s="6" t="s">
        <v>4889</v>
      </c>
      <c r="F513" s="8" t="e">
        <f>VLOOKUP($D513,설문!$C$2:$G$444,3,FALSE)</f>
        <v>#N/A</v>
      </c>
      <c r="G513" s="8" t="e">
        <f>VLOOKUP($D513,설문!$C$2:$G$444,4,FALSE)</f>
        <v>#N/A</v>
      </c>
      <c r="H513" s="8" t="e">
        <f>VLOOKUP($D513,설문!$C$2:$G$444,5,FALSE)</f>
        <v>#N/A</v>
      </c>
    </row>
    <row r="514" spans="1:8">
      <c r="A514" s="6" t="s">
        <v>4871</v>
      </c>
      <c r="B514" s="7" t="s">
        <v>4891</v>
      </c>
      <c r="C514" s="7" t="s">
        <v>9</v>
      </c>
      <c r="D514" s="7" t="s">
        <v>4892</v>
      </c>
      <c r="E514" s="6" t="s">
        <v>4893</v>
      </c>
      <c r="F514" s="8" t="e">
        <f>VLOOKUP($D514,설문!$C$2:$G$444,3,FALSE)</f>
        <v>#N/A</v>
      </c>
      <c r="G514" s="8" t="e">
        <f>VLOOKUP($D514,설문!$C$2:$G$444,4,FALSE)</f>
        <v>#N/A</v>
      </c>
      <c r="H514" s="8" t="e">
        <f>VLOOKUP($D514,설문!$C$2:$G$444,5,FALSE)</f>
        <v>#N/A</v>
      </c>
    </row>
    <row r="515" spans="1:8">
      <c r="A515" s="6" t="s">
        <v>4871</v>
      </c>
      <c r="B515" s="7" t="s">
        <v>4894</v>
      </c>
      <c r="C515" s="7" t="s">
        <v>9</v>
      </c>
      <c r="D515" s="7" t="s">
        <v>4895</v>
      </c>
      <c r="E515" s="6" t="s">
        <v>4896</v>
      </c>
      <c r="F515" s="8" t="e">
        <f>VLOOKUP($D515,설문!$C$2:$G$444,3,FALSE)</f>
        <v>#N/A</v>
      </c>
      <c r="G515" s="8" t="e">
        <f>VLOOKUP($D515,설문!$C$2:$G$444,4,FALSE)</f>
        <v>#N/A</v>
      </c>
      <c r="H515" s="8" t="e">
        <f>VLOOKUP($D515,설문!$C$2:$G$444,5,FALSE)</f>
        <v>#N/A</v>
      </c>
    </row>
    <row r="516" spans="1:8">
      <c r="A516" s="6" t="s">
        <v>4871</v>
      </c>
      <c r="B516" s="7" t="s">
        <v>4897</v>
      </c>
      <c r="C516" s="7" t="s">
        <v>9</v>
      </c>
      <c r="D516" s="7" t="s">
        <v>4898</v>
      </c>
      <c r="E516" s="6" t="s">
        <v>4899</v>
      </c>
      <c r="F516" s="8" t="e">
        <f>VLOOKUP($D516,설문!$C$2:$G$444,3,FALSE)</f>
        <v>#N/A</v>
      </c>
      <c r="G516" s="8" t="e">
        <f>VLOOKUP($D516,설문!$C$2:$G$444,4,FALSE)</f>
        <v>#N/A</v>
      </c>
      <c r="H516" s="8" t="e">
        <f>VLOOKUP($D516,설문!$C$2:$G$444,5,FALSE)</f>
        <v>#N/A</v>
      </c>
    </row>
    <row r="517" spans="1:8">
      <c r="A517" s="6" t="s">
        <v>4871</v>
      </c>
      <c r="B517" s="7" t="s">
        <v>4900</v>
      </c>
      <c r="C517" s="7" t="s">
        <v>9</v>
      </c>
      <c r="D517" s="7" t="s">
        <v>4901</v>
      </c>
      <c r="E517" s="6" t="s">
        <v>4902</v>
      </c>
      <c r="F517" s="8" t="e">
        <f>VLOOKUP($D517,설문!$C$2:$G$444,3,FALSE)</f>
        <v>#N/A</v>
      </c>
      <c r="G517" s="8" t="e">
        <f>VLOOKUP($D517,설문!$C$2:$G$444,4,FALSE)</f>
        <v>#N/A</v>
      </c>
      <c r="H517" s="8" t="e">
        <f>VLOOKUP($D517,설문!$C$2:$G$444,5,FALSE)</f>
        <v>#N/A</v>
      </c>
    </row>
    <row r="518" spans="1:8">
      <c r="A518" s="6" t="s">
        <v>4871</v>
      </c>
      <c r="B518" s="7" t="s">
        <v>4903</v>
      </c>
      <c r="C518" s="7" t="s">
        <v>9</v>
      </c>
      <c r="D518" s="7" t="s">
        <v>4904</v>
      </c>
      <c r="E518" s="6" t="s">
        <v>4905</v>
      </c>
      <c r="F518" s="8" t="e">
        <f>VLOOKUP($D518,설문!$C$2:$G$444,3,FALSE)</f>
        <v>#N/A</v>
      </c>
      <c r="G518" s="8" t="e">
        <f>VLOOKUP($D518,설문!$C$2:$G$444,4,FALSE)</f>
        <v>#N/A</v>
      </c>
      <c r="H518" s="8" t="e">
        <f>VLOOKUP($D518,설문!$C$2:$G$444,5,FALSE)</f>
        <v>#N/A</v>
      </c>
    </row>
    <row r="519" spans="1:8">
      <c r="A519" s="6" t="s">
        <v>4871</v>
      </c>
      <c r="B519" s="7" t="s">
        <v>4906</v>
      </c>
      <c r="C519" s="7" t="s">
        <v>9</v>
      </c>
      <c r="D519" s="7" t="s">
        <v>4907</v>
      </c>
      <c r="E519" s="6" t="s">
        <v>4908</v>
      </c>
      <c r="F519" s="8" t="e">
        <f>VLOOKUP($D519,설문!$C$2:$G$444,3,FALSE)</f>
        <v>#N/A</v>
      </c>
      <c r="G519" s="8" t="e">
        <f>VLOOKUP($D519,설문!$C$2:$G$444,4,FALSE)</f>
        <v>#N/A</v>
      </c>
      <c r="H519" s="8" t="e">
        <f>VLOOKUP($D519,설문!$C$2:$G$444,5,FALSE)</f>
        <v>#N/A</v>
      </c>
    </row>
    <row r="520" spans="1:8">
      <c r="A520" s="6" t="s">
        <v>4871</v>
      </c>
      <c r="B520" s="7" t="s">
        <v>4909</v>
      </c>
      <c r="C520" s="7" t="s">
        <v>9</v>
      </c>
      <c r="D520" s="7" t="s">
        <v>4910</v>
      </c>
      <c r="E520" s="6" t="s">
        <v>4911</v>
      </c>
      <c r="F520" s="8" t="e">
        <f>VLOOKUP($D520,설문!$C$2:$G$444,3,FALSE)</f>
        <v>#N/A</v>
      </c>
      <c r="G520" s="8" t="e">
        <f>VLOOKUP($D520,설문!$C$2:$G$444,4,FALSE)</f>
        <v>#N/A</v>
      </c>
      <c r="H520" s="8" t="e">
        <f>VLOOKUP($D520,설문!$C$2:$G$444,5,FALSE)</f>
        <v>#N/A</v>
      </c>
    </row>
    <row r="521" spans="1:8">
      <c r="A521" s="6" t="s">
        <v>4871</v>
      </c>
      <c r="B521" s="7" t="s">
        <v>4912</v>
      </c>
      <c r="C521" s="7" t="s">
        <v>4912</v>
      </c>
      <c r="D521" s="7" t="s">
        <v>4913</v>
      </c>
      <c r="E521" s="6" t="s">
        <v>4881</v>
      </c>
      <c r="F521" s="8" t="e">
        <f>VLOOKUP($D521,설문!$C$2:$G$444,3,FALSE)</f>
        <v>#N/A</v>
      </c>
      <c r="G521" s="8" t="e">
        <f>VLOOKUP($D521,설문!$C$2:$G$444,4,FALSE)</f>
        <v>#N/A</v>
      </c>
      <c r="H521" s="8" t="e">
        <f>VLOOKUP($D521,설문!$C$2:$G$444,5,FALSE)</f>
        <v>#N/A</v>
      </c>
    </row>
    <row r="522" spans="1:8">
      <c r="A522" s="6" t="s">
        <v>4871</v>
      </c>
      <c r="B522" s="7" t="s">
        <v>4914</v>
      </c>
      <c r="C522" s="7" t="s">
        <v>4915</v>
      </c>
      <c r="D522" s="7" t="s">
        <v>4916</v>
      </c>
      <c r="E522" s="6" t="s">
        <v>4917</v>
      </c>
      <c r="F522" s="8" t="e">
        <f>VLOOKUP($D522,설문!$C$2:$G$444,3,FALSE)</f>
        <v>#N/A</v>
      </c>
      <c r="G522" s="8" t="e">
        <f>VLOOKUP($D522,설문!$C$2:$G$444,4,FALSE)</f>
        <v>#N/A</v>
      </c>
      <c r="H522" s="8" t="e">
        <f>VLOOKUP($D522,설문!$C$2:$G$444,5,FALSE)</f>
        <v>#N/A</v>
      </c>
    </row>
    <row r="523" spans="1:8">
      <c r="A523" s="6" t="s">
        <v>4871</v>
      </c>
      <c r="B523" s="7" t="s">
        <v>4918</v>
      </c>
      <c r="C523" s="7" t="s">
        <v>4919</v>
      </c>
      <c r="D523" s="7" t="s">
        <v>4920</v>
      </c>
      <c r="E523" s="6" t="s">
        <v>4921</v>
      </c>
      <c r="F523" s="8" t="e">
        <f>VLOOKUP($D523,설문!$C$2:$G$444,3,FALSE)</f>
        <v>#N/A</v>
      </c>
      <c r="G523" s="8" t="e">
        <f>VLOOKUP($D523,설문!$C$2:$G$444,4,FALSE)</f>
        <v>#N/A</v>
      </c>
      <c r="H523" s="8" t="e">
        <f>VLOOKUP($D523,설문!$C$2:$G$444,5,FALSE)</f>
        <v>#N/A</v>
      </c>
    </row>
    <row r="524" spans="1:8">
      <c r="A524" s="6" t="s">
        <v>4871</v>
      </c>
      <c r="B524" s="7" t="s">
        <v>4922</v>
      </c>
      <c r="C524" s="7" t="s">
        <v>4919</v>
      </c>
      <c r="D524" s="7" t="s">
        <v>4923</v>
      </c>
      <c r="E524" s="6" t="s">
        <v>4924</v>
      </c>
      <c r="F524" s="8" t="e">
        <f>VLOOKUP($D524,설문!$C$2:$G$444,3,FALSE)</f>
        <v>#N/A</v>
      </c>
      <c r="G524" s="8" t="e">
        <f>VLOOKUP($D524,설문!$C$2:$G$444,4,FALSE)</f>
        <v>#N/A</v>
      </c>
      <c r="H524" s="8" t="e">
        <f>VLOOKUP($D524,설문!$C$2:$G$444,5,FALSE)</f>
        <v>#N/A</v>
      </c>
    </row>
    <row r="525" spans="1:8">
      <c r="A525" s="6" t="s">
        <v>4871</v>
      </c>
      <c r="B525" s="7" t="s">
        <v>4925</v>
      </c>
      <c r="C525" s="7" t="s">
        <v>4926</v>
      </c>
      <c r="D525" s="7" t="s">
        <v>4927</v>
      </c>
      <c r="E525" s="6" t="s">
        <v>4928</v>
      </c>
      <c r="F525" s="8" t="e">
        <f>VLOOKUP($D525,설문!$C$2:$G$444,3,FALSE)</f>
        <v>#N/A</v>
      </c>
      <c r="G525" s="8" t="e">
        <f>VLOOKUP($D525,설문!$C$2:$G$444,4,FALSE)</f>
        <v>#N/A</v>
      </c>
      <c r="H525" s="8" t="e">
        <f>VLOOKUP($D525,설문!$C$2:$G$444,5,FALSE)</f>
        <v>#N/A</v>
      </c>
    </row>
    <row r="526" spans="1:8">
      <c r="A526" s="6" t="s">
        <v>4871</v>
      </c>
      <c r="B526" s="7" t="s">
        <v>4929</v>
      </c>
      <c r="C526" s="7" t="s">
        <v>712</v>
      </c>
      <c r="D526" s="7" t="s">
        <v>4930</v>
      </c>
      <c r="E526" s="6" t="s">
        <v>4931</v>
      </c>
      <c r="F526" s="8" t="e">
        <f>VLOOKUP($D526,설문!$C$2:$G$444,3,FALSE)</f>
        <v>#N/A</v>
      </c>
      <c r="G526" s="8" t="e">
        <f>VLOOKUP($D526,설문!$C$2:$G$444,4,FALSE)</f>
        <v>#N/A</v>
      </c>
      <c r="H526" s="8" t="e">
        <f>VLOOKUP($D526,설문!$C$2:$G$444,5,FALSE)</f>
        <v>#N/A</v>
      </c>
    </row>
    <row r="527" spans="1:8">
      <c r="A527" s="6" t="s">
        <v>4871</v>
      </c>
      <c r="B527" s="7" t="s">
        <v>4932</v>
      </c>
      <c r="C527" s="7" t="s">
        <v>712</v>
      </c>
      <c r="D527" s="7" t="s">
        <v>4933</v>
      </c>
      <c r="E527" s="6" t="s">
        <v>4934</v>
      </c>
      <c r="F527" s="8" t="e">
        <f>VLOOKUP($D527,설문!$C$2:$G$444,3,FALSE)</f>
        <v>#N/A</v>
      </c>
      <c r="G527" s="8" t="e">
        <f>VLOOKUP($D527,설문!$C$2:$G$444,4,FALSE)</f>
        <v>#N/A</v>
      </c>
      <c r="H527" s="8" t="e">
        <f>VLOOKUP($D527,설문!$C$2:$G$444,5,FALSE)</f>
        <v>#N/A</v>
      </c>
    </row>
    <row r="528" spans="1:8">
      <c r="A528" s="6" t="s">
        <v>4871</v>
      </c>
      <c r="B528" s="7" t="s">
        <v>4935</v>
      </c>
      <c r="C528" s="7" t="s">
        <v>4926</v>
      </c>
      <c r="D528" s="7" t="s">
        <v>4936</v>
      </c>
      <c r="E528" s="6" t="s">
        <v>4937</v>
      </c>
      <c r="F528" s="8" t="e">
        <f>VLOOKUP($D528,설문!$C$2:$G$444,3,FALSE)</f>
        <v>#N/A</v>
      </c>
      <c r="G528" s="8" t="e">
        <f>VLOOKUP($D528,설문!$C$2:$G$444,4,FALSE)</f>
        <v>#N/A</v>
      </c>
      <c r="H528" s="8" t="e">
        <f>VLOOKUP($D528,설문!$C$2:$G$444,5,FALSE)</f>
        <v>#N/A</v>
      </c>
    </row>
    <row r="529" spans="1:8">
      <c r="A529" s="6" t="s">
        <v>4871</v>
      </c>
      <c r="B529" s="7" t="s">
        <v>4938</v>
      </c>
      <c r="C529" s="7" t="s">
        <v>4873</v>
      </c>
      <c r="D529" s="7" t="s">
        <v>4939</v>
      </c>
      <c r="E529" s="6" t="s">
        <v>62</v>
      </c>
      <c r="F529" s="8" t="e">
        <f>VLOOKUP($D529,설문!$C$2:$G$444,3,FALSE)</f>
        <v>#N/A</v>
      </c>
      <c r="G529" s="8" t="e">
        <f>VLOOKUP($D529,설문!$C$2:$G$444,4,FALSE)</f>
        <v>#N/A</v>
      </c>
      <c r="H529" s="8" t="e">
        <f>VLOOKUP($D529,설문!$C$2:$G$444,5,FALSE)</f>
        <v>#N/A</v>
      </c>
    </row>
    <row r="530" spans="1:8">
      <c r="A530" s="6" t="s">
        <v>4871</v>
      </c>
      <c r="B530" s="7" t="s">
        <v>4940</v>
      </c>
      <c r="C530" s="7" t="s">
        <v>9</v>
      </c>
      <c r="D530" s="7" t="s">
        <v>4941</v>
      </c>
      <c r="E530" s="6" t="s">
        <v>4942</v>
      </c>
      <c r="F530" s="8" t="e">
        <f>VLOOKUP($D530,설문!$C$2:$G$444,3,FALSE)</f>
        <v>#N/A</v>
      </c>
      <c r="G530" s="8" t="e">
        <f>VLOOKUP($D530,설문!$C$2:$G$444,4,FALSE)</f>
        <v>#N/A</v>
      </c>
      <c r="H530" s="8" t="e">
        <f>VLOOKUP($D530,설문!$C$2:$G$444,5,FALSE)</f>
        <v>#N/A</v>
      </c>
    </row>
    <row r="531" spans="1:8">
      <c r="A531" s="6" t="s">
        <v>4871</v>
      </c>
      <c r="B531" s="7" t="s">
        <v>4943</v>
      </c>
      <c r="C531" s="7" t="s">
        <v>9</v>
      </c>
      <c r="D531" s="7" t="s">
        <v>4944</v>
      </c>
      <c r="E531" s="6" t="s">
        <v>4945</v>
      </c>
      <c r="F531" s="8" t="e">
        <f>VLOOKUP($D531,설문!$C$2:$G$444,3,FALSE)</f>
        <v>#N/A</v>
      </c>
      <c r="G531" s="8" t="e">
        <f>VLOOKUP($D531,설문!$C$2:$G$444,4,FALSE)</f>
        <v>#N/A</v>
      </c>
      <c r="H531" s="8" t="e">
        <f>VLOOKUP($D531,설문!$C$2:$G$444,5,FALSE)</f>
        <v>#N/A</v>
      </c>
    </row>
    <row r="532" spans="1:8">
      <c r="A532" s="6" t="s">
        <v>4871</v>
      </c>
      <c r="B532" s="7" t="s">
        <v>4946</v>
      </c>
      <c r="C532" s="7" t="s">
        <v>9</v>
      </c>
      <c r="D532" s="7" t="s">
        <v>4947</v>
      </c>
      <c r="E532" s="6" t="s">
        <v>4948</v>
      </c>
      <c r="F532" s="8" t="e">
        <f>VLOOKUP($D532,설문!$C$2:$G$444,3,FALSE)</f>
        <v>#N/A</v>
      </c>
      <c r="G532" s="8" t="e">
        <f>VLOOKUP($D532,설문!$C$2:$G$444,4,FALSE)</f>
        <v>#N/A</v>
      </c>
      <c r="H532" s="8" t="e">
        <f>VLOOKUP($D532,설문!$C$2:$G$444,5,FALSE)</f>
        <v>#N/A</v>
      </c>
    </row>
    <row r="533" spans="1:8">
      <c r="A533" s="6" t="s">
        <v>4871</v>
      </c>
      <c r="B533" s="7" t="s">
        <v>4949</v>
      </c>
      <c r="C533" s="7" t="s">
        <v>9</v>
      </c>
      <c r="D533" s="7" t="s">
        <v>4950</v>
      </c>
      <c r="E533" s="6" t="s">
        <v>4951</v>
      </c>
      <c r="F533" s="8" t="e">
        <f>VLOOKUP($D533,설문!$C$2:$G$444,3,FALSE)</f>
        <v>#N/A</v>
      </c>
      <c r="G533" s="8" t="e">
        <f>VLOOKUP($D533,설문!$C$2:$G$444,4,FALSE)</f>
        <v>#N/A</v>
      </c>
      <c r="H533" s="8" t="e">
        <f>VLOOKUP($D533,설문!$C$2:$G$444,5,FALSE)</f>
        <v>#N/A</v>
      </c>
    </row>
    <row r="534" spans="1:8">
      <c r="A534" s="6" t="s">
        <v>4871</v>
      </c>
      <c r="B534" s="7" t="s">
        <v>4952</v>
      </c>
      <c r="C534" s="7" t="s">
        <v>4953</v>
      </c>
      <c r="D534" s="7" t="s">
        <v>4954</v>
      </c>
      <c r="E534" s="6" t="s">
        <v>4955</v>
      </c>
      <c r="F534" s="8" t="e">
        <f>VLOOKUP($D534,설문!$C$2:$G$444,3,FALSE)</f>
        <v>#N/A</v>
      </c>
      <c r="G534" s="8" t="e">
        <f>VLOOKUP($D534,설문!$C$2:$G$444,4,FALSE)</f>
        <v>#N/A</v>
      </c>
      <c r="H534" s="8" t="e">
        <f>VLOOKUP($D534,설문!$C$2:$G$444,5,FALSE)</f>
        <v>#N/A</v>
      </c>
    </row>
    <row r="535" spans="1:8">
      <c r="A535" s="6" t="s">
        <v>29</v>
      </c>
      <c r="B535" s="7" t="s">
        <v>30</v>
      </c>
      <c r="C535" s="7" t="s">
        <v>31</v>
      </c>
      <c r="D535" s="7" t="s">
        <v>32</v>
      </c>
      <c r="E535" s="6" t="s">
        <v>33</v>
      </c>
      <c r="F535" s="8" t="e">
        <f>VLOOKUP($D535,설문!$C$2:$G$444,3,FALSE)</f>
        <v>#N/A</v>
      </c>
      <c r="G535" s="8" t="e">
        <f>VLOOKUP($D535,설문!$C$2:$G$444,4,FALSE)</f>
        <v>#N/A</v>
      </c>
      <c r="H535" s="8" t="e">
        <f>VLOOKUP($D535,설문!$C$2:$G$444,5,FALSE)</f>
        <v>#N/A</v>
      </c>
    </row>
    <row r="536" spans="1:8">
      <c r="A536" s="6" t="s">
        <v>29</v>
      </c>
      <c r="B536" s="7" t="s">
        <v>30</v>
      </c>
      <c r="C536" s="7" t="s">
        <v>43</v>
      </c>
      <c r="D536" s="7" t="s">
        <v>44</v>
      </c>
      <c r="E536" s="6" t="s">
        <v>45</v>
      </c>
      <c r="F536" s="8" t="e">
        <f>VLOOKUP($D536,설문!$C$2:$G$444,3,FALSE)</f>
        <v>#N/A</v>
      </c>
      <c r="G536" s="8" t="e">
        <f>VLOOKUP($D536,설문!$C$2:$G$444,4,FALSE)</f>
        <v>#N/A</v>
      </c>
      <c r="H536" s="8" t="e">
        <f>VLOOKUP($D536,설문!$C$2:$G$444,5,FALSE)</f>
        <v>#N/A</v>
      </c>
    </row>
    <row r="537" spans="1:8">
      <c r="A537" s="6" t="s">
        <v>29</v>
      </c>
      <c r="B537" s="7" t="s">
        <v>795</v>
      </c>
      <c r="C537" s="7" t="s">
        <v>796</v>
      </c>
      <c r="D537" s="7" t="s">
        <v>797</v>
      </c>
      <c r="E537" s="6" t="s">
        <v>798</v>
      </c>
      <c r="F537" s="8" t="e">
        <f>VLOOKUP($D537,설문!$C$2:$G$444,3,FALSE)</f>
        <v>#N/A</v>
      </c>
      <c r="G537" s="8" t="e">
        <f>VLOOKUP($D537,설문!$C$2:$G$444,4,FALSE)</f>
        <v>#N/A</v>
      </c>
      <c r="H537" s="8" t="e">
        <f>VLOOKUP($D537,설문!$C$2:$G$444,5,FALSE)</f>
        <v>#N/A</v>
      </c>
    </row>
    <row r="538" spans="1:8">
      <c r="A538" s="6" t="s">
        <v>29</v>
      </c>
      <c r="B538" s="7" t="s">
        <v>30</v>
      </c>
      <c r="C538" s="7" t="s">
        <v>30</v>
      </c>
      <c r="D538" s="7" t="s">
        <v>873</v>
      </c>
      <c r="E538" s="6" t="s">
        <v>874</v>
      </c>
      <c r="F538" s="8" t="e">
        <f>VLOOKUP($D538,설문!$C$2:$G$444,3,FALSE)</f>
        <v>#N/A</v>
      </c>
      <c r="G538" s="8" t="e">
        <f>VLOOKUP($D538,설문!$C$2:$G$444,4,FALSE)</f>
        <v>#N/A</v>
      </c>
      <c r="H538" s="8" t="e">
        <f>VLOOKUP($D538,설문!$C$2:$G$444,5,FALSE)</f>
        <v>#N/A</v>
      </c>
    </row>
    <row r="539" spans="1:8">
      <c r="A539" s="6" t="s">
        <v>29</v>
      </c>
      <c r="B539" s="7" t="s">
        <v>30</v>
      </c>
      <c r="C539" s="7" t="s">
        <v>30</v>
      </c>
      <c r="D539" s="7" t="s">
        <v>1527</v>
      </c>
      <c r="E539" s="6" t="s">
        <v>1528</v>
      </c>
      <c r="F539" s="8" t="e">
        <f>VLOOKUP($D539,설문!$C$2:$G$444,3,FALSE)</f>
        <v>#N/A</v>
      </c>
      <c r="G539" s="8" t="e">
        <f>VLOOKUP($D539,설문!$C$2:$G$444,4,FALSE)</f>
        <v>#N/A</v>
      </c>
      <c r="H539" s="8" t="e">
        <f>VLOOKUP($D539,설문!$C$2:$G$444,5,FALSE)</f>
        <v>#N/A</v>
      </c>
    </row>
    <row r="540" spans="1:8">
      <c r="A540" s="6" t="s">
        <v>29</v>
      </c>
      <c r="B540" s="7" t="s">
        <v>1756</v>
      </c>
      <c r="C540" s="7" t="s">
        <v>1756</v>
      </c>
      <c r="D540" s="7" t="s">
        <v>1757</v>
      </c>
      <c r="E540" s="6" t="s">
        <v>1758</v>
      </c>
      <c r="F540" s="8" t="e">
        <f>VLOOKUP($D540,설문!$C$2:$G$444,3,FALSE)</f>
        <v>#N/A</v>
      </c>
      <c r="G540" s="8" t="e">
        <f>VLOOKUP($D540,설문!$C$2:$G$444,4,FALSE)</f>
        <v>#N/A</v>
      </c>
      <c r="H540" s="8" t="e">
        <f>VLOOKUP($D540,설문!$C$2:$G$444,5,FALSE)</f>
        <v>#N/A</v>
      </c>
    </row>
    <row r="541" spans="1:8">
      <c r="A541" s="6" t="s">
        <v>29</v>
      </c>
      <c r="B541" s="7" t="s">
        <v>795</v>
      </c>
      <c r="C541" s="7" t="s">
        <v>796</v>
      </c>
      <c r="D541" s="7" t="s">
        <v>1780</v>
      </c>
      <c r="E541" s="6" t="s">
        <v>1781</v>
      </c>
      <c r="F541" s="8" t="str">
        <f>VLOOKUP($D541,설문!$C$2:$G$444,3,FALSE)</f>
        <v>펀드매니저,딜러</v>
      </c>
      <c r="G541" s="8" t="str">
        <f>VLOOKUP($D541,설문!$C$2:$G$444,4,FALSE)</f>
        <v>금융회사</v>
      </c>
      <c r="H541" s="8" t="str">
        <f>VLOOKUP($D541,설문!$C$2:$G$444,5,FALSE)</f>
        <v>국내주식/지수,국내주식/지수관련파생</v>
      </c>
    </row>
    <row r="542" spans="1:8">
      <c r="A542" s="6" t="s">
        <v>29</v>
      </c>
      <c r="B542" s="7" t="s">
        <v>4130</v>
      </c>
      <c r="C542" s="7" t="s">
        <v>4130</v>
      </c>
      <c r="D542" s="7" t="s">
        <v>4131</v>
      </c>
      <c r="E542" s="6" t="s">
        <v>4132</v>
      </c>
      <c r="F542" s="8" t="e">
        <f>VLOOKUP($D542,설문!$C$2:$G$444,3,FALSE)</f>
        <v>#N/A</v>
      </c>
      <c r="G542" s="8" t="e">
        <f>VLOOKUP($D542,설문!$C$2:$G$444,4,FALSE)</f>
        <v>#N/A</v>
      </c>
      <c r="H542" s="8" t="e">
        <f>VLOOKUP($D542,설문!$C$2:$G$444,5,FALSE)</f>
        <v>#N/A</v>
      </c>
    </row>
    <row r="543" spans="1:8">
      <c r="A543" s="6" t="s">
        <v>29</v>
      </c>
      <c r="B543" s="7" t="s">
        <v>1756</v>
      </c>
      <c r="C543" s="7" t="s">
        <v>1756</v>
      </c>
      <c r="D543" s="7" t="s">
        <v>4133</v>
      </c>
      <c r="E543" s="6" t="s">
        <v>4134</v>
      </c>
      <c r="F543" s="8" t="e">
        <f>VLOOKUP($D543,설문!$C$2:$G$444,3,FALSE)</f>
        <v>#N/A</v>
      </c>
      <c r="G543" s="8" t="e">
        <f>VLOOKUP($D543,설문!$C$2:$G$444,4,FALSE)</f>
        <v>#N/A</v>
      </c>
      <c r="H543" s="8" t="e">
        <f>VLOOKUP($D543,설문!$C$2:$G$444,5,FALSE)</f>
        <v>#N/A</v>
      </c>
    </row>
    <row r="544" spans="1:8">
      <c r="A544" s="6" t="s">
        <v>29</v>
      </c>
      <c r="B544" s="7" t="s">
        <v>1756</v>
      </c>
      <c r="C544" s="7" t="s">
        <v>1756</v>
      </c>
      <c r="D544" s="7" t="s">
        <v>4135</v>
      </c>
      <c r="E544" s="6" t="s">
        <v>4136</v>
      </c>
      <c r="F544" s="8" t="str">
        <f>VLOOKUP($D544,설문!$C$2:$G$444,3,FALSE)</f>
        <v>리스크관리(미들)</v>
      </c>
      <c r="G544" s="8" t="str">
        <f>VLOOKUP($D544,설문!$C$2:$G$444,4,FALSE)</f>
        <v>금융회사</v>
      </c>
      <c r="H544" s="8" t="str">
        <f>VLOOKUP($D544,설문!$C$2:$G$444,5,FALSE)</f>
        <v>국내주식/지수,회사채,원화 구조화채권,외화 구조화채권</v>
      </c>
    </row>
    <row r="545" spans="1:8">
      <c r="A545" s="6" t="s">
        <v>29</v>
      </c>
      <c r="B545" s="7" t="s">
        <v>1756</v>
      </c>
      <c r="C545" s="7" t="s">
        <v>1756</v>
      </c>
      <c r="D545" s="7" t="s">
        <v>4137</v>
      </c>
      <c r="E545" s="6" t="s">
        <v>4138</v>
      </c>
      <c r="F545" s="8" t="e">
        <f>VLOOKUP($D545,설문!$C$2:$G$444,3,FALSE)</f>
        <v>#N/A</v>
      </c>
      <c r="G545" s="8" t="e">
        <f>VLOOKUP($D545,설문!$C$2:$G$444,4,FALSE)</f>
        <v>#N/A</v>
      </c>
      <c r="H545" s="8" t="e">
        <f>VLOOKUP($D545,설문!$C$2:$G$444,5,FALSE)</f>
        <v>#N/A</v>
      </c>
    </row>
    <row r="546" spans="1:8">
      <c r="A546" s="6" t="s">
        <v>29</v>
      </c>
      <c r="B546" s="7" t="s">
        <v>1756</v>
      </c>
      <c r="C546" s="7" t="s">
        <v>1756</v>
      </c>
      <c r="D546" s="7" t="s">
        <v>4139</v>
      </c>
      <c r="E546" s="6" t="s">
        <v>1528</v>
      </c>
      <c r="F546" s="8" t="e">
        <f>VLOOKUP($D546,설문!$C$2:$G$444,3,FALSE)</f>
        <v>#N/A</v>
      </c>
      <c r="G546" s="8" t="e">
        <f>VLOOKUP($D546,설문!$C$2:$G$444,4,FALSE)</f>
        <v>#N/A</v>
      </c>
      <c r="H546" s="8" t="e">
        <f>VLOOKUP($D546,설문!$C$2:$G$444,5,FALSE)</f>
        <v>#N/A</v>
      </c>
    </row>
    <row r="547" spans="1:8">
      <c r="A547" s="6" t="s">
        <v>29</v>
      </c>
      <c r="B547" s="7" t="s">
        <v>1756</v>
      </c>
      <c r="C547" s="7" t="s">
        <v>1756</v>
      </c>
      <c r="D547" s="7" t="s">
        <v>4140</v>
      </c>
      <c r="E547" s="6" t="s">
        <v>2179</v>
      </c>
      <c r="F547" s="8" t="e">
        <f>VLOOKUP($D547,설문!$C$2:$G$444,3,FALSE)</f>
        <v>#N/A</v>
      </c>
      <c r="G547" s="8" t="e">
        <f>VLOOKUP($D547,설문!$C$2:$G$444,4,FALSE)</f>
        <v>#N/A</v>
      </c>
      <c r="H547" s="8" t="e">
        <f>VLOOKUP($D547,설문!$C$2:$G$444,5,FALSE)</f>
        <v>#N/A</v>
      </c>
    </row>
    <row r="548" spans="1:8">
      <c r="A548" s="6" t="s">
        <v>29</v>
      </c>
      <c r="B548" s="7" t="s">
        <v>1756</v>
      </c>
      <c r="C548" s="7" t="s">
        <v>1756</v>
      </c>
      <c r="D548" s="7" t="s">
        <v>4141</v>
      </c>
      <c r="E548" s="6" t="s">
        <v>4142</v>
      </c>
      <c r="F548" s="8" t="e">
        <f>VLOOKUP($D548,설문!$C$2:$G$444,3,FALSE)</f>
        <v>#N/A</v>
      </c>
      <c r="G548" s="8" t="e">
        <f>VLOOKUP($D548,설문!$C$2:$G$444,4,FALSE)</f>
        <v>#N/A</v>
      </c>
      <c r="H548" s="8" t="e">
        <f>VLOOKUP($D548,설문!$C$2:$G$444,5,FALSE)</f>
        <v>#N/A</v>
      </c>
    </row>
    <row r="549" spans="1:8">
      <c r="A549" s="6" t="s">
        <v>29</v>
      </c>
      <c r="B549" s="7" t="s">
        <v>1756</v>
      </c>
      <c r="C549" s="7" t="s">
        <v>1756</v>
      </c>
      <c r="D549" s="7" t="s">
        <v>4143</v>
      </c>
      <c r="E549" s="6" t="s">
        <v>4144</v>
      </c>
      <c r="F549" s="8" t="e">
        <f>VLOOKUP($D549,설문!$C$2:$G$444,3,FALSE)</f>
        <v>#N/A</v>
      </c>
      <c r="G549" s="8" t="e">
        <f>VLOOKUP($D549,설문!$C$2:$G$444,4,FALSE)</f>
        <v>#N/A</v>
      </c>
      <c r="H549" s="8" t="e">
        <f>VLOOKUP($D549,설문!$C$2:$G$444,5,FALSE)</f>
        <v>#N/A</v>
      </c>
    </row>
    <row r="550" spans="1:8">
      <c r="A550" s="6" t="s">
        <v>29</v>
      </c>
      <c r="B550" s="7" t="s">
        <v>1756</v>
      </c>
      <c r="C550" s="7" t="s">
        <v>1756</v>
      </c>
      <c r="D550" s="7" t="s">
        <v>4145</v>
      </c>
      <c r="E550" s="6" t="s">
        <v>4146</v>
      </c>
      <c r="F550" s="8" t="e">
        <f>VLOOKUP($D550,설문!$C$2:$G$444,3,FALSE)</f>
        <v>#N/A</v>
      </c>
      <c r="G550" s="8" t="e">
        <f>VLOOKUP($D550,설문!$C$2:$G$444,4,FALSE)</f>
        <v>#N/A</v>
      </c>
      <c r="H550" s="8" t="e">
        <f>VLOOKUP($D550,설문!$C$2:$G$444,5,FALSE)</f>
        <v>#N/A</v>
      </c>
    </row>
    <row r="551" spans="1:8">
      <c r="A551" s="6" t="s">
        <v>29</v>
      </c>
      <c r="B551" s="7" t="s">
        <v>1756</v>
      </c>
      <c r="C551" s="7" t="s">
        <v>1756</v>
      </c>
      <c r="D551" s="7" t="s">
        <v>4147</v>
      </c>
      <c r="E551" s="6" t="s">
        <v>4148</v>
      </c>
      <c r="F551" s="8" t="e">
        <f>VLOOKUP($D551,설문!$C$2:$G$444,3,FALSE)</f>
        <v>#N/A</v>
      </c>
      <c r="G551" s="8" t="e">
        <f>VLOOKUP($D551,설문!$C$2:$G$444,4,FALSE)</f>
        <v>#N/A</v>
      </c>
      <c r="H551" s="8" t="e">
        <f>VLOOKUP($D551,설문!$C$2:$G$444,5,FALSE)</f>
        <v>#N/A</v>
      </c>
    </row>
    <row r="552" spans="1:8">
      <c r="A552" s="6" t="s">
        <v>29</v>
      </c>
      <c r="B552" s="7" t="s">
        <v>4149</v>
      </c>
      <c r="C552" s="7" t="s">
        <v>4150</v>
      </c>
      <c r="D552" s="7" t="s">
        <v>4151</v>
      </c>
      <c r="E552" s="6" t="s">
        <v>4152</v>
      </c>
      <c r="F552" s="8" t="e">
        <f>VLOOKUP($D552,설문!$C$2:$G$444,3,FALSE)</f>
        <v>#N/A</v>
      </c>
      <c r="G552" s="8" t="e">
        <f>VLOOKUP($D552,설문!$C$2:$G$444,4,FALSE)</f>
        <v>#N/A</v>
      </c>
      <c r="H552" s="8" t="e">
        <f>VLOOKUP($D552,설문!$C$2:$G$444,5,FALSE)</f>
        <v>#N/A</v>
      </c>
    </row>
    <row r="553" spans="1:8">
      <c r="A553" s="6" t="s">
        <v>29</v>
      </c>
      <c r="B553" s="7" t="s">
        <v>4149</v>
      </c>
      <c r="C553" s="7" t="s">
        <v>4153</v>
      </c>
      <c r="D553" s="7" t="s">
        <v>4154</v>
      </c>
      <c r="E553" s="6" t="s">
        <v>4155</v>
      </c>
      <c r="F553" s="8" t="str">
        <f>VLOOKUP($D553,설문!$C$2:$G$444,3,FALSE)</f>
        <v>펀드매니저</v>
      </c>
      <c r="G553" s="8" t="str">
        <f>VLOOKUP($D553,설문!$C$2:$G$444,4,FALSE)</f>
        <v>금융회사</v>
      </c>
      <c r="H553" s="8" t="str">
        <f>VLOOKUP($D553,설문!$C$2:$G$444,5,FALSE)</f>
        <v>대체투자(부동산/인프라)</v>
      </c>
    </row>
    <row r="554" spans="1:8">
      <c r="A554" s="6" t="s">
        <v>29</v>
      </c>
      <c r="B554" s="7" t="s">
        <v>4156</v>
      </c>
      <c r="C554" s="7" t="s">
        <v>725</v>
      </c>
      <c r="D554" s="7" t="s">
        <v>4157</v>
      </c>
      <c r="E554" s="6" t="s">
        <v>4158</v>
      </c>
      <c r="F554" s="8" t="e">
        <f>VLOOKUP($D554,설문!$C$2:$G$444,3,FALSE)</f>
        <v>#N/A</v>
      </c>
      <c r="G554" s="8" t="e">
        <f>VLOOKUP($D554,설문!$C$2:$G$444,4,FALSE)</f>
        <v>#N/A</v>
      </c>
      <c r="H554" s="8" t="e">
        <f>VLOOKUP($D554,설문!$C$2:$G$444,5,FALSE)</f>
        <v>#N/A</v>
      </c>
    </row>
    <row r="555" spans="1:8">
      <c r="A555" s="6" t="s">
        <v>29</v>
      </c>
      <c r="B555" s="7" t="s">
        <v>4156</v>
      </c>
      <c r="C555" s="7" t="s">
        <v>4159</v>
      </c>
      <c r="D555" s="7" t="s">
        <v>4160</v>
      </c>
      <c r="E555" s="6" t="s">
        <v>4161</v>
      </c>
      <c r="F555" s="8" t="e">
        <f>VLOOKUP($D555,설문!$C$2:$G$444,3,FALSE)</f>
        <v>#N/A</v>
      </c>
      <c r="G555" s="8" t="e">
        <f>VLOOKUP($D555,설문!$C$2:$G$444,4,FALSE)</f>
        <v>#N/A</v>
      </c>
      <c r="H555" s="8" t="e">
        <f>VLOOKUP($D555,설문!$C$2:$G$444,5,FALSE)</f>
        <v>#N/A</v>
      </c>
    </row>
    <row r="556" spans="1:8">
      <c r="A556" s="6" t="s">
        <v>29</v>
      </c>
      <c r="B556" s="7" t="s">
        <v>4156</v>
      </c>
      <c r="C556" s="7" t="s">
        <v>725</v>
      </c>
      <c r="D556" s="7" t="s">
        <v>4162</v>
      </c>
      <c r="E556" s="6" t="s">
        <v>4163</v>
      </c>
      <c r="F556" s="8" t="e">
        <f>VLOOKUP($D556,설문!$C$2:$G$444,3,FALSE)</f>
        <v>#N/A</v>
      </c>
      <c r="G556" s="8" t="e">
        <f>VLOOKUP($D556,설문!$C$2:$G$444,4,FALSE)</f>
        <v>#N/A</v>
      </c>
      <c r="H556" s="8" t="e">
        <f>VLOOKUP($D556,설문!$C$2:$G$444,5,FALSE)</f>
        <v>#N/A</v>
      </c>
    </row>
    <row r="557" spans="1:8">
      <c r="A557" s="6" t="s">
        <v>29</v>
      </c>
      <c r="B557" s="7" t="s">
        <v>30</v>
      </c>
      <c r="C557" s="7" t="s">
        <v>2379</v>
      </c>
      <c r="D557" s="7" t="s">
        <v>4164</v>
      </c>
      <c r="E557" s="6" t="s">
        <v>4165</v>
      </c>
      <c r="F557" s="8" t="e">
        <f>VLOOKUP($D557,설문!$C$2:$G$444,3,FALSE)</f>
        <v>#N/A</v>
      </c>
      <c r="G557" s="8" t="e">
        <f>VLOOKUP($D557,설문!$C$2:$G$444,4,FALSE)</f>
        <v>#N/A</v>
      </c>
      <c r="H557" s="8" t="e">
        <f>VLOOKUP($D557,설문!$C$2:$G$444,5,FALSE)</f>
        <v>#N/A</v>
      </c>
    </row>
    <row r="558" spans="1:8">
      <c r="A558" s="6" t="s">
        <v>29</v>
      </c>
      <c r="B558" s="7" t="s">
        <v>795</v>
      </c>
      <c r="C558" s="7" t="s">
        <v>135</v>
      </c>
      <c r="D558" s="7" t="s">
        <v>4166</v>
      </c>
      <c r="E558" s="6" t="s">
        <v>4167</v>
      </c>
      <c r="F558" s="8" t="e">
        <f>VLOOKUP($D558,설문!$C$2:$G$444,3,FALSE)</f>
        <v>#N/A</v>
      </c>
      <c r="G558" s="8" t="e">
        <f>VLOOKUP($D558,설문!$C$2:$G$444,4,FALSE)</f>
        <v>#N/A</v>
      </c>
      <c r="H558" s="8" t="e">
        <f>VLOOKUP($D558,설문!$C$2:$G$444,5,FALSE)</f>
        <v>#N/A</v>
      </c>
    </row>
    <row r="559" spans="1:8">
      <c r="A559" s="6" t="s">
        <v>29</v>
      </c>
      <c r="B559" s="7" t="s">
        <v>795</v>
      </c>
      <c r="C559" s="7" t="s">
        <v>789</v>
      </c>
      <c r="D559" s="7" t="s">
        <v>4168</v>
      </c>
      <c r="E559" s="6" t="s">
        <v>4169</v>
      </c>
      <c r="F559" s="8" t="e">
        <f>VLOOKUP($D559,설문!$C$2:$G$444,3,FALSE)</f>
        <v>#N/A</v>
      </c>
      <c r="G559" s="8" t="e">
        <f>VLOOKUP($D559,설문!$C$2:$G$444,4,FALSE)</f>
        <v>#N/A</v>
      </c>
      <c r="H559" s="8" t="e">
        <f>VLOOKUP($D559,설문!$C$2:$G$444,5,FALSE)</f>
        <v>#N/A</v>
      </c>
    </row>
    <row r="560" spans="1:8">
      <c r="A560" s="6" t="s">
        <v>29</v>
      </c>
      <c r="B560" s="7" t="s">
        <v>4170</v>
      </c>
      <c r="C560" s="7" t="s">
        <v>566</v>
      </c>
      <c r="D560" s="7" t="s">
        <v>4171</v>
      </c>
      <c r="E560" s="6" t="s">
        <v>4172</v>
      </c>
      <c r="F560" s="8" t="e">
        <f>VLOOKUP($D560,설문!$C$2:$G$444,3,FALSE)</f>
        <v>#N/A</v>
      </c>
      <c r="G560" s="8" t="e">
        <f>VLOOKUP($D560,설문!$C$2:$G$444,4,FALSE)</f>
        <v>#N/A</v>
      </c>
      <c r="H560" s="8" t="e">
        <f>VLOOKUP($D560,설문!$C$2:$G$444,5,FALSE)</f>
        <v>#N/A</v>
      </c>
    </row>
    <row r="561" spans="1:8">
      <c r="A561" s="6" t="s">
        <v>29</v>
      </c>
      <c r="B561" s="7" t="s">
        <v>795</v>
      </c>
      <c r="C561" s="7" t="s">
        <v>566</v>
      </c>
      <c r="D561" s="7" t="s">
        <v>4173</v>
      </c>
      <c r="E561" s="6" t="s">
        <v>4174</v>
      </c>
      <c r="F561" s="8" t="e">
        <f>VLOOKUP($D561,설문!$C$2:$G$444,3,FALSE)</f>
        <v>#N/A</v>
      </c>
      <c r="G561" s="8" t="e">
        <f>VLOOKUP($D561,설문!$C$2:$G$444,4,FALSE)</f>
        <v>#N/A</v>
      </c>
      <c r="H561" s="8" t="e">
        <f>VLOOKUP($D561,설문!$C$2:$G$444,5,FALSE)</f>
        <v>#N/A</v>
      </c>
    </row>
    <row r="562" spans="1:8">
      <c r="A562" s="6" t="s">
        <v>29</v>
      </c>
      <c r="B562" s="7" t="s">
        <v>795</v>
      </c>
      <c r="C562" s="7" t="s">
        <v>796</v>
      </c>
      <c r="D562" s="7" t="s">
        <v>4175</v>
      </c>
      <c r="E562" s="6" t="s">
        <v>4176</v>
      </c>
      <c r="F562" s="8" t="e">
        <f>VLOOKUP($D562,설문!$C$2:$G$444,3,FALSE)</f>
        <v>#N/A</v>
      </c>
      <c r="G562" s="8" t="e">
        <f>VLOOKUP($D562,설문!$C$2:$G$444,4,FALSE)</f>
        <v>#N/A</v>
      </c>
      <c r="H562" s="8" t="e">
        <f>VLOOKUP($D562,설문!$C$2:$G$444,5,FALSE)</f>
        <v>#N/A</v>
      </c>
    </row>
    <row r="563" spans="1:8">
      <c r="A563" s="6" t="s">
        <v>29</v>
      </c>
      <c r="B563" s="7" t="s">
        <v>795</v>
      </c>
      <c r="C563" s="7" t="s">
        <v>566</v>
      </c>
      <c r="D563" s="7" t="s">
        <v>4177</v>
      </c>
      <c r="E563" s="6" t="s">
        <v>4178</v>
      </c>
      <c r="F563" s="8" t="e">
        <f>VLOOKUP($D563,설문!$C$2:$G$444,3,FALSE)</f>
        <v>#N/A</v>
      </c>
      <c r="G563" s="8" t="e">
        <f>VLOOKUP($D563,설문!$C$2:$G$444,4,FALSE)</f>
        <v>#N/A</v>
      </c>
      <c r="H563" s="8" t="e">
        <f>VLOOKUP($D563,설문!$C$2:$G$444,5,FALSE)</f>
        <v>#N/A</v>
      </c>
    </row>
    <row r="564" spans="1:8">
      <c r="A564" s="6" t="s">
        <v>29</v>
      </c>
      <c r="B564" s="7" t="s">
        <v>795</v>
      </c>
      <c r="C564" s="7" t="s">
        <v>566</v>
      </c>
      <c r="D564" s="7" t="s">
        <v>4179</v>
      </c>
      <c r="E564" s="6" t="s">
        <v>4180</v>
      </c>
      <c r="F564" s="8" t="e">
        <f>VLOOKUP($D564,설문!$C$2:$G$444,3,FALSE)</f>
        <v>#N/A</v>
      </c>
      <c r="G564" s="8" t="e">
        <f>VLOOKUP($D564,설문!$C$2:$G$444,4,FALSE)</f>
        <v>#N/A</v>
      </c>
      <c r="H564" s="8" t="e">
        <f>VLOOKUP($D564,설문!$C$2:$G$444,5,FALSE)</f>
        <v>#N/A</v>
      </c>
    </row>
    <row r="565" spans="1:8">
      <c r="A565" s="6" t="s">
        <v>29</v>
      </c>
      <c r="B565" s="7" t="s">
        <v>30</v>
      </c>
      <c r="C565" s="7" t="s">
        <v>30</v>
      </c>
      <c r="D565" s="7" t="s">
        <v>4181</v>
      </c>
      <c r="E565" s="6" t="s">
        <v>273</v>
      </c>
      <c r="F565" s="8" t="e">
        <f>VLOOKUP($D565,설문!$C$2:$G$444,3,FALSE)</f>
        <v>#N/A</v>
      </c>
      <c r="G565" s="8" t="e">
        <f>VLOOKUP($D565,설문!$C$2:$G$444,4,FALSE)</f>
        <v>#N/A</v>
      </c>
      <c r="H565" s="8" t="e">
        <f>VLOOKUP($D565,설문!$C$2:$G$444,5,FALSE)</f>
        <v>#N/A</v>
      </c>
    </row>
    <row r="566" spans="1:8">
      <c r="A566" s="6" t="s">
        <v>29</v>
      </c>
      <c r="B566" s="7" t="s">
        <v>30</v>
      </c>
      <c r="C566" s="7" t="s">
        <v>30</v>
      </c>
      <c r="D566" s="7" t="s">
        <v>4182</v>
      </c>
      <c r="E566" s="6" t="s">
        <v>4183</v>
      </c>
      <c r="F566" s="8" t="e">
        <f>VLOOKUP($D566,설문!$C$2:$G$444,3,FALSE)</f>
        <v>#N/A</v>
      </c>
      <c r="G566" s="8" t="e">
        <f>VLOOKUP($D566,설문!$C$2:$G$444,4,FALSE)</f>
        <v>#N/A</v>
      </c>
      <c r="H566" s="8" t="e">
        <f>VLOOKUP($D566,설문!$C$2:$G$444,5,FALSE)</f>
        <v>#N/A</v>
      </c>
    </row>
    <row r="567" spans="1:8">
      <c r="A567" s="6" t="s">
        <v>29</v>
      </c>
      <c r="B567" s="7" t="s">
        <v>30</v>
      </c>
      <c r="C567" s="7" t="s">
        <v>4184</v>
      </c>
      <c r="D567" s="7" t="s">
        <v>4185</v>
      </c>
      <c r="E567" s="6" t="s">
        <v>4186</v>
      </c>
      <c r="F567" s="8" t="e">
        <f>VLOOKUP($D567,설문!$C$2:$G$444,3,FALSE)</f>
        <v>#N/A</v>
      </c>
      <c r="G567" s="8" t="e">
        <f>VLOOKUP($D567,설문!$C$2:$G$444,4,FALSE)</f>
        <v>#N/A</v>
      </c>
      <c r="H567" s="8" t="e">
        <f>VLOOKUP($D567,설문!$C$2:$G$444,5,FALSE)</f>
        <v>#N/A</v>
      </c>
    </row>
    <row r="568" spans="1:8">
      <c r="A568" s="6" t="s">
        <v>29</v>
      </c>
      <c r="B568" s="7" t="s">
        <v>30</v>
      </c>
      <c r="C568" s="7" t="s">
        <v>30</v>
      </c>
      <c r="D568" s="7" t="s">
        <v>4187</v>
      </c>
      <c r="E568" s="6" t="s">
        <v>4188</v>
      </c>
      <c r="F568" s="8" t="e">
        <f>VLOOKUP($D568,설문!$C$2:$G$444,3,FALSE)</f>
        <v>#N/A</v>
      </c>
      <c r="G568" s="8" t="e">
        <f>VLOOKUP($D568,설문!$C$2:$G$444,4,FALSE)</f>
        <v>#N/A</v>
      </c>
      <c r="H568" s="8" t="e">
        <f>VLOOKUP($D568,설문!$C$2:$G$444,5,FALSE)</f>
        <v>#N/A</v>
      </c>
    </row>
    <row r="569" spans="1:8">
      <c r="A569" s="6" t="s">
        <v>29</v>
      </c>
      <c r="B569" s="7" t="s">
        <v>30</v>
      </c>
      <c r="C569" s="7" t="s">
        <v>30</v>
      </c>
      <c r="D569" s="7" t="s">
        <v>4189</v>
      </c>
      <c r="E569" s="6" t="s">
        <v>4190</v>
      </c>
      <c r="F569" s="8" t="e">
        <f>VLOOKUP($D569,설문!$C$2:$G$444,3,FALSE)</f>
        <v>#N/A</v>
      </c>
      <c r="G569" s="8" t="e">
        <f>VLOOKUP($D569,설문!$C$2:$G$444,4,FALSE)</f>
        <v>#N/A</v>
      </c>
      <c r="H569" s="8" t="e">
        <f>VLOOKUP($D569,설문!$C$2:$G$444,5,FALSE)</f>
        <v>#N/A</v>
      </c>
    </row>
    <row r="570" spans="1:8">
      <c r="A570" s="6" t="s">
        <v>29</v>
      </c>
      <c r="B570" s="7" t="s">
        <v>30</v>
      </c>
      <c r="C570" s="7" t="s">
        <v>30</v>
      </c>
      <c r="D570" s="7" t="s">
        <v>4191</v>
      </c>
      <c r="E570" s="6" t="s">
        <v>4192</v>
      </c>
      <c r="F570" s="8" t="e">
        <f>VLOOKUP($D570,설문!$C$2:$G$444,3,FALSE)</f>
        <v>#N/A</v>
      </c>
      <c r="G570" s="8" t="e">
        <f>VLOOKUP($D570,설문!$C$2:$G$444,4,FALSE)</f>
        <v>#N/A</v>
      </c>
      <c r="H570" s="8" t="e">
        <f>VLOOKUP($D570,설문!$C$2:$G$444,5,FALSE)</f>
        <v>#N/A</v>
      </c>
    </row>
    <row r="571" spans="1:8">
      <c r="A571" s="6" t="s">
        <v>29</v>
      </c>
      <c r="B571" s="7" t="s">
        <v>30</v>
      </c>
      <c r="C571" s="7" t="s">
        <v>30</v>
      </c>
      <c r="D571" s="7" t="s">
        <v>4193</v>
      </c>
      <c r="E571" s="6" t="s">
        <v>4194</v>
      </c>
      <c r="F571" s="8" t="e">
        <f>VLOOKUP($D571,설문!$C$2:$G$444,3,FALSE)</f>
        <v>#N/A</v>
      </c>
      <c r="G571" s="8" t="e">
        <f>VLOOKUP($D571,설문!$C$2:$G$444,4,FALSE)</f>
        <v>#N/A</v>
      </c>
      <c r="H571" s="8" t="e">
        <f>VLOOKUP($D571,설문!$C$2:$G$444,5,FALSE)</f>
        <v>#N/A</v>
      </c>
    </row>
    <row r="572" spans="1:8">
      <c r="A572" s="6" t="s">
        <v>29</v>
      </c>
      <c r="B572" s="7" t="s">
        <v>30</v>
      </c>
      <c r="C572" s="7" t="s">
        <v>4195</v>
      </c>
      <c r="D572" s="7" t="s">
        <v>4196</v>
      </c>
      <c r="E572" s="6" t="s">
        <v>4197</v>
      </c>
      <c r="F572" s="8" t="e">
        <f>VLOOKUP($D572,설문!$C$2:$G$444,3,FALSE)</f>
        <v>#N/A</v>
      </c>
      <c r="G572" s="8" t="e">
        <f>VLOOKUP($D572,설문!$C$2:$G$444,4,FALSE)</f>
        <v>#N/A</v>
      </c>
      <c r="H572" s="8" t="e">
        <f>VLOOKUP($D572,설문!$C$2:$G$444,5,FALSE)</f>
        <v>#N/A</v>
      </c>
    </row>
    <row r="573" spans="1:8">
      <c r="A573" s="6" t="s">
        <v>29</v>
      </c>
      <c r="B573" s="7" t="s">
        <v>30</v>
      </c>
      <c r="C573" s="7" t="s">
        <v>30</v>
      </c>
      <c r="D573" s="7" t="s">
        <v>4198</v>
      </c>
      <c r="E573" s="6" t="s">
        <v>4199</v>
      </c>
      <c r="F573" s="8" t="e">
        <f>VLOOKUP($D573,설문!$C$2:$G$444,3,FALSE)</f>
        <v>#N/A</v>
      </c>
      <c r="G573" s="8" t="e">
        <f>VLOOKUP($D573,설문!$C$2:$G$444,4,FALSE)</f>
        <v>#N/A</v>
      </c>
      <c r="H573" s="8" t="e">
        <f>VLOOKUP($D573,설문!$C$2:$G$444,5,FALSE)</f>
        <v>#N/A</v>
      </c>
    </row>
    <row r="574" spans="1:8">
      <c r="A574" s="6" t="s">
        <v>29</v>
      </c>
      <c r="B574" s="7" t="s">
        <v>30</v>
      </c>
      <c r="C574" s="7" t="s">
        <v>4195</v>
      </c>
      <c r="D574" s="7" t="s">
        <v>4200</v>
      </c>
      <c r="E574" s="6" t="s">
        <v>4201</v>
      </c>
      <c r="F574" s="8" t="e">
        <f>VLOOKUP($D574,설문!$C$2:$G$444,3,FALSE)</f>
        <v>#N/A</v>
      </c>
      <c r="G574" s="8" t="e">
        <f>VLOOKUP($D574,설문!$C$2:$G$444,4,FALSE)</f>
        <v>#N/A</v>
      </c>
      <c r="H574" s="8" t="e">
        <f>VLOOKUP($D574,설문!$C$2:$G$444,5,FALSE)</f>
        <v>#N/A</v>
      </c>
    </row>
    <row r="575" spans="1:8">
      <c r="A575" s="6" t="s">
        <v>29</v>
      </c>
      <c r="B575" s="7" t="s">
        <v>30</v>
      </c>
      <c r="C575" s="7" t="s">
        <v>30</v>
      </c>
      <c r="D575" s="7" t="s">
        <v>4202</v>
      </c>
      <c r="E575" s="6" t="s">
        <v>273</v>
      </c>
      <c r="F575" s="8" t="e">
        <f>VLOOKUP($D575,설문!$C$2:$G$444,3,FALSE)</f>
        <v>#N/A</v>
      </c>
      <c r="G575" s="8" t="e">
        <f>VLOOKUP($D575,설문!$C$2:$G$444,4,FALSE)</f>
        <v>#N/A</v>
      </c>
      <c r="H575" s="8" t="e">
        <f>VLOOKUP($D575,설문!$C$2:$G$444,5,FALSE)</f>
        <v>#N/A</v>
      </c>
    </row>
    <row r="576" spans="1:8">
      <c r="A576" s="6" t="s">
        <v>29</v>
      </c>
      <c r="B576" s="7" t="s">
        <v>30</v>
      </c>
      <c r="C576" s="7" t="s">
        <v>30</v>
      </c>
      <c r="D576" s="7" t="s">
        <v>4203</v>
      </c>
      <c r="E576" s="6" t="s">
        <v>4204</v>
      </c>
      <c r="F576" s="8" t="e">
        <f>VLOOKUP($D576,설문!$C$2:$G$444,3,FALSE)</f>
        <v>#N/A</v>
      </c>
      <c r="G576" s="8" t="e">
        <f>VLOOKUP($D576,설문!$C$2:$G$444,4,FALSE)</f>
        <v>#N/A</v>
      </c>
      <c r="H576" s="8" t="e">
        <f>VLOOKUP($D576,설문!$C$2:$G$444,5,FALSE)</f>
        <v>#N/A</v>
      </c>
    </row>
    <row r="577" spans="1:8">
      <c r="A577" s="6" t="s">
        <v>29</v>
      </c>
      <c r="B577" s="7" t="s">
        <v>30</v>
      </c>
      <c r="C577" s="7" t="s">
        <v>30</v>
      </c>
      <c r="D577" s="7" t="s">
        <v>4205</v>
      </c>
      <c r="E577" s="6" t="s">
        <v>4206</v>
      </c>
      <c r="F577" s="8" t="e">
        <f>VLOOKUP($D577,설문!$C$2:$G$444,3,FALSE)</f>
        <v>#N/A</v>
      </c>
      <c r="G577" s="8" t="e">
        <f>VLOOKUP($D577,설문!$C$2:$G$444,4,FALSE)</f>
        <v>#N/A</v>
      </c>
      <c r="H577" s="8" t="e">
        <f>VLOOKUP($D577,설문!$C$2:$G$444,5,FALSE)</f>
        <v>#N/A</v>
      </c>
    </row>
    <row r="578" spans="1:8">
      <c r="A578" s="6" t="s">
        <v>29</v>
      </c>
      <c r="B578" s="7" t="s">
        <v>30</v>
      </c>
      <c r="C578" s="7" t="s">
        <v>30</v>
      </c>
      <c r="D578" s="7" t="s">
        <v>4207</v>
      </c>
      <c r="E578" s="6" t="s">
        <v>4208</v>
      </c>
      <c r="F578" s="8" t="e">
        <f>VLOOKUP($D578,설문!$C$2:$G$444,3,FALSE)</f>
        <v>#N/A</v>
      </c>
      <c r="G578" s="8" t="e">
        <f>VLOOKUP($D578,설문!$C$2:$G$444,4,FALSE)</f>
        <v>#N/A</v>
      </c>
      <c r="H578" s="8" t="e">
        <f>VLOOKUP($D578,설문!$C$2:$G$444,5,FALSE)</f>
        <v>#N/A</v>
      </c>
    </row>
    <row r="579" spans="1:8">
      <c r="A579" s="6" t="s">
        <v>3987</v>
      </c>
      <c r="B579" s="7" t="s">
        <v>2376</v>
      </c>
      <c r="C579" s="7" t="s">
        <v>2376</v>
      </c>
      <c r="D579" s="7" t="s">
        <v>3988</v>
      </c>
      <c r="E579" s="6" t="s">
        <v>3989</v>
      </c>
      <c r="F579" s="8" t="e">
        <f>VLOOKUP($D579,설문!$C$2:$G$444,3,FALSE)</f>
        <v>#N/A</v>
      </c>
      <c r="G579" s="8" t="e">
        <f>VLOOKUP($D579,설문!$C$2:$G$444,4,FALSE)</f>
        <v>#N/A</v>
      </c>
      <c r="H579" s="8" t="e">
        <f>VLOOKUP($D579,설문!$C$2:$G$444,5,FALSE)</f>
        <v>#N/A</v>
      </c>
    </row>
    <row r="580" spans="1:8">
      <c r="A580" s="6" t="s">
        <v>3987</v>
      </c>
      <c r="B580" s="7" t="s">
        <v>2934</v>
      </c>
      <c r="C580" s="7" t="s">
        <v>2856</v>
      </c>
      <c r="D580" s="7" t="s">
        <v>3990</v>
      </c>
      <c r="E580" s="6" t="s">
        <v>3991</v>
      </c>
      <c r="F580" s="8" t="str">
        <f>VLOOKUP($D580,설문!$C$2:$G$444,3,FALSE)</f>
        <v>백오피스</v>
      </c>
      <c r="G580" s="8" t="str">
        <f>VLOOKUP($D580,설문!$C$2:$G$444,4,FALSE)</f>
        <v>금융회사</v>
      </c>
      <c r="H580" s="8" t="str">
        <f>VLOOKUP($D580,설문!$C$2:$G$444,5,FALSE)</f>
        <v>국내주식/지수,국고채/통안채,원화 구조화채권</v>
      </c>
    </row>
    <row r="581" spans="1:8">
      <c r="A581" s="6" t="s">
        <v>3987</v>
      </c>
      <c r="B581" s="7" t="s">
        <v>2934</v>
      </c>
      <c r="C581" s="7" t="s">
        <v>3992</v>
      </c>
      <c r="D581" s="7" t="s">
        <v>3993</v>
      </c>
      <c r="E581" s="6" t="s">
        <v>3994</v>
      </c>
      <c r="F581" s="8" t="e">
        <f>VLOOKUP($D581,설문!$C$2:$G$444,3,FALSE)</f>
        <v>#N/A</v>
      </c>
      <c r="G581" s="8" t="e">
        <f>VLOOKUP($D581,설문!$C$2:$G$444,4,FALSE)</f>
        <v>#N/A</v>
      </c>
      <c r="H581" s="8" t="e">
        <f>VLOOKUP($D581,설문!$C$2:$G$444,5,FALSE)</f>
        <v>#N/A</v>
      </c>
    </row>
    <row r="582" spans="1:8">
      <c r="A582" s="6" t="s">
        <v>3987</v>
      </c>
      <c r="B582" s="7" t="s">
        <v>2934</v>
      </c>
      <c r="C582" s="7" t="s">
        <v>3995</v>
      </c>
      <c r="D582" s="7" t="s">
        <v>3996</v>
      </c>
      <c r="E582" s="6" t="s">
        <v>273</v>
      </c>
      <c r="F582" s="8" t="e">
        <f>VLOOKUP($D582,설문!$C$2:$G$444,3,FALSE)</f>
        <v>#N/A</v>
      </c>
      <c r="G582" s="8" t="e">
        <f>VLOOKUP($D582,설문!$C$2:$G$444,4,FALSE)</f>
        <v>#N/A</v>
      </c>
      <c r="H582" s="8" t="e">
        <f>VLOOKUP($D582,설문!$C$2:$G$444,5,FALSE)</f>
        <v>#N/A</v>
      </c>
    </row>
    <row r="583" spans="1:8">
      <c r="A583" s="6" t="s">
        <v>3987</v>
      </c>
      <c r="B583" s="7" t="s">
        <v>2934</v>
      </c>
      <c r="C583" s="7" t="s">
        <v>3997</v>
      </c>
      <c r="D583" s="7" t="s">
        <v>3998</v>
      </c>
      <c r="E583" s="6" t="s">
        <v>3999</v>
      </c>
      <c r="F583" s="8" t="e">
        <f>VLOOKUP($D583,설문!$C$2:$G$444,3,FALSE)</f>
        <v>#N/A</v>
      </c>
      <c r="G583" s="8" t="e">
        <f>VLOOKUP($D583,설문!$C$2:$G$444,4,FALSE)</f>
        <v>#N/A</v>
      </c>
      <c r="H583" s="8" t="e">
        <f>VLOOKUP($D583,설문!$C$2:$G$444,5,FALSE)</f>
        <v>#N/A</v>
      </c>
    </row>
    <row r="584" spans="1:8">
      <c r="A584" s="6" t="s">
        <v>3987</v>
      </c>
      <c r="B584" s="7" t="s">
        <v>2934</v>
      </c>
      <c r="C584" s="7" t="s">
        <v>3995</v>
      </c>
      <c r="D584" s="7" t="s">
        <v>4000</v>
      </c>
      <c r="E584" s="6" t="s">
        <v>4001</v>
      </c>
      <c r="F584" s="8" t="e">
        <f>VLOOKUP($D584,설문!$C$2:$G$444,3,FALSE)</f>
        <v>#N/A</v>
      </c>
      <c r="G584" s="8" t="e">
        <f>VLOOKUP($D584,설문!$C$2:$G$444,4,FALSE)</f>
        <v>#N/A</v>
      </c>
      <c r="H584" s="8" t="e">
        <f>VLOOKUP($D584,설문!$C$2:$G$444,5,FALSE)</f>
        <v>#N/A</v>
      </c>
    </row>
    <row r="585" spans="1:8">
      <c r="A585" s="6" t="s">
        <v>3987</v>
      </c>
      <c r="B585" s="7" t="s">
        <v>2934</v>
      </c>
      <c r="C585" s="7" t="s">
        <v>3995</v>
      </c>
      <c r="D585" s="7" t="s">
        <v>4002</v>
      </c>
      <c r="E585" s="6" t="s">
        <v>4003</v>
      </c>
      <c r="F585" s="8" t="e">
        <f>VLOOKUP($D585,설문!$C$2:$G$444,3,FALSE)</f>
        <v>#N/A</v>
      </c>
      <c r="G585" s="8" t="e">
        <f>VLOOKUP($D585,설문!$C$2:$G$444,4,FALSE)</f>
        <v>#N/A</v>
      </c>
      <c r="H585" s="8" t="e">
        <f>VLOOKUP($D585,설문!$C$2:$G$444,5,FALSE)</f>
        <v>#N/A</v>
      </c>
    </row>
    <row r="586" spans="1:8">
      <c r="A586" s="6" t="s">
        <v>3987</v>
      </c>
      <c r="B586" s="7" t="s">
        <v>2934</v>
      </c>
      <c r="C586" s="7" t="s">
        <v>3995</v>
      </c>
      <c r="D586" s="7" t="s">
        <v>4004</v>
      </c>
      <c r="E586" s="6" t="s">
        <v>3970</v>
      </c>
      <c r="F586" s="8" t="e">
        <f>VLOOKUP($D586,설문!$C$2:$G$444,3,FALSE)</f>
        <v>#N/A</v>
      </c>
      <c r="G586" s="8" t="e">
        <f>VLOOKUP($D586,설문!$C$2:$G$444,4,FALSE)</f>
        <v>#N/A</v>
      </c>
      <c r="H586" s="8" t="e">
        <f>VLOOKUP($D586,설문!$C$2:$G$444,5,FALSE)</f>
        <v>#N/A</v>
      </c>
    </row>
    <row r="587" spans="1:8">
      <c r="A587" s="6" t="s">
        <v>3987</v>
      </c>
      <c r="B587" s="7" t="s">
        <v>1827</v>
      </c>
      <c r="C587" s="7" t="s">
        <v>2676</v>
      </c>
      <c r="D587" s="7" t="s">
        <v>4005</v>
      </c>
      <c r="E587" s="6" t="s">
        <v>4006</v>
      </c>
      <c r="F587" s="8" t="str">
        <f>VLOOKUP($D587,설문!$C$2:$G$444,3,FALSE)</f>
        <v>분석 및 전략</v>
      </c>
      <c r="G587" s="8" t="str">
        <f>VLOOKUP($D587,설문!$C$2:$G$444,4,FALSE)</f>
        <v>금융회사,금융 유관기관</v>
      </c>
      <c r="H587" s="8" t="str">
        <f>VLOOKUP($D587,설문!$C$2:$G$444,5,FALSE)</f>
        <v>국내주식/지수,국고채/통안채,회사채,단기자금,국채선물,Korean Paper,외화채권(KP제외),원화 구조화채권,국내주식/지수관련파생,외화 구조화채권,FX Spot &amp; FX Swap,CRS &amp; FX Option,해외주식/지수,해외주식/지수관련파생,ETF/ETN,ELW,ELS/DLS,대체투자(부동산/인프라)</v>
      </c>
    </row>
    <row r="588" spans="1:8">
      <c r="A588" s="6" t="s">
        <v>3987</v>
      </c>
      <c r="B588" s="7" t="s">
        <v>2934</v>
      </c>
      <c r="C588" s="7" t="s">
        <v>3995</v>
      </c>
      <c r="D588" s="7" t="s">
        <v>4007</v>
      </c>
      <c r="E588" s="6" t="s">
        <v>326</v>
      </c>
      <c r="F588" s="8" t="e">
        <f>VLOOKUP($D588,설문!$C$2:$G$444,3,FALSE)</f>
        <v>#N/A</v>
      </c>
      <c r="G588" s="8" t="e">
        <f>VLOOKUP($D588,설문!$C$2:$G$444,4,FALSE)</f>
        <v>#N/A</v>
      </c>
      <c r="H588" s="8" t="e">
        <f>VLOOKUP($D588,설문!$C$2:$G$444,5,FALSE)</f>
        <v>#N/A</v>
      </c>
    </row>
    <row r="589" spans="1:8">
      <c r="A589" s="6" t="s">
        <v>3987</v>
      </c>
      <c r="B589" s="7" t="s">
        <v>2934</v>
      </c>
      <c r="C589" s="7" t="s">
        <v>3995</v>
      </c>
      <c r="D589" s="7" t="s">
        <v>4008</v>
      </c>
      <c r="E589" s="6" t="s">
        <v>3623</v>
      </c>
      <c r="F589" s="8" t="e">
        <f>VLOOKUP($D589,설문!$C$2:$G$444,3,FALSE)</f>
        <v>#N/A</v>
      </c>
      <c r="G589" s="8" t="e">
        <f>VLOOKUP($D589,설문!$C$2:$G$444,4,FALSE)</f>
        <v>#N/A</v>
      </c>
      <c r="H589" s="8" t="e">
        <f>VLOOKUP($D589,설문!$C$2:$G$444,5,FALSE)</f>
        <v>#N/A</v>
      </c>
    </row>
    <row r="590" spans="1:8">
      <c r="A590" s="6" t="s">
        <v>3987</v>
      </c>
      <c r="B590" s="7" t="s">
        <v>2934</v>
      </c>
      <c r="C590" s="7" t="s">
        <v>3995</v>
      </c>
      <c r="D590" s="7" t="s">
        <v>4009</v>
      </c>
      <c r="E590" s="6" t="s">
        <v>4010</v>
      </c>
      <c r="F590" s="8" t="e">
        <f>VLOOKUP($D590,설문!$C$2:$G$444,3,FALSE)</f>
        <v>#N/A</v>
      </c>
      <c r="G590" s="8" t="e">
        <f>VLOOKUP($D590,설문!$C$2:$G$444,4,FALSE)</f>
        <v>#N/A</v>
      </c>
      <c r="H590" s="8" t="e">
        <f>VLOOKUP($D590,설문!$C$2:$G$444,5,FALSE)</f>
        <v>#N/A</v>
      </c>
    </row>
    <row r="591" spans="1:8">
      <c r="A591" s="6" t="s">
        <v>3987</v>
      </c>
      <c r="B591" s="7" t="s">
        <v>2934</v>
      </c>
      <c r="C591" s="7" t="s">
        <v>3997</v>
      </c>
      <c r="D591" s="7" t="s">
        <v>4011</v>
      </c>
      <c r="E591" s="6" t="s">
        <v>4012</v>
      </c>
      <c r="F591" s="8" t="e">
        <f>VLOOKUP($D591,설문!$C$2:$G$444,3,FALSE)</f>
        <v>#N/A</v>
      </c>
      <c r="G591" s="8" t="e">
        <f>VLOOKUP($D591,설문!$C$2:$G$444,4,FALSE)</f>
        <v>#N/A</v>
      </c>
      <c r="H591" s="8" t="e">
        <f>VLOOKUP($D591,설문!$C$2:$G$444,5,FALSE)</f>
        <v>#N/A</v>
      </c>
    </row>
    <row r="592" spans="1:8">
      <c r="A592" s="6" t="s">
        <v>3987</v>
      </c>
      <c r="B592" s="7" t="s">
        <v>2934</v>
      </c>
      <c r="C592" s="7" t="s">
        <v>2856</v>
      </c>
      <c r="D592" s="7" t="s">
        <v>4013</v>
      </c>
      <c r="E592" s="6" t="s">
        <v>4014</v>
      </c>
      <c r="F592" s="8" t="e">
        <f>VLOOKUP($D592,설문!$C$2:$G$444,3,FALSE)</f>
        <v>#N/A</v>
      </c>
      <c r="G592" s="8" t="e">
        <f>VLOOKUP($D592,설문!$C$2:$G$444,4,FALSE)</f>
        <v>#N/A</v>
      </c>
      <c r="H592" s="8" t="e">
        <f>VLOOKUP($D592,설문!$C$2:$G$444,5,FALSE)</f>
        <v>#N/A</v>
      </c>
    </row>
    <row r="593" spans="1:8">
      <c r="A593" s="6" t="s">
        <v>3987</v>
      </c>
      <c r="B593" s="7" t="s">
        <v>1827</v>
      </c>
      <c r="C593" s="7" t="s">
        <v>4015</v>
      </c>
      <c r="D593" s="7" t="s">
        <v>4016</v>
      </c>
      <c r="E593" s="6" t="s">
        <v>4017</v>
      </c>
      <c r="F593" s="8" t="e">
        <f>VLOOKUP($D593,설문!$C$2:$G$444,3,FALSE)</f>
        <v>#N/A</v>
      </c>
      <c r="G593" s="8" t="e">
        <f>VLOOKUP($D593,설문!$C$2:$G$444,4,FALSE)</f>
        <v>#N/A</v>
      </c>
      <c r="H593" s="8" t="e">
        <f>VLOOKUP($D593,설문!$C$2:$G$444,5,FALSE)</f>
        <v>#N/A</v>
      </c>
    </row>
    <row r="594" spans="1:8">
      <c r="A594" s="6" t="s">
        <v>3987</v>
      </c>
      <c r="B594" s="7" t="s">
        <v>1827</v>
      </c>
      <c r="C594" s="7" t="s">
        <v>4018</v>
      </c>
      <c r="D594" s="7" t="s">
        <v>4019</v>
      </c>
      <c r="E594" s="6" t="s">
        <v>4020</v>
      </c>
      <c r="F594" s="8" t="e">
        <f>VLOOKUP($D594,설문!$C$2:$G$444,3,FALSE)</f>
        <v>#N/A</v>
      </c>
      <c r="G594" s="8" t="e">
        <f>VLOOKUP($D594,설문!$C$2:$G$444,4,FALSE)</f>
        <v>#N/A</v>
      </c>
      <c r="H594" s="8" t="e">
        <f>VLOOKUP($D594,설문!$C$2:$G$444,5,FALSE)</f>
        <v>#N/A</v>
      </c>
    </row>
    <row r="595" spans="1:8">
      <c r="A595" s="6" t="s">
        <v>3987</v>
      </c>
      <c r="B595" s="7" t="s">
        <v>1827</v>
      </c>
      <c r="C595" s="7" t="s">
        <v>128</v>
      </c>
      <c r="D595" s="7" t="s">
        <v>4021</v>
      </c>
      <c r="E595" s="6" t="s">
        <v>4022</v>
      </c>
      <c r="F595" s="8" t="e">
        <f>VLOOKUP($D595,설문!$C$2:$G$444,3,FALSE)</f>
        <v>#N/A</v>
      </c>
      <c r="G595" s="8" t="e">
        <f>VLOOKUP($D595,설문!$C$2:$G$444,4,FALSE)</f>
        <v>#N/A</v>
      </c>
      <c r="H595" s="8" t="e">
        <f>VLOOKUP($D595,설문!$C$2:$G$444,5,FALSE)</f>
        <v>#N/A</v>
      </c>
    </row>
    <row r="596" spans="1:8">
      <c r="A596" s="6" t="s">
        <v>3987</v>
      </c>
      <c r="B596" s="7" t="s">
        <v>1827</v>
      </c>
      <c r="C596" s="7" t="s">
        <v>2676</v>
      </c>
      <c r="D596" s="7" t="s">
        <v>4023</v>
      </c>
      <c r="E596" s="6" t="s">
        <v>4024</v>
      </c>
      <c r="F596" s="8" t="e">
        <f>VLOOKUP($D596,설문!$C$2:$G$444,3,FALSE)</f>
        <v>#N/A</v>
      </c>
      <c r="G596" s="8" t="e">
        <f>VLOOKUP($D596,설문!$C$2:$G$444,4,FALSE)</f>
        <v>#N/A</v>
      </c>
      <c r="H596" s="8" t="e">
        <f>VLOOKUP($D596,설문!$C$2:$G$444,5,FALSE)</f>
        <v>#N/A</v>
      </c>
    </row>
    <row r="597" spans="1:8">
      <c r="A597" s="6" t="s">
        <v>3987</v>
      </c>
      <c r="B597" s="7" t="s">
        <v>1827</v>
      </c>
      <c r="C597" s="7" t="s">
        <v>1246</v>
      </c>
      <c r="D597" s="7" t="s">
        <v>4025</v>
      </c>
      <c r="E597" s="6" t="s">
        <v>4026</v>
      </c>
      <c r="F597" s="8" t="e">
        <f>VLOOKUP($D597,설문!$C$2:$G$444,3,FALSE)</f>
        <v>#N/A</v>
      </c>
      <c r="G597" s="8" t="e">
        <f>VLOOKUP($D597,설문!$C$2:$G$444,4,FALSE)</f>
        <v>#N/A</v>
      </c>
      <c r="H597" s="8" t="e">
        <f>VLOOKUP($D597,설문!$C$2:$G$444,5,FALSE)</f>
        <v>#N/A</v>
      </c>
    </row>
    <row r="598" spans="1:8">
      <c r="A598" s="6" t="s">
        <v>3987</v>
      </c>
      <c r="B598" s="7" t="s">
        <v>1827</v>
      </c>
      <c r="C598" s="7" t="s">
        <v>1246</v>
      </c>
      <c r="D598" s="7" t="s">
        <v>4027</v>
      </c>
      <c r="E598" s="6" t="s">
        <v>4028</v>
      </c>
      <c r="F598" s="8" t="e">
        <f>VLOOKUP($D598,설문!$C$2:$G$444,3,FALSE)</f>
        <v>#N/A</v>
      </c>
      <c r="G598" s="8" t="e">
        <f>VLOOKUP($D598,설문!$C$2:$G$444,4,FALSE)</f>
        <v>#N/A</v>
      </c>
      <c r="H598" s="8" t="e">
        <f>VLOOKUP($D598,설문!$C$2:$G$444,5,FALSE)</f>
        <v>#N/A</v>
      </c>
    </row>
    <row r="599" spans="1:8">
      <c r="A599" s="6" t="s">
        <v>3987</v>
      </c>
      <c r="B599" s="7" t="s">
        <v>1827</v>
      </c>
      <c r="C599" s="7" t="s">
        <v>1246</v>
      </c>
      <c r="D599" s="7" t="s">
        <v>4029</v>
      </c>
      <c r="E599" s="6" t="s">
        <v>4030</v>
      </c>
      <c r="F599" s="8" t="e">
        <f>VLOOKUP($D599,설문!$C$2:$G$444,3,FALSE)</f>
        <v>#N/A</v>
      </c>
      <c r="G599" s="8" t="e">
        <f>VLOOKUP($D599,설문!$C$2:$G$444,4,FALSE)</f>
        <v>#N/A</v>
      </c>
      <c r="H599" s="8" t="e">
        <f>VLOOKUP($D599,설문!$C$2:$G$444,5,FALSE)</f>
        <v>#N/A</v>
      </c>
    </row>
    <row r="600" spans="1:8">
      <c r="A600" s="6" t="s">
        <v>3987</v>
      </c>
      <c r="B600" s="7" t="s">
        <v>1827</v>
      </c>
      <c r="C600" s="7" t="s">
        <v>1246</v>
      </c>
      <c r="D600" s="7" t="s">
        <v>4031</v>
      </c>
      <c r="E600" s="6" t="s">
        <v>4032</v>
      </c>
      <c r="F600" s="8" t="e">
        <f>VLOOKUP($D600,설문!$C$2:$G$444,3,FALSE)</f>
        <v>#N/A</v>
      </c>
      <c r="G600" s="8" t="e">
        <f>VLOOKUP($D600,설문!$C$2:$G$444,4,FALSE)</f>
        <v>#N/A</v>
      </c>
      <c r="H600" s="8" t="e">
        <f>VLOOKUP($D600,설문!$C$2:$G$444,5,FALSE)</f>
        <v>#N/A</v>
      </c>
    </row>
    <row r="601" spans="1:8">
      <c r="A601" s="6" t="s">
        <v>3987</v>
      </c>
      <c r="B601" s="7" t="s">
        <v>1827</v>
      </c>
      <c r="C601" s="7" t="s">
        <v>4015</v>
      </c>
      <c r="D601" s="7" t="s">
        <v>4033</v>
      </c>
      <c r="E601" s="6" t="s">
        <v>4034</v>
      </c>
      <c r="F601" s="8" t="e">
        <f>VLOOKUP($D601,설문!$C$2:$G$444,3,FALSE)</f>
        <v>#N/A</v>
      </c>
      <c r="G601" s="8" t="e">
        <f>VLOOKUP($D601,설문!$C$2:$G$444,4,FALSE)</f>
        <v>#N/A</v>
      </c>
      <c r="H601" s="8" t="e">
        <f>VLOOKUP($D601,설문!$C$2:$G$444,5,FALSE)</f>
        <v>#N/A</v>
      </c>
    </row>
    <row r="602" spans="1:8">
      <c r="A602" s="6" t="s">
        <v>3987</v>
      </c>
      <c r="B602" s="7" t="s">
        <v>2934</v>
      </c>
      <c r="C602" s="7" t="s">
        <v>3997</v>
      </c>
      <c r="D602" s="7" t="s">
        <v>4035</v>
      </c>
      <c r="E602" s="6" t="s">
        <v>4036</v>
      </c>
      <c r="F602" s="8" t="e">
        <f>VLOOKUP($D602,설문!$C$2:$G$444,3,FALSE)</f>
        <v>#N/A</v>
      </c>
      <c r="G602" s="8" t="e">
        <f>VLOOKUP($D602,설문!$C$2:$G$444,4,FALSE)</f>
        <v>#N/A</v>
      </c>
      <c r="H602" s="8" t="e">
        <f>VLOOKUP($D602,설문!$C$2:$G$444,5,FALSE)</f>
        <v>#N/A</v>
      </c>
    </row>
    <row r="603" spans="1:8">
      <c r="A603" s="6" t="s">
        <v>3987</v>
      </c>
      <c r="B603" s="7" t="s">
        <v>2934</v>
      </c>
      <c r="C603" s="7" t="s">
        <v>2856</v>
      </c>
      <c r="D603" s="7" t="s">
        <v>4037</v>
      </c>
      <c r="E603" s="6" t="s">
        <v>4038</v>
      </c>
      <c r="F603" s="8" t="e">
        <f>VLOOKUP($D603,설문!$C$2:$G$444,3,FALSE)</f>
        <v>#N/A</v>
      </c>
      <c r="G603" s="8" t="e">
        <f>VLOOKUP($D603,설문!$C$2:$G$444,4,FALSE)</f>
        <v>#N/A</v>
      </c>
      <c r="H603" s="8" t="e">
        <f>VLOOKUP($D603,설문!$C$2:$G$444,5,FALSE)</f>
        <v>#N/A</v>
      </c>
    </row>
    <row r="604" spans="1:8">
      <c r="A604" s="6" t="s">
        <v>3987</v>
      </c>
      <c r="B604" s="7" t="s">
        <v>2934</v>
      </c>
      <c r="C604" s="7" t="s">
        <v>3995</v>
      </c>
      <c r="D604" s="7" t="s">
        <v>4039</v>
      </c>
      <c r="E604" s="6" t="s">
        <v>4040</v>
      </c>
      <c r="F604" s="8" t="e">
        <f>VLOOKUP($D604,설문!$C$2:$G$444,3,FALSE)</f>
        <v>#N/A</v>
      </c>
      <c r="G604" s="8" t="e">
        <f>VLOOKUP($D604,설문!$C$2:$G$444,4,FALSE)</f>
        <v>#N/A</v>
      </c>
      <c r="H604" s="8" t="e">
        <f>VLOOKUP($D604,설문!$C$2:$G$444,5,FALSE)</f>
        <v>#N/A</v>
      </c>
    </row>
    <row r="605" spans="1:8">
      <c r="A605" s="6" t="s">
        <v>3987</v>
      </c>
      <c r="B605" s="7" t="s">
        <v>1827</v>
      </c>
      <c r="C605" s="7" t="s">
        <v>4015</v>
      </c>
      <c r="D605" s="7" t="s">
        <v>4041</v>
      </c>
      <c r="E605" s="6" t="s">
        <v>4028</v>
      </c>
      <c r="F605" s="8" t="e">
        <f>VLOOKUP($D605,설문!$C$2:$G$444,3,FALSE)</f>
        <v>#N/A</v>
      </c>
      <c r="G605" s="8" t="e">
        <f>VLOOKUP($D605,설문!$C$2:$G$444,4,FALSE)</f>
        <v>#N/A</v>
      </c>
      <c r="H605" s="8" t="e">
        <f>VLOOKUP($D605,설문!$C$2:$G$444,5,FALSE)</f>
        <v>#N/A</v>
      </c>
    </row>
    <row r="606" spans="1:8">
      <c r="A606" s="6" t="s">
        <v>3987</v>
      </c>
      <c r="B606" s="7" t="s">
        <v>2934</v>
      </c>
      <c r="C606" s="7" t="s">
        <v>3997</v>
      </c>
      <c r="D606" s="7" t="s">
        <v>4042</v>
      </c>
      <c r="E606" s="6" t="s">
        <v>3900</v>
      </c>
      <c r="F606" s="8" t="str">
        <f>VLOOKUP($D606,설문!$C$2:$G$444,3,FALSE)</f>
        <v>펀드매니저</v>
      </c>
      <c r="G606" s="8" t="str">
        <f>VLOOKUP($D606,설문!$C$2:$G$444,4,FALSE)</f>
        <v>금융회사</v>
      </c>
      <c r="H606" s="8" t="str">
        <f>VLOOKUP($D606,설문!$C$2:$G$444,5,FALSE)</f>
        <v>외화채권(KP제외),외화 구조화채권,FX Spot &amp; FX Swap</v>
      </c>
    </row>
    <row r="607" spans="1:8">
      <c r="A607" s="6" t="s">
        <v>3987</v>
      </c>
      <c r="B607" s="7" t="s">
        <v>2934</v>
      </c>
      <c r="C607" s="7" t="s">
        <v>3997</v>
      </c>
      <c r="D607" s="7" t="s">
        <v>4043</v>
      </c>
      <c r="E607" s="6" t="s">
        <v>4044</v>
      </c>
      <c r="F607" s="8" t="e">
        <f>VLOOKUP($D607,설문!$C$2:$G$444,3,FALSE)</f>
        <v>#N/A</v>
      </c>
      <c r="G607" s="8" t="e">
        <f>VLOOKUP($D607,설문!$C$2:$G$444,4,FALSE)</f>
        <v>#N/A</v>
      </c>
      <c r="H607" s="8" t="e">
        <f>VLOOKUP($D607,설문!$C$2:$G$444,5,FALSE)</f>
        <v>#N/A</v>
      </c>
    </row>
    <row r="608" spans="1:8">
      <c r="A608" s="6" t="s">
        <v>763</v>
      </c>
      <c r="B608" s="7" t="s">
        <v>764</v>
      </c>
      <c r="C608" s="7" t="s">
        <v>764</v>
      </c>
      <c r="D608" s="7" t="s">
        <v>765</v>
      </c>
      <c r="E608" s="6" t="s">
        <v>766</v>
      </c>
      <c r="F608" s="8" t="e">
        <f>VLOOKUP($D608,설문!$C$2:$G$444,3,FALSE)</f>
        <v>#N/A</v>
      </c>
      <c r="G608" s="8" t="e">
        <f>VLOOKUP($D608,설문!$C$2:$G$444,4,FALSE)</f>
        <v>#N/A</v>
      </c>
      <c r="H608" s="8" t="e">
        <f>VLOOKUP($D608,설문!$C$2:$G$444,5,FALSE)</f>
        <v>#N/A</v>
      </c>
    </row>
    <row r="609" spans="1:8">
      <c r="A609" s="6" t="s">
        <v>763</v>
      </c>
      <c r="B609" s="7" t="s">
        <v>764</v>
      </c>
      <c r="C609" s="7" t="s">
        <v>764</v>
      </c>
      <c r="D609" s="7" t="s">
        <v>863</v>
      </c>
      <c r="E609" s="6" t="s">
        <v>864</v>
      </c>
      <c r="F609" s="8" t="e">
        <f>VLOOKUP($D609,설문!$C$2:$G$444,3,FALSE)</f>
        <v>#N/A</v>
      </c>
      <c r="G609" s="8" t="e">
        <f>VLOOKUP($D609,설문!$C$2:$G$444,4,FALSE)</f>
        <v>#N/A</v>
      </c>
      <c r="H609" s="8" t="e">
        <f>VLOOKUP($D609,설문!$C$2:$G$444,5,FALSE)</f>
        <v>#N/A</v>
      </c>
    </row>
    <row r="610" spans="1:8">
      <c r="A610" s="6" t="s">
        <v>763</v>
      </c>
      <c r="B610" s="7" t="s">
        <v>1052</v>
      </c>
      <c r="C610" s="7" t="s">
        <v>1052</v>
      </c>
      <c r="D610" s="7" t="s">
        <v>1053</v>
      </c>
      <c r="E610" s="6" t="s">
        <v>1054</v>
      </c>
      <c r="F610" s="8" t="e">
        <f>VLOOKUP($D610,설문!$C$2:$G$444,3,FALSE)</f>
        <v>#N/A</v>
      </c>
      <c r="G610" s="8" t="e">
        <f>VLOOKUP($D610,설문!$C$2:$G$444,4,FALSE)</f>
        <v>#N/A</v>
      </c>
      <c r="H610" s="8" t="e">
        <f>VLOOKUP($D610,설문!$C$2:$G$444,5,FALSE)</f>
        <v>#N/A</v>
      </c>
    </row>
    <row r="611" spans="1:8">
      <c r="A611" s="6" t="s">
        <v>763</v>
      </c>
      <c r="B611" s="7" t="s">
        <v>935</v>
      </c>
      <c r="C611" s="7" t="s">
        <v>1131</v>
      </c>
      <c r="D611" s="7" t="s">
        <v>1132</v>
      </c>
      <c r="E611" s="6" t="s">
        <v>1133</v>
      </c>
      <c r="F611" s="8" t="str">
        <f>VLOOKUP($D611,설문!$C$2:$G$444,3,FALSE)</f>
        <v>리스크관리(미들)</v>
      </c>
      <c r="G611" s="8" t="str">
        <f>VLOOKUP($D611,설문!$C$2:$G$444,4,FALSE)</f>
        <v>금융회사</v>
      </c>
      <c r="H611" s="8" t="str">
        <f>VLOOKUP($D611,설문!$C$2:$G$444,5,FALSE)</f>
        <v>국내주식/지수,회사채,FX Spot &amp; FX Swap</v>
      </c>
    </row>
    <row r="612" spans="1:8">
      <c r="A612" s="6" t="s">
        <v>763</v>
      </c>
      <c r="B612" s="7" t="s">
        <v>935</v>
      </c>
      <c r="C612" s="7" t="s">
        <v>1131</v>
      </c>
      <c r="D612" s="7" t="s">
        <v>1134</v>
      </c>
      <c r="E612" s="6" t="s">
        <v>1135</v>
      </c>
      <c r="F612" s="8" t="e">
        <f>VLOOKUP($D612,설문!$C$2:$G$444,3,FALSE)</f>
        <v>#N/A</v>
      </c>
      <c r="G612" s="8" t="e">
        <f>VLOOKUP($D612,설문!$C$2:$G$444,4,FALSE)</f>
        <v>#N/A</v>
      </c>
      <c r="H612" s="8" t="e">
        <f>VLOOKUP($D612,설문!$C$2:$G$444,5,FALSE)</f>
        <v>#N/A</v>
      </c>
    </row>
    <row r="613" spans="1:8">
      <c r="A613" s="6" t="s">
        <v>763</v>
      </c>
      <c r="B613" s="7" t="s">
        <v>1052</v>
      </c>
      <c r="C613" s="7" t="s">
        <v>1052</v>
      </c>
      <c r="D613" s="7" t="s">
        <v>1138</v>
      </c>
      <c r="E613" s="6" t="s">
        <v>1139</v>
      </c>
      <c r="F613" s="8" t="e">
        <f>VLOOKUP($D613,설문!$C$2:$G$444,3,FALSE)</f>
        <v>#N/A</v>
      </c>
      <c r="G613" s="8" t="e">
        <f>VLOOKUP($D613,설문!$C$2:$G$444,4,FALSE)</f>
        <v>#N/A</v>
      </c>
      <c r="H613" s="8" t="e">
        <f>VLOOKUP($D613,설문!$C$2:$G$444,5,FALSE)</f>
        <v>#N/A</v>
      </c>
    </row>
    <row r="614" spans="1:8">
      <c r="A614" s="6" t="s">
        <v>763</v>
      </c>
      <c r="B614" s="7" t="s">
        <v>1246</v>
      </c>
      <c r="C614" s="7" t="s">
        <v>1246</v>
      </c>
      <c r="D614" s="7" t="s">
        <v>1247</v>
      </c>
      <c r="E614" s="6" t="s">
        <v>1248</v>
      </c>
      <c r="F614" s="8" t="e">
        <f>VLOOKUP($D614,설문!$C$2:$G$444,3,FALSE)</f>
        <v>#N/A</v>
      </c>
      <c r="G614" s="8" t="e">
        <f>VLOOKUP($D614,설문!$C$2:$G$444,4,FALSE)</f>
        <v>#N/A</v>
      </c>
      <c r="H614" s="8" t="e">
        <f>VLOOKUP($D614,설문!$C$2:$G$444,5,FALSE)</f>
        <v>#N/A</v>
      </c>
    </row>
    <row r="615" spans="1:8">
      <c r="A615" s="6" t="s">
        <v>763</v>
      </c>
      <c r="B615" s="7" t="s">
        <v>1424</v>
      </c>
      <c r="C615" s="7" t="s">
        <v>1246</v>
      </c>
      <c r="D615" s="7" t="s">
        <v>1425</v>
      </c>
      <c r="E615" s="6" t="s">
        <v>1426</v>
      </c>
      <c r="F615" s="8" t="e">
        <f>VLOOKUP($D615,설문!$C$2:$G$444,3,FALSE)</f>
        <v>#N/A</v>
      </c>
      <c r="G615" s="8" t="e">
        <f>VLOOKUP($D615,설문!$C$2:$G$444,4,FALSE)</f>
        <v>#N/A</v>
      </c>
      <c r="H615" s="8" t="e">
        <f>VLOOKUP($D615,설문!$C$2:$G$444,5,FALSE)</f>
        <v>#N/A</v>
      </c>
    </row>
    <row r="616" spans="1:8">
      <c r="A616" s="6" t="s">
        <v>763</v>
      </c>
      <c r="B616" s="7" t="s">
        <v>1424</v>
      </c>
      <c r="C616" s="7" t="s">
        <v>1246</v>
      </c>
      <c r="D616" s="7" t="s">
        <v>1427</v>
      </c>
      <c r="E616" s="6" t="s">
        <v>1428</v>
      </c>
      <c r="F616" s="8" t="e">
        <f>VLOOKUP($D616,설문!$C$2:$G$444,3,FALSE)</f>
        <v>#N/A</v>
      </c>
      <c r="G616" s="8" t="e">
        <f>VLOOKUP($D616,설문!$C$2:$G$444,4,FALSE)</f>
        <v>#N/A</v>
      </c>
      <c r="H616" s="8" t="e">
        <f>VLOOKUP($D616,설문!$C$2:$G$444,5,FALSE)</f>
        <v>#N/A</v>
      </c>
    </row>
    <row r="617" spans="1:8">
      <c r="A617" s="6" t="s">
        <v>763</v>
      </c>
      <c r="B617" s="7" t="s">
        <v>764</v>
      </c>
      <c r="C617" s="7" t="s">
        <v>764</v>
      </c>
      <c r="D617" s="7" t="s">
        <v>4045</v>
      </c>
      <c r="E617" s="6" t="s">
        <v>4046</v>
      </c>
      <c r="F617" s="8" t="e">
        <f>VLOOKUP($D617,설문!$C$2:$G$444,3,FALSE)</f>
        <v>#N/A</v>
      </c>
      <c r="G617" s="8" t="e">
        <f>VLOOKUP($D617,설문!$C$2:$G$444,4,FALSE)</f>
        <v>#N/A</v>
      </c>
      <c r="H617" s="8" t="e">
        <f>VLOOKUP($D617,설문!$C$2:$G$444,5,FALSE)</f>
        <v>#N/A</v>
      </c>
    </row>
    <row r="618" spans="1:8">
      <c r="A618" s="6" t="s">
        <v>763</v>
      </c>
      <c r="B618" s="7" t="s">
        <v>1424</v>
      </c>
      <c r="C618" s="7" t="s">
        <v>1052</v>
      </c>
      <c r="D618" s="7" t="s">
        <v>4047</v>
      </c>
      <c r="E618" s="6" t="s">
        <v>4048</v>
      </c>
      <c r="F618" s="8" t="str">
        <f>VLOOKUP($D618,설문!$C$2:$G$444,3,FALSE)</f>
        <v>분석 및 전략</v>
      </c>
      <c r="G618" s="8" t="str">
        <f>VLOOKUP($D618,설문!$C$2:$G$444,4,FALSE)</f>
        <v>금융회사</v>
      </c>
      <c r="H618" s="8" t="str">
        <f>VLOOKUP($D618,설문!$C$2:$G$444,5,FALSE)</f>
        <v>국내주식/지수,국고채/통안채,회사채,해외주식/지수</v>
      </c>
    </row>
    <row r="619" spans="1:8">
      <c r="A619" s="6" t="s">
        <v>763</v>
      </c>
      <c r="B619" s="7" t="s">
        <v>1424</v>
      </c>
      <c r="C619" s="7" t="s">
        <v>764</v>
      </c>
      <c r="D619" s="7" t="s">
        <v>4049</v>
      </c>
      <c r="E619" s="6" t="s">
        <v>4050</v>
      </c>
      <c r="F619" s="8" t="e">
        <f>VLOOKUP($D619,설문!$C$2:$G$444,3,FALSE)</f>
        <v>#N/A</v>
      </c>
      <c r="G619" s="8" t="e">
        <f>VLOOKUP($D619,설문!$C$2:$G$444,4,FALSE)</f>
        <v>#N/A</v>
      </c>
      <c r="H619" s="8" t="e">
        <f>VLOOKUP($D619,설문!$C$2:$G$444,5,FALSE)</f>
        <v>#N/A</v>
      </c>
    </row>
    <row r="620" spans="1:8">
      <c r="A620" s="6" t="s">
        <v>763</v>
      </c>
      <c r="B620" s="7" t="s">
        <v>1424</v>
      </c>
      <c r="C620" s="7" t="s">
        <v>1052</v>
      </c>
      <c r="D620" s="7" t="s">
        <v>4051</v>
      </c>
      <c r="E620" s="6" t="s">
        <v>4052</v>
      </c>
      <c r="F620" s="8" t="str">
        <f>VLOOKUP($D620,설문!$C$2:$G$444,3,FALSE)</f>
        <v>분석 및 전략</v>
      </c>
      <c r="G620" s="8" t="str">
        <f>VLOOKUP($D620,설문!$C$2:$G$444,4,FALSE)</f>
        <v>금융회사</v>
      </c>
      <c r="H620" s="8" t="str">
        <f>VLOOKUP($D620,설문!$C$2:$G$444,5,FALSE)</f>
        <v>국내주식/지수,국고채/통안채,회사채,소액채권,Korean Paper,외화채권(KP제외),외화채권선물,원화 구조화채권,국내주식/지수관련파생,외화 구조화채권,해외주식/지수,해외주식/지수관련파생,대체투자(부동산/인프라)</v>
      </c>
    </row>
    <row r="621" spans="1:8">
      <c r="A621" s="6" t="s">
        <v>763</v>
      </c>
      <c r="B621" s="7" t="s">
        <v>1424</v>
      </c>
      <c r="C621" s="7" t="s">
        <v>1052</v>
      </c>
      <c r="D621" s="7" t="s">
        <v>4053</v>
      </c>
      <c r="E621" s="6" t="s">
        <v>4054</v>
      </c>
      <c r="F621" s="8" t="e">
        <f>VLOOKUP($D621,설문!$C$2:$G$444,3,FALSE)</f>
        <v>#N/A</v>
      </c>
      <c r="G621" s="8" t="e">
        <f>VLOOKUP($D621,설문!$C$2:$G$444,4,FALSE)</f>
        <v>#N/A</v>
      </c>
      <c r="H621" s="8" t="e">
        <f>VLOOKUP($D621,설문!$C$2:$G$444,5,FALSE)</f>
        <v>#N/A</v>
      </c>
    </row>
    <row r="622" spans="1:8">
      <c r="A622" s="6" t="s">
        <v>763</v>
      </c>
      <c r="B622" s="7" t="s">
        <v>1424</v>
      </c>
      <c r="C622" s="7" t="s">
        <v>4055</v>
      </c>
      <c r="D622" s="7" t="s">
        <v>4056</v>
      </c>
      <c r="E622" s="6" t="s">
        <v>2160</v>
      </c>
      <c r="F622" s="8" t="e">
        <f>VLOOKUP($D622,설문!$C$2:$G$444,3,FALSE)</f>
        <v>#N/A</v>
      </c>
      <c r="G622" s="8" t="e">
        <f>VLOOKUP($D622,설문!$C$2:$G$444,4,FALSE)</f>
        <v>#N/A</v>
      </c>
      <c r="H622" s="8" t="e">
        <f>VLOOKUP($D622,설문!$C$2:$G$444,5,FALSE)</f>
        <v>#N/A</v>
      </c>
    </row>
    <row r="623" spans="1:8">
      <c r="A623" s="6" t="s">
        <v>763</v>
      </c>
      <c r="B623" s="7" t="s">
        <v>1424</v>
      </c>
      <c r="C623" s="7" t="s">
        <v>764</v>
      </c>
      <c r="D623" s="7" t="s">
        <v>4057</v>
      </c>
      <c r="E623" s="6" t="s">
        <v>4058</v>
      </c>
      <c r="F623" s="8" t="e">
        <f>VLOOKUP($D623,설문!$C$2:$G$444,3,FALSE)</f>
        <v>#N/A</v>
      </c>
      <c r="G623" s="8" t="e">
        <f>VLOOKUP($D623,설문!$C$2:$G$444,4,FALSE)</f>
        <v>#N/A</v>
      </c>
      <c r="H623" s="8" t="e">
        <f>VLOOKUP($D623,설문!$C$2:$G$444,5,FALSE)</f>
        <v>#N/A</v>
      </c>
    </row>
    <row r="624" spans="1:8">
      <c r="A624" s="6" t="s">
        <v>1738</v>
      </c>
      <c r="B624" s="7" t="s">
        <v>606</v>
      </c>
      <c r="C624" s="7" t="s">
        <v>1739</v>
      </c>
      <c r="D624" s="7" t="s">
        <v>1740</v>
      </c>
      <c r="E624" s="6" t="s">
        <v>62</v>
      </c>
      <c r="F624" s="8" t="e">
        <f>VLOOKUP($D624,설문!$C$2:$G$444,3,FALSE)</f>
        <v>#N/A</v>
      </c>
      <c r="G624" s="8" t="e">
        <f>VLOOKUP($D624,설문!$C$2:$G$444,4,FALSE)</f>
        <v>#N/A</v>
      </c>
      <c r="H624" s="8" t="e">
        <f>VLOOKUP($D624,설문!$C$2:$G$444,5,FALSE)</f>
        <v>#N/A</v>
      </c>
    </row>
    <row r="625" spans="1:8">
      <c r="A625" s="6" t="s">
        <v>1738</v>
      </c>
      <c r="B625" s="7" t="s">
        <v>1582</v>
      </c>
      <c r="C625" s="7" t="s">
        <v>1582</v>
      </c>
      <c r="D625" s="7" t="s">
        <v>4059</v>
      </c>
      <c r="E625" s="6" t="s">
        <v>4060</v>
      </c>
      <c r="F625" s="8" t="e">
        <f>VLOOKUP($D625,설문!$C$2:$G$444,3,FALSE)</f>
        <v>#N/A</v>
      </c>
      <c r="G625" s="8" t="e">
        <f>VLOOKUP($D625,설문!$C$2:$G$444,4,FALSE)</f>
        <v>#N/A</v>
      </c>
      <c r="H625" s="8" t="e">
        <f>VLOOKUP($D625,설문!$C$2:$G$444,5,FALSE)</f>
        <v>#N/A</v>
      </c>
    </row>
    <row r="626" spans="1:8">
      <c r="A626" s="6" t="s">
        <v>1738</v>
      </c>
      <c r="B626" s="7" t="s">
        <v>1319</v>
      </c>
      <c r="C626" s="7" t="s">
        <v>78</v>
      </c>
      <c r="D626" s="7" t="s">
        <v>4061</v>
      </c>
      <c r="E626" s="6" t="s">
        <v>3437</v>
      </c>
      <c r="F626" s="8" t="e">
        <f>VLOOKUP($D626,설문!$C$2:$G$444,3,FALSE)</f>
        <v>#N/A</v>
      </c>
      <c r="G626" s="8" t="e">
        <f>VLOOKUP($D626,설문!$C$2:$G$444,4,FALSE)</f>
        <v>#N/A</v>
      </c>
      <c r="H626" s="8" t="e">
        <f>VLOOKUP($D626,설문!$C$2:$G$444,5,FALSE)</f>
        <v>#N/A</v>
      </c>
    </row>
    <row r="627" spans="1:8">
      <c r="A627" s="6" t="s">
        <v>1738</v>
      </c>
      <c r="B627" s="7" t="s">
        <v>4062</v>
      </c>
      <c r="C627" s="7" t="s">
        <v>4063</v>
      </c>
      <c r="D627" s="7" t="s">
        <v>4064</v>
      </c>
      <c r="E627" s="6" t="s">
        <v>4065</v>
      </c>
      <c r="F627" s="8" t="e">
        <f>VLOOKUP($D627,설문!$C$2:$G$444,3,FALSE)</f>
        <v>#N/A</v>
      </c>
      <c r="G627" s="8" t="e">
        <f>VLOOKUP($D627,설문!$C$2:$G$444,4,FALSE)</f>
        <v>#N/A</v>
      </c>
      <c r="H627" s="8" t="e">
        <f>VLOOKUP($D627,설문!$C$2:$G$444,5,FALSE)</f>
        <v>#N/A</v>
      </c>
    </row>
    <row r="628" spans="1:8">
      <c r="A628" s="6" t="s">
        <v>1738</v>
      </c>
      <c r="B628" s="7" t="s">
        <v>1319</v>
      </c>
      <c r="C628" s="7" t="s">
        <v>264</v>
      </c>
      <c r="D628" s="7" t="s">
        <v>4066</v>
      </c>
      <c r="E628" s="6" t="s">
        <v>4067</v>
      </c>
      <c r="F628" s="8" t="e">
        <f>VLOOKUP($D628,설문!$C$2:$G$444,3,FALSE)</f>
        <v>#N/A</v>
      </c>
      <c r="G628" s="8" t="e">
        <f>VLOOKUP($D628,설문!$C$2:$G$444,4,FALSE)</f>
        <v>#N/A</v>
      </c>
      <c r="H628" s="8" t="e">
        <f>VLOOKUP($D628,설문!$C$2:$G$444,5,FALSE)</f>
        <v>#N/A</v>
      </c>
    </row>
    <row r="629" spans="1:8">
      <c r="A629" s="6" t="s">
        <v>1738</v>
      </c>
      <c r="B629" s="7" t="s">
        <v>4062</v>
      </c>
      <c r="C629" s="7" t="s">
        <v>4063</v>
      </c>
      <c r="D629" s="7" t="s">
        <v>4068</v>
      </c>
      <c r="E629" s="6" t="s">
        <v>2663</v>
      </c>
      <c r="F629" s="8" t="e">
        <f>VLOOKUP($D629,설문!$C$2:$G$444,3,FALSE)</f>
        <v>#N/A</v>
      </c>
      <c r="G629" s="8" t="e">
        <f>VLOOKUP($D629,설문!$C$2:$G$444,4,FALSE)</f>
        <v>#N/A</v>
      </c>
      <c r="H629" s="8" t="e">
        <f>VLOOKUP($D629,설문!$C$2:$G$444,5,FALSE)</f>
        <v>#N/A</v>
      </c>
    </row>
    <row r="630" spans="1:8">
      <c r="A630" s="6" t="s">
        <v>1738</v>
      </c>
      <c r="B630" s="7" t="s">
        <v>4062</v>
      </c>
      <c r="C630" s="7" t="s">
        <v>4063</v>
      </c>
      <c r="D630" s="7" t="s">
        <v>4069</v>
      </c>
      <c r="E630" s="6" t="s">
        <v>4070</v>
      </c>
      <c r="F630" s="8" t="str">
        <f>VLOOKUP($D630,설문!$C$2:$G$444,3,FALSE)</f>
        <v>딜러</v>
      </c>
      <c r="G630" s="8" t="str">
        <f>VLOOKUP($D630,설문!$C$2:$G$444,4,FALSE)</f>
        <v>금융회사,일반기업고객</v>
      </c>
      <c r="H630" s="8" t="str">
        <f>VLOOKUP($D630,설문!$C$2:$G$444,5,FALSE)</f>
        <v>원화 이자율스왑,FX Spot &amp; FX Swap</v>
      </c>
    </row>
    <row r="631" spans="1:8">
      <c r="A631" s="6" t="s">
        <v>1738</v>
      </c>
      <c r="B631" s="7" t="s">
        <v>1319</v>
      </c>
      <c r="C631" s="7" t="s">
        <v>264</v>
      </c>
      <c r="D631" s="7" t="s">
        <v>4071</v>
      </c>
      <c r="E631" s="6" t="s">
        <v>4072</v>
      </c>
      <c r="F631" s="8" t="str">
        <f>VLOOKUP($D631,설문!$C$2:$G$444,3,FALSE)</f>
        <v>펀드매니저</v>
      </c>
      <c r="G631" s="8" t="str">
        <f>VLOOKUP($D631,설문!$C$2:$G$444,4,FALSE)</f>
        <v>금융회사</v>
      </c>
      <c r="H631" s="8" t="str">
        <f>VLOOKUP($D631,설문!$C$2:$G$444,5,FALSE)</f>
        <v>국고채/통안채</v>
      </c>
    </row>
    <row r="632" spans="1:8">
      <c r="A632" s="6" t="s">
        <v>1738</v>
      </c>
      <c r="B632" s="7" t="s">
        <v>1319</v>
      </c>
      <c r="C632" s="7" t="s">
        <v>264</v>
      </c>
      <c r="D632" s="7" t="s">
        <v>4073</v>
      </c>
      <c r="E632" s="6" t="s">
        <v>4074</v>
      </c>
      <c r="F632" s="8" t="str">
        <f>VLOOKUP($D632,설문!$C$2:$G$444,3,FALSE)</f>
        <v>딜러,분석 및 전략</v>
      </c>
      <c r="G632" s="8" t="str">
        <f>VLOOKUP($D632,설문!$C$2:$G$444,4,FALSE)</f>
        <v>금융회사</v>
      </c>
      <c r="H632" s="8" t="str">
        <f>VLOOKUP($D632,설문!$C$2:$G$444,5,FALSE)</f>
        <v>국고채/통안채</v>
      </c>
    </row>
    <row r="633" spans="1:8">
      <c r="A633" s="6" t="s">
        <v>1738</v>
      </c>
      <c r="B633" s="7" t="s">
        <v>1319</v>
      </c>
      <c r="C633" s="7" t="s">
        <v>78</v>
      </c>
      <c r="D633" s="7" t="s">
        <v>4075</v>
      </c>
      <c r="E633" s="6" t="s">
        <v>4076</v>
      </c>
      <c r="F633" s="8" t="e">
        <f>VLOOKUP($D633,설문!$C$2:$G$444,3,FALSE)</f>
        <v>#N/A</v>
      </c>
      <c r="G633" s="8" t="e">
        <f>VLOOKUP($D633,설문!$C$2:$G$444,4,FALSE)</f>
        <v>#N/A</v>
      </c>
      <c r="H633" s="8" t="e">
        <f>VLOOKUP($D633,설문!$C$2:$G$444,5,FALSE)</f>
        <v>#N/A</v>
      </c>
    </row>
    <row r="634" spans="1:8">
      <c r="A634" s="6" t="s">
        <v>1738</v>
      </c>
      <c r="B634" s="7" t="s">
        <v>1319</v>
      </c>
      <c r="C634" s="7" t="s">
        <v>264</v>
      </c>
      <c r="D634" s="7" t="s">
        <v>4077</v>
      </c>
      <c r="E634" s="6" t="s">
        <v>433</v>
      </c>
      <c r="F634" s="8" t="e">
        <f>VLOOKUP($D634,설문!$C$2:$G$444,3,FALSE)</f>
        <v>#N/A</v>
      </c>
      <c r="G634" s="8" t="e">
        <f>VLOOKUP($D634,설문!$C$2:$G$444,4,FALSE)</f>
        <v>#N/A</v>
      </c>
      <c r="H634" s="8" t="e">
        <f>VLOOKUP($D634,설문!$C$2:$G$444,5,FALSE)</f>
        <v>#N/A</v>
      </c>
    </row>
    <row r="635" spans="1:8">
      <c r="A635" s="6" t="s">
        <v>1738</v>
      </c>
      <c r="B635" s="7" t="s">
        <v>1319</v>
      </c>
      <c r="C635" s="7" t="s">
        <v>78</v>
      </c>
      <c r="D635" s="7" t="s">
        <v>4078</v>
      </c>
      <c r="E635" s="6" t="s">
        <v>4079</v>
      </c>
      <c r="F635" s="8" t="str">
        <f>VLOOKUP($D635,설문!$C$2:$G$444,3,FALSE)</f>
        <v>분석 및 전략</v>
      </c>
      <c r="G635" s="8" t="str">
        <f>VLOOKUP($D635,설문!$C$2:$G$444,4,FALSE)</f>
        <v>금융회사</v>
      </c>
      <c r="H635" s="8" t="str">
        <f>VLOOKUP($D635,설문!$C$2:$G$444,5,FALSE)</f>
        <v>국내주식/지수</v>
      </c>
    </row>
    <row r="636" spans="1:8">
      <c r="A636" s="6" t="s">
        <v>1738</v>
      </c>
      <c r="B636" s="7" t="s">
        <v>1319</v>
      </c>
      <c r="C636" s="7" t="s">
        <v>78</v>
      </c>
      <c r="D636" s="7" t="s">
        <v>4080</v>
      </c>
      <c r="E636" s="6" t="s">
        <v>2721</v>
      </c>
      <c r="F636" s="8" t="e">
        <f>VLOOKUP($D636,설문!$C$2:$G$444,3,FALSE)</f>
        <v>#N/A</v>
      </c>
      <c r="G636" s="8" t="e">
        <f>VLOOKUP($D636,설문!$C$2:$G$444,4,FALSE)</f>
        <v>#N/A</v>
      </c>
      <c r="H636" s="8" t="e">
        <f>VLOOKUP($D636,설문!$C$2:$G$444,5,FALSE)</f>
        <v>#N/A</v>
      </c>
    </row>
    <row r="637" spans="1:8">
      <c r="A637" s="6" t="s">
        <v>1738</v>
      </c>
      <c r="B637" s="7" t="s">
        <v>1319</v>
      </c>
      <c r="C637" s="7" t="s">
        <v>78</v>
      </c>
      <c r="D637" s="7" t="s">
        <v>4081</v>
      </c>
      <c r="E637" s="6" t="s">
        <v>4082</v>
      </c>
      <c r="F637" s="8" t="e">
        <f>VLOOKUP($D637,설문!$C$2:$G$444,3,FALSE)</f>
        <v>#N/A</v>
      </c>
      <c r="G637" s="8" t="e">
        <f>VLOOKUP($D637,설문!$C$2:$G$444,4,FALSE)</f>
        <v>#N/A</v>
      </c>
      <c r="H637" s="8" t="e">
        <f>VLOOKUP($D637,설문!$C$2:$G$444,5,FALSE)</f>
        <v>#N/A</v>
      </c>
    </row>
    <row r="638" spans="1:8">
      <c r="A638" s="6" t="s">
        <v>1738</v>
      </c>
      <c r="B638" s="7" t="s">
        <v>1319</v>
      </c>
      <c r="C638" s="7" t="s">
        <v>4083</v>
      </c>
      <c r="D638" s="7" t="s">
        <v>4084</v>
      </c>
      <c r="E638" s="6" t="s">
        <v>4085</v>
      </c>
      <c r="F638" s="8" t="str">
        <f>VLOOKUP($D638,설문!$C$2:$G$444,3,FALSE)</f>
        <v>기타</v>
      </c>
      <c r="G638" s="8" t="str">
        <f>VLOOKUP($D638,설문!$C$2:$G$444,4,FALSE)</f>
        <v>금융회사</v>
      </c>
      <c r="H638" s="8" t="str">
        <f>VLOOKUP($D638,설문!$C$2:$G$444,5,FALSE)</f>
        <v>회사채,IB(발행, M&amp;A 등)</v>
      </c>
    </row>
    <row r="639" spans="1:8">
      <c r="A639" s="6" t="s">
        <v>1738</v>
      </c>
      <c r="B639" s="7" t="s">
        <v>1319</v>
      </c>
      <c r="C639" s="7" t="s">
        <v>78</v>
      </c>
      <c r="D639" s="7" t="s">
        <v>4086</v>
      </c>
      <c r="E639" s="6" t="s">
        <v>4087</v>
      </c>
      <c r="F639" s="8" t="e">
        <f>VLOOKUP($D639,설문!$C$2:$G$444,3,FALSE)</f>
        <v>#N/A</v>
      </c>
      <c r="G639" s="8" t="e">
        <f>VLOOKUP($D639,설문!$C$2:$G$444,4,FALSE)</f>
        <v>#N/A</v>
      </c>
      <c r="H639" s="8" t="e">
        <f>VLOOKUP($D639,설문!$C$2:$G$444,5,FALSE)</f>
        <v>#N/A</v>
      </c>
    </row>
    <row r="640" spans="1:8">
      <c r="A640" s="6" t="s">
        <v>1738</v>
      </c>
      <c r="B640" s="7" t="s">
        <v>606</v>
      </c>
      <c r="C640" s="7" t="s">
        <v>1739</v>
      </c>
      <c r="D640" s="7" t="s">
        <v>4088</v>
      </c>
      <c r="E640" s="6" t="s">
        <v>4089</v>
      </c>
      <c r="F640" s="8" t="e">
        <f>VLOOKUP($D640,설문!$C$2:$G$444,3,FALSE)</f>
        <v>#N/A</v>
      </c>
      <c r="G640" s="8" t="e">
        <f>VLOOKUP($D640,설문!$C$2:$G$444,4,FALSE)</f>
        <v>#N/A</v>
      </c>
      <c r="H640" s="8" t="e">
        <f>VLOOKUP($D640,설문!$C$2:$G$444,5,FALSE)</f>
        <v>#N/A</v>
      </c>
    </row>
    <row r="641" spans="1:8">
      <c r="A641" s="6" t="s">
        <v>1738</v>
      </c>
      <c r="B641" s="7" t="s">
        <v>606</v>
      </c>
      <c r="C641" s="7" t="s">
        <v>1100</v>
      </c>
      <c r="D641" s="7" t="s">
        <v>4090</v>
      </c>
      <c r="E641" s="6" t="s">
        <v>273</v>
      </c>
      <c r="F641" s="8" t="e">
        <f>VLOOKUP($D641,설문!$C$2:$G$444,3,FALSE)</f>
        <v>#N/A</v>
      </c>
      <c r="G641" s="8" t="e">
        <f>VLOOKUP($D641,설문!$C$2:$G$444,4,FALSE)</f>
        <v>#N/A</v>
      </c>
      <c r="H641" s="8" t="e">
        <f>VLOOKUP($D641,설문!$C$2:$G$444,5,FALSE)</f>
        <v>#N/A</v>
      </c>
    </row>
    <row r="642" spans="1:8">
      <c r="A642" s="6" t="s">
        <v>1738</v>
      </c>
      <c r="B642" s="7" t="s">
        <v>606</v>
      </c>
      <c r="C642" s="7" t="s">
        <v>1100</v>
      </c>
      <c r="D642" s="7" t="s">
        <v>4091</v>
      </c>
      <c r="E642" s="6" t="s">
        <v>4092</v>
      </c>
      <c r="F642" s="8" t="str">
        <f>VLOOKUP($D642,설문!$C$2:$G$444,3,FALSE)</f>
        <v>펀드매니저</v>
      </c>
      <c r="G642" s="8" t="str">
        <f>VLOOKUP($D642,설문!$C$2:$G$444,4,FALSE)</f>
        <v>금융회사,금융 유관기관</v>
      </c>
      <c r="H642" s="8" t="str">
        <f>VLOOKUP($D642,설문!$C$2:$G$444,5,FALSE)</f>
        <v>국고채/통안채,회사채,국채선물</v>
      </c>
    </row>
    <row r="643" spans="1:8">
      <c r="A643" s="6" t="s">
        <v>1738</v>
      </c>
      <c r="B643" s="7" t="s">
        <v>606</v>
      </c>
      <c r="C643" s="7" t="s">
        <v>1100</v>
      </c>
      <c r="D643" s="7" t="s">
        <v>4093</v>
      </c>
      <c r="E643" s="6" t="s">
        <v>4094</v>
      </c>
      <c r="F643" s="8" t="str">
        <f>VLOOKUP($D643,설문!$C$2:$G$444,3,FALSE)</f>
        <v>분석 및 전략</v>
      </c>
      <c r="G643" s="8" t="str">
        <f>VLOOKUP($D643,설문!$C$2:$G$444,4,FALSE)</f>
        <v>금융회사</v>
      </c>
      <c r="H643" s="8" t="str">
        <f>VLOOKUP($D643,설문!$C$2:$G$444,5,FALSE)</f>
        <v>국내주식/지수,국고채/통안채,회사채,RP,단기자금,국채선물</v>
      </c>
    </row>
    <row r="644" spans="1:8">
      <c r="A644" s="6" t="s">
        <v>1738</v>
      </c>
      <c r="B644" s="7" t="s">
        <v>606</v>
      </c>
      <c r="C644" s="7" t="s">
        <v>1100</v>
      </c>
      <c r="D644" s="7" t="s">
        <v>4095</v>
      </c>
      <c r="E644" s="6" t="s">
        <v>4096</v>
      </c>
      <c r="F644" s="8" t="e">
        <f>VLOOKUP($D644,설문!$C$2:$G$444,3,FALSE)</f>
        <v>#N/A</v>
      </c>
      <c r="G644" s="8" t="e">
        <f>VLOOKUP($D644,설문!$C$2:$G$444,4,FALSE)</f>
        <v>#N/A</v>
      </c>
      <c r="H644" s="8" t="e">
        <f>VLOOKUP($D644,설문!$C$2:$G$444,5,FALSE)</f>
        <v>#N/A</v>
      </c>
    </row>
    <row r="645" spans="1:8">
      <c r="A645" s="6" t="s">
        <v>1738</v>
      </c>
      <c r="B645" s="7" t="s">
        <v>606</v>
      </c>
      <c r="C645" s="7" t="s">
        <v>1739</v>
      </c>
      <c r="D645" s="7" t="s">
        <v>4097</v>
      </c>
      <c r="E645" s="6" t="s">
        <v>4098</v>
      </c>
      <c r="F645" s="8" t="e">
        <f>VLOOKUP($D645,설문!$C$2:$G$444,3,FALSE)</f>
        <v>#N/A</v>
      </c>
      <c r="G645" s="8" t="e">
        <f>VLOOKUP($D645,설문!$C$2:$G$444,4,FALSE)</f>
        <v>#N/A</v>
      </c>
      <c r="H645" s="8" t="e">
        <f>VLOOKUP($D645,설문!$C$2:$G$444,5,FALSE)</f>
        <v>#N/A</v>
      </c>
    </row>
    <row r="646" spans="1:8">
      <c r="A646" s="6" t="s">
        <v>1738</v>
      </c>
      <c r="B646" s="7" t="s">
        <v>606</v>
      </c>
      <c r="C646" s="7" t="s">
        <v>1100</v>
      </c>
      <c r="D646" s="7" t="s">
        <v>4099</v>
      </c>
      <c r="E646" s="6" t="s">
        <v>4100</v>
      </c>
      <c r="F646" s="8" t="e">
        <f>VLOOKUP($D646,설문!$C$2:$G$444,3,FALSE)</f>
        <v>#N/A</v>
      </c>
      <c r="G646" s="8" t="e">
        <f>VLOOKUP($D646,설문!$C$2:$G$444,4,FALSE)</f>
        <v>#N/A</v>
      </c>
      <c r="H646" s="8" t="e">
        <f>VLOOKUP($D646,설문!$C$2:$G$444,5,FALSE)</f>
        <v>#N/A</v>
      </c>
    </row>
    <row r="647" spans="1:8">
      <c r="A647" s="6" t="s">
        <v>1738</v>
      </c>
      <c r="B647" s="7" t="s">
        <v>606</v>
      </c>
      <c r="C647" s="7" t="s">
        <v>1739</v>
      </c>
      <c r="D647" s="7" t="s">
        <v>4101</v>
      </c>
      <c r="E647" s="6" t="s">
        <v>4102</v>
      </c>
      <c r="F647" s="8" t="str">
        <f>VLOOKUP($D647,설문!$C$2:$G$444,3,FALSE)</f>
        <v>기타</v>
      </c>
      <c r="G647" s="8" t="str">
        <f>VLOOKUP($D647,설문!$C$2:$G$444,4,FALSE)</f>
        <v>금융회사</v>
      </c>
      <c r="H647" s="8" t="str">
        <f>VLOOKUP($D647,설문!$C$2:$G$444,5,FALSE)</f>
        <v>ELS/DLS</v>
      </c>
    </row>
    <row r="648" spans="1:8">
      <c r="A648" s="6" t="s">
        <v>1738</v>
      </c>
      <c r="B648" s="7" t="s">
        <v>606</v>
      </c>
      <c r="C648" s="7" t="s">
        <v>1100</v>
      </c>
      <c r="D648" s="7" t="s">
        <v>4103</v>
      </c>
      <c r="E648" s="6" t="s">
        <v>4104</v>
      </c>
      <c r="F648" s="8" t="e">
        <f>VLOOKUP($D648,설문!$C$2:$G$444,3,FALSE)</f>
        <v>#N/A</v>
      </c>
      <c r="G648" s="8" t="e">
        <f>VLOOKUP($D648,설문!$C$2:$G$444,4,FALSE)</f>
        <v>#N/A</v>
      </c>
      <c r="H648" s="8" t="e">
        <f>VLOOKUP($D648,설문!$C$2:$G$444,5,FALSE)</f>
        <v>#N/A</v>
      </c>
    </row>
    <row r="649" spans="1:8">
      <c r="A649" s="6" t="s">
        <v>1738</v>
      </c>
      <c r="B649" s="7" t="s">
        <v>4105</v>
      </c>
      <c r="C649" s="7" t="s">
        <v>4106</v>
      </c>
      <c r="D649" s="7" t="s">
        <v>4107</v>
      </c>
      <c r="E649" s="6" t="s">
        <v>4108</v>
      </c>
      <c r="F649" s="8" t="str">
        <f>VLOOKUP($D649,설문!$C$2:$G$444,3,FALSE)</f>
        <v>백오피스</v>
      </c>
      <c r="G649" s="8" t="str">
        <f>VLOOKUP($D649,설문!$C$2:$G$444,4,FALSE)</f>
        <v>금융회사</v>
      </c>
      <c r="H649" s="8" t="str">
        <f>VLOOKUP($D649,설문!$C$2:$G$444,5,FALSE)</f>
        <v>국내주식/지수,국고채/통안채,회사채,소액채권,RP,국채선물,국내주식/지수관련파생,해외주식/지수,해외주식/지수관련파생,ELW,ELS/DLS</v>
      </c>
    </row>
    <row r="650" spans="1:8">
      <c r="A650" s="6" t="s">
        <v>1738</v>
      </c>
      <c r="B650" s="7" t="s">
        <v>935</v>
      </c>
      <c r="C650" s="7" t="s">
        <v>935</v>
      </c>
      <c r="D650" s="7" t="s">
        <v>4109</v>
      </c>
      <c r="E650" s="6" t="s">
        <v>2350</v>
      </c>
      <c r="F650" s="8" t="e">
        <f>VLOOKUP($D650,설문!$C$2:$G$444,3,FALSE)</f>
        <v>#N/A</v>
      </c>
      <c r="G650" s="8" t="e">
        <f>VLOOKUP($D650,설문!$C$2:$G$444,4,FALSE)</f>
        <v>#N/A</v>
      </c>
      <c r="H650" s="8" t="e">
        <f>VLOOKUP($D650,설문!$C$2:$G$444,5,FALSE)</f>
        <v>#N/A</v>
      </c>
    </row>
    <row r="651" spans="1:8">
      <c r="A651" s="6" t="s">
        <v>1738</v>
      </c>
      <c r="B651" s="7" t="s">
        <v>935</v>
      </c>
      <c r="C651" s="7" t="s">
        <v>935</v>
      </c>
      <c r="D651" s="7" t="s">
        <v>4110</v>
      </c>
      <c r="E651" s="6" t="s">
        <v>4111</v>
      </c>
      <c r="F651" s="8" t="e">
        <f>VLOOKUP($D651,설문!$C$2:$G$444,3,FALSE)</f>
        <v>#N/A</v>
      </c>
      <c r="G651" s="8" t="e">
        <f>VLOOKUP($D651,설문!$C$2:$G$444,4,FALSE)</f>
        <v>#N/A</v>
      </c>
      <c r="H651" s="8" t="e">
        <f>VLOOKUP($D651,설문!$C$2:$G$444,5,FALSE)</f>
        <v>#N/A</v>
      </c>
    </row>
    <row r="652" spans="1:8">
      <c r="A652" s="6" t="s">
        <v>1738</v>
      </c>
      <c r="B652" s="7" t="s">
        <v>935</v>
      </c>
      <c r="C652" s="7" t="s">
        <v>935</v>
      </c>
      <c r="D652" s="7" t="s">
        <v>4112</v>
      </c>
      <c r="E652" s="6" t="s">
        <v>575</v>
      </c>
      <c r="F652" s="8" t="e">
        <f>VLOOKUP($D652,설문!$C$2:$G$444,3,FALSE)</f>
        <v>#N/A</v>
      </c>
      <c r="G652" s="8" t="e">
        <f>VLOOKUP($D652,설문!$C$2:$G$444,4,FALSE)</f>
        <v>#N/A</v>
      </c>
      <c r="H652" s="8" t="e">
        <f>VLOOKUP($D652,설문!$C$2:$G$444,5,FALSE)</f>
        <v>#N/A</v>
      </c>
    </row>
    <row r="653" spans="1:8">
      <c r="A653" s="6" t="s">
        <v>1738</v>
      </c>
      <c r="B653" s="7" t="s">
        <v>4113</v>
      </c>
      <c r="C653" s="7" t="s">
        <v>4114</v>
      </c>
      <c r="D653" s="7" t="s">
        <v>4115</v>
      </c>
      <c r="E653" s="6" t="s">
        <v>4116</v>
      </c>
      <c r="F653" s="8" t="e">
        <f>VLOOKUP($D653,설문!$C$2:$G$444,3,FALSE)</f>
        <v>#N/A</v>
      </c>
      <c r="G653" s="8" t="e">
        <f>VLOOKUP($D653,설문!$C$2:$G$444,4,FALSE)</f>
        <v>#N/A</v>
      </c>
      <c r="H653" s="8" t="e">
        <f>VLOOKUP($D653,설문!$C$2:$G$444,5,FALSE)</f>
        <v>#N/A</v>
      </c>
    </row>
    <row r="654" spans="1:8">
      <c r="A654" s="6" t="s">
        <v>1738</v>
      </c>
      <c r="B654" s="7" t="s">
        <v>4113</v>
      </c>
      <c r="C654" s="7" t="s">
        <v>4117</v>
      </c>
      <c r="D654" s="7" t="s">
        <v>4118</v>
      </c>
      <c r="E654" s="6" t="s">
        <v>4119</v>
      </c>
      <c r="F654" s="8" t="e">
        <f>VLOOKUP($D654,설문!$C$2:$G$444,3,FALSE)</f>
        <v>#N/A</v>
      </c>
      <c r="G654" s="8" t="e">
        <f>VLOOKUP($D654,설문!$C$2:$G$444,4,FALSE)</f>
        <v>#N/A</v>
      </c>
      <c r="H654" s="8" t="e">
        <f>VLOOKUP($D654,설문!$C$2:$G$444,5,FALSE)</f>
        <v>#N/A</v>
      </c>
    </row>
    <row r="655" spans="1:8">
      <c r="A655" s="6" t="s">
        <v>1738</v>
      </c>
      <c r="B655" s="7" t="s">
        <v>4113</v>
      </c>
      <c r="C655" s="7" t="s">
        <v>4114</v>
      </c>
      <c r="D655" s="7" t="s">
        <v>4120</v>
      </c>
      <c r="E655" s="6" t="s">
        <v>4121</v>
      </c>
      <c r="F655" s="8" t="e">
        <f>VLOOKUP($D655,설문!$C$2:$G$444,3,FALSE)</f>
        <v>#N/A</v>
      </c>
      <c r="G655" s="8" t="e">
        <f>VLOOKUP($D655,설문!$C$2:$G$444,4,FALSE)</f>
        <v>#N/A</v>
      </c>
      <c r="H655" s="8" t="e">
        <f>VLOOKUP($D655,설문!$C$2:$G$444,5,FALSE)</f>
        <v>#N/A</v>
      </c>
    </row>
    <row r="656" spans="1:8">
      <c r="A656" s="6" t="s">
        <v>1738</v>
      </c>
      <c r="B656" s="7" t="s">
        <v>1319</v>
      </c>
      <c r="C656" s="7" t="s">
        <v>1273</v>
      </c>
      <c r="D656" s="7" t="s">
        <v>4122</v>
      </c>
      <c r="E656" s="6" t="s">
        <v>4123</v>
      </c>
      <c r="F656" s="8" t="e">
        <f>VLOOKUP($D656,설문!$C$2:$G$444,3,FALSE)</f>
        <v>#N/A</v>
      </c>
      <c r="G656" s="8" t="e">
        <f>VLOOKUP($D656,설문!$C$2:$G$444,4,FALSE)</f>
        <v>#N/A</v>
      </c>
      <c r="H656" s="8" t="e">
        <f>VLOOKUP($D656,설문!$C$2:$G$444,5,FALSE)</f>
        <v>#N/A</v>
      </c>
    </row>
    <row r="657" spans="1:8">
      <c r="A657" s="6" t="s">
        <v>1738</v>
      </c>
      <c r="B657" s="7" t="s">
        <v>1319</v>
      </c>
      <c r="C657" s="7" t="s">
        <v>2058</v>
      </c>
      <c r="D657" s="7" t="s">
        <v>4124</v>
      </c>
      <c r="E657" s="6" t="s">
        <v>4125</v>
      </c>
      <c r="F657" s="8" t="e">
        <f>VLOOKUP($D657,설문!$C$2:$G$444,3,FALSE)</f>
        <v>#N/A</v>
      </c>
      <c r="G657" s="8" t="e">
        <f>VLOOKUP($D657,설문!$C$2:$G$444,4,FALSE)</f>
        <v>#N/A</v>
      </c>
      <c r="H657" s="8" t="e">
        <f>VLOOKUP($D657,설문!$C$2:$G$444,5,FALSE)</f>
        <v>#N/A</v>
      </c>
    </row>
    <row r="658" spans="1:8">
      <c r="A658" s="6" t="s">
        <v>1738</v>
      </c>
      <c r="B658" s="7" t="s">
        <v>1319</v>
      </c>
      <c r="C658" s="7" t="s">
        <v>4083</v>
      </c>
      <c r="D658" s="7" t="s">
        <v>4126</v>
      </c>
      <c r="E658" s="6" t="s">
        <v>4127</v>
      </c>
      <c r="F658" s="8" t="e">
        <f>VLOOKUP($D658,설문!$C$2:$G$444,3,FALSE)</f>
        <v>#N/A</v>
      </c>
      <c r="G658" s="8" t="e">
        <f>VLOOKUP($D658,설문!$C$2:$G$444,4,FALSE)</f>
        <v>#N/A</v>
      </c>
      <c r="H658" s="8" t="e">
        <f>VLOOKUP($D658,설문!$C$2:$G$444,5,FALSE)</f>
        <v>#N/A</v>
      </c>
    </row>
    <row r="659" spans="1:8">
      <c r="A659" s="6" t="s">
        <v>1738</v>
      </c>
      <c r="B659" s="7" t="s">
        <v>1319</v>
      </c>
      <c r="C659" s="7" t="s">
        <v>4083</v>
      </c>
      <c r="D659" s="7" t="s">
        <v>4128</v>
      </c>
      <c r="E659" s="6" t="s">
        <v>4129</v>
      </c>
      <c r="F659" s="8" t="e">
        <f>VLOOKUP($D659,설문!$C$2:$G$444,3,FALSE)</f>
        <v>#N/A</v>
      </c>
      <c r="G659" s="8" t="e">
        <f>VLOOKUP($D659,설문!$C$2:$G$444,4,FALSE)</f>
        <v>#N/A</v>
      </c>
      <c r="H659" s="8" t="e">
        <f>VLOOKUP($D659,설문!$C$2:$G$444,5,FALSE)</f>
        <v>#N/A</v>
      </c>
    </row>
    <row r="660" spans="1:8">
      <c r="A660" s="6" t="s">
        <v>4811</v>
      </c>
      <c r="B660" s="7" t="s">
        <v>4812</v>
      </c>
      <c r="C660" s="7" t="s">
        <v>9</v>
      </c>
      <c r="D660" s="7" t="s">
        <v>4813</v>
      </c>
      <c r="E660" s="6" t="s">
        <v>2331</v>
      </c>
      <c r="F660" s="8" t="e">
        <f>VLOOKUP($D660,설문!$C$2:$G$444,3,FALSE)</f>
        <v>#N/A</v>
      </c>
      <c r="G660" s="8" t="e">
        <f>VLOOKUP($D660,설문!$C$2:$G$444,4,FALSE)</f>
        <v>#N/A</v>
      </c>
      <c r="H660" s="8" t="e">
        <f>VLOOKUP($D660,설문!$C$2:$G$444,5,FALSE)</f>
        <v>#N/A</v>
      </c>
    </row>
    <row r="661" spans="1:8">
      <c r="A661" s="6" t="s">
        <v>4811</v>
      </c>
      <c r="B661" s="7" t="s">
        <v>4814</v>
      </c>
      <c r="C661" s="7" t="s">
        <v>935</v>
      </c>
      <c r="D661" s="7" t="s">
        <v>4815</v>
      </c>
      <c r="E661" s="6" t="s">
        <v>4816</v>
      </c>
      <c r="F661" s="8" t="e">
        <f>VLOOKUP($D661,설문!$C$2:$G$444,3,FALSE)</f>
        <v>#N/A</v>
      </c>
      <c r="G661" s="8" t="e">
        <f>VLOOKUP($D661,설문!$C$2:$G$444,4,FALSE)</f>
        <v>#N/A</v>
      </c>
      <c r="H661" s="8" t="e">
        <f>VLOOKUP($D661,설문!$C$2:$G$444,5,FALSE)</f>
        <v>#N/A</v>
      </c>
    </row>
    <row r="662" spans="1:8">
      <c r="A662" s="6" t="s">
        <v>4811</v>
      </c>
      <c r="B662" s="7" t="s">
        <v>4809</v>
      </c>
      <c r="C662" s="7" t="s">
        <v>4809</v>
      </c>
      <c r="D662" s="7" t="s">
        <v>4817</v>
      </c>
      <c r="E662" s="6" t="s">
        <v>4809</v>
      </c>
      <c r="F662" s="8" t="e">
        <f>VLOOKUP($D662,설문!$C$2:$G$444,3,FALSE)</f>
        <v>#N/A</v>
      </c>
      <c r="G662" s="8" t="e">
        <f>VLOOKUP($D662,설문!$C$2:$G$444,4,FALSE)</f>
        <v>#N/A</v>
      </c>
      <c r="H662" s="8" t="e">
        <f>VLOOKUP($D662,설문!$C$2:$G$444,5,FALSE)</f>
        <v>#N/A</v>
      </c>
    </row>
    <row r="663" spans="1:8">
      <c r="A663" s="6" t="s">
        <v>4811</v>
      </c>
      <c r="B663" s="7" t="s">
        <v>4818</v>
      </c>
      <c r="C663" s="7" t="s">
        <v>4818</v>
      </c>
      <c r="D663" s="7" t="s">
        <v>4819</v>
      </c>
      <c r="E663" s="6" t="s">
        <v>4820</v>
      </c>
      <c r="F663" s="8" t="e">
        <f>VLOOKUP($D663,설문!$C$2:$G$444,3,FALSE)</f>
        <v>#N/A</v>
      </c>
      <c r="G663" s="8" t="e">
        <f>VLOOKUP($D663,설문!$C$2:$G$444,4,FALSE)</f>
        <v>#N/A</v>
      </c>
      <c r="H663" s="8" t="e">
        <f>VLOOKUP($D663,설문!$C$2:$G$444,5,FALSE)</f>
        <v>#N/A</v>
      </c>
    </row>
    <row r="664" spans="1:8">
      <c r="A664" s="6" t="s">
        <v>4811</v>
      </c>
      <c r="B664" s="7" t="s">
        <v>3110</v>
      </c>
      <c r="C664" s="7" t="s">
        <v>429</v>
      </c>
      <c r="D664" s="7" t="s">
        <v>4821</v>
      </c>
      <c r="E664" s="6" t="s">
        <v>4822</v>
      </c>
      <c r="F664" s="8" t="e">
        <f>VLOOKUP($D664,설문!$C$2:$G$444,3,FALSE)</f>
        <v>#N/A</v>
      </c>
      <c r="G664" s="8" t="e">
        <f>VLOOKUP($D664,설문!$C$2:$G$444,4,FALSE)</f>
        <v>#N/A</v>
      </c>
      <c r="H664" s="8" t="e">
        <f>VLOOKUP($D664,설문!$C$2:$G$444,5,FALSE)</f>
        <v>#N/A</v>
      </c>
    </row>
    <row r="665" spans="1:8">
      <c r="A665" s="6" t="s">
        <v>4811</v>
      </c>
      <c r="B665" s="7" t="s">
        <v>3110</v>
      </c>
      <c r="C665" s="7" t="s">
        <v>429</v>
      </c>
      <c r="D665" s="7" t="s">
        <v>4823</v>
      </c>
      <c r="E665" s="6" t="s">
        <v>4824</v>
      </c>
      <c r="F665" s="8" t="e">
        <f>VLOOKUP($D665,설문!$C$2:$G$444,3,FALSE)</f>
        <v>#N/A</v>
      </c>
      <c r="G665" s="8" t="e">
        <f>VLOOKUP($D665,설문!$C$2:$G$444,4,FALSE)</f>
        <v>#N/A</v>
      </c>
      <c r="H665" s="8" t="e">
        <f>VLOOKUP($D665,설문!$C$2:$G$444,5,FALSE)</f>
        <v>#N/A</v>
      </c>
    </row>
    <row r="666" spans="1:8">
      <c r="A666" s="6" t="s">
        <v>4811</v>
      </c>
      <c r="B666" s="7" t="s">
        <v>3110</v>
      </c>
      <c r="C666" s="7" t="s">
        <v>429</v>
      </c>
      <c r="D666" s="7" t="s">
        <v>4825</v>
      </c>
      <c r="E666" s="6" t="s">
        <v>4826</v>
      </c>
      <c r="F666" s="8" t="e">
        <f>VLOOKUP($D666,설문!$C$2:$G$444,3,FALSE)</f>
        <v>#N/A</v>
      </c>
      <c r="G666" s="8" t="e">
        <f>VLOOKUP($D666,설문!$C$2:$G$444,4,FALSE)</f>
        <v>#N/A</v>
      </c>
      <c r="H666" s="8" t="e">
        <f>VLOOKUP($D666,설문!$C$2:$G$444,5,FALSE)</f>
        <v>#N/A</v>
      </c>
    </row>
    <row r="667" spans="1:8">
      <c r="A667" s="6" t="s">
        <v>4811</v>
      </c>
      <c r="B667" s="7" t="s">
        <v>3110</v>
      </c>
      <c r="C667" s="7" t="s">
        <v>429</v>
      </c>
      <c r="D667" s="7" t="s">
        <v>4827</v>
      </c>
      <c r="E667" s="6" t="s">
        <v>4828</v>
      </c>
      <c r="F667" s="8" t="e">
        <f>VLOOKUP($D667,설문!$C$2:$G$444,3,FALSE)</f>
        <v>#N/A</v>
      </c>
      <c r="G667" s="8" t="e">
        <f>VLOOKUP($D667,설문!$C$2:$G$444,4,FALSE)</f>
        <v>#N/A</v>
      </c>
      <c r="H667" s="8" t="e">
        <f>VLOOKUP($D667,설문!$C$2:$G$444,5,FALSE)</f>
        <v>#N/A</v>
      </c>
    </row>
    <row r="668" spans="1:8">
      <c r="A668" s="6" t="s">
        <v>4811</v>
      </c>
      <c r="B668" s="7" t="s">
        <v>4829</v>
      </c>
      <c r="C668" s="7" t="s">
        <v>4830</v>
      </c>
      <c r="D668" s="7" t="s">
        <v>4831</v>
      </c>
      <c r="E668" s="6" t="s">
        <v>4832</v>
      </c>
      <c r="F668" s="8" t="e">
        <f>VLOOKUP($D668,설문!$C$2:$G$444,3,FALSE)</f>
        <v>#N/A</v>
      </c>
      <c r="G668" s="8" t="e">
        <f>VLOOKUP($D668,설문!$C$2:$G$444,4,FALSE)</f>
        <v>#N/A</v>
      </c>
      <c r="H668" s="8" t="e">
        <f>VLOOKUP($D668,설문!$C$2:$G$444,5,FALSE)</f>
        <v>#N/A</v>
      </c>
    </row>
    <row r="669" spans="1:8">
      <c r="A669" s="6" t="s">
        <v>4811</v>
      </c>
      <c r="B669" s="7" t="s">
        <v>3110</v>
      </c>
      <c r="C669" s="7" t="s">
        <v>4833</v>
      </c>
      <c r="D669" s="7" t="s">
        <v>4834</v>
      </c>
      <c r="E669" s="6" t="s">
        <v>4835</v>
      </c>
      <c r="F669" s="8" t="e">
        <f>VLOOKUP($D669,설문!$C$2:$G$444,3,FALSE)</f>
        <v>#N/A</v>
      </c>
      <c r="G669" s="8" t="e">
        <f>VLOOKUP($D669,설문!$C$2:$G$444,4,FALSE)</f>
        <v>#N/A</v>
      </c>
      <c r="H669" s="8" t="e">
        <f>VLOOKUP($D669,설문!$C$2:$G$444,5,FALSE)</f>
        <v>#N/A</v>
      </c>
    </row>
    <row r="670" spans="1:8">
      <c r="A670" s="6" t="s">
        <v>4811</v>
      </c>
      <c r="B670" s="7" t="s">
        <v>3110</v>
      </c>
      <c r="C670" s="7" t="s">
        <v>4833</v>
      </c>
      <c r="D670" s="7" t="s">
        <v>4836</v>
      </c>
      <c r="E670" s="6" t="s">
        <v>4837</v>
      </c>
      <c r="F670" s="8" t="e">
        <f>VLOOKUP($D670,설문!$C$2:$G$444,3,FALSE)</f>
        <v>#N/A</v>
      </c>
      <c r="G670" s="8" t="e">
        <f>VLOOKUP($D670,설문!$C$2:$G$444,4,FALSE)</f>
        <v>#N/A</v>
      </c>
      <c r="H670" s="8" t="e">
        <f>VLOOKUP($D670,설문!$C$2:$G$444,5,FALSE)</f>
        <v>#N/A</v>
      </c>
    </row>
    <row r="671" spans="1:8">
      <c r="A671" s="6" t="s">
        <v>4811</v>
      </c>
      <c r="B671" s="7" t="s">
        <v>3110</v>
      </c>
      <c r="C671" s="7" t="s">
        <v>4833</v>
      </c>
      <c r="D671" s="7" t="s">
        <v>4838</v>
      </c>
      <c r="E671" s="6" t="s">
        <v>4839</v>
      </c>
      <c r="F671" s="8" t="e">
        <f>VLOOKUP($D671,설문!$C$2:$G$444,3,FALSE)</f>
        <v>#N/A</v>
      </c>
      <c r="G671" s="8" t="e">
        <f>VLOOKUP($D671,설문!$C$2:$G$444,4,FALSE)</f>
        <v>#N/A</v>
      </c>
      <c r="H671" s="8" t="e">
        <f>VLOOKUP($D671,설문!$C$2:$G$444,5,FALSE)</f>
        <v>#N/A</v>
      </c>
    </row>
    <row r="672" spans="1:8">
      <c r="A672" s="6" t="s">
        <v>4811</v>
      </c>
      <c r="B672" s="7" t="s">
        <v>3110</v>
      </c>
      <c r="C672" s="7" t="s">
        <v>1910</v>
      </c>
      <c r="D672" s="7" t="s">
        <v>4840</v>
      </c>
      <c r="E672" s="6" t="s">
        <v>4841</v>
      </c>
      <c r="F672" s="8" t="e">
        <f>VLOOKUP($D672,설문!$C$2:$G$444,3,FALSE)</f>
        <v>#N/A</v>
      </c>
      <c r="G672" s="8" t="e">
        <f>VLOOKUP($D672,설문!$C$2:$G$444,4,FALSE)</f>
        <v>#N/A</v>
      </c>
      <c r="H672" s="8" t="e">
        <f>VLOOKUP($D672,설문!$C$2:$G$444,5,FALSE)</f>
        <v>#N/A</v>
      </c>
    </row>
    <row r="673" spans="1:8">
      <c r="A673" s="6" t="s">
        <v>4811</v>
      </c>
      <c r="B673" s="7" t="s">
        <v>3110</v>
      </c>
      <c r="C673" s="7" t="s">
        <v>1910</v>
      </c>
      <c r="D673" s="7" t="s">
        <v>4842</v>
      </c>
      <c r="E673" s="6" t="s">
        <v>4843</v>
      </c>
      <c r="F673" s="8" t="e">
        <f>VLOOKUP($D673,설문!$C$2:$G$444,3,FALSE)</f>
        <v>#N/A</v>
      </c>
      <c r="G673" s="8" t="e">
        <f>VLOOKUP($D673,설문!$C$2:$G$444,4,FALSE)</f>
        <v>#N/A</v>
      </c>
      <c r="H673" s="8" t="e">
        <f>VLOOKUP($D673,설문!$C$2:$G$444,5,FALSE)</f>
        <v>#N/A</v>
      </c>
    </row>
    <row r="674" spans="1:8">
      <c r="A674" s="6" t="s">
        <v>4811</v>
      </c>
      <c r="B674" s="7" t="s">
        <v>3110</v>
      </c>
      <c r="C674" s="7" t="s">
        <v>1910</v>
      </c>
      <c r="D674" s="7" t="s">
        <v>4844</v>
      </c>
      <c r="E674" s="6" t="s">
        <v>4845</v>
      </c>
      <c r="F674" s="8" t="e">
        <f>VLOOKUP($D674,설문!$C$2:$G$444,3,FALSE)</f>
        <v>#N/A</v>
      </c>
      <c r="G674" s="8" t="e">
        <f>VLOOKUP($D674,설문!$C$2:$G$444,4,FALSE)</f>
        <v>#N/A</v>
      </c>
      <c r="H674" s="8" t="e">
        <f>VLOOKUP($D674,설문!$C$2:$G$444,5,FALSE)</f>
        <v>#N/A</v>
      </c>
    </row>
    <row r="675" spans="1:8">
      <c r="A675" s="6" t="s">
        <v>4811</v>
      </c>
      <c r="B675" s="7" t="s">
        <v>3110</v>
      </c>
      <c r="C675" s="7" t="s">
        <v>1910</v>
      </c>
      <c r="D675" s="7" t="s">
        <v>4846</v>
      </c>
      <c r="E675" s="6" t="s">
        <v>4847</v>
      </c>
      <c r="F675" s="8" t="e">
        <f>VLOOKUP($D675,설문!$C$2:$G$444,3,FALSE)</f>
        <v>#N/A</v>
      </c>
      <c r="G675" s="8" t="e">
        <f>VLOOKUP($D675,설문!$C$2:$G$444,4,FALSE)</f>
        <v>#N/A</v>
      </c>
      <c r="H675" s="8" t="e">
        <f>VLOOKUP($D675,설문!$C$2:$G$444,5,FALSE)</f>
        <v>#N/A</v>
      </c>
    </row>
    <row r="676" spans="1:8">
      <c r="A676" s="6" t="s">
        <v>4811</v>
      </c>
      <c r="B676" s="7" t="s">
        <v>3110</v>
      </c>
      <c r="C676" s="7" t="s">
        <v>1910</v>
      </c>
      <c r="D676" s="7" t="s">
        <v>4848</v>
      </c>
      <c r="E676" s="6" t="s">
        <v>4849</v>
      </c>
      <c r="F676" s="8" t="e">
        <f>VLOOKUP($D676,설문!$C$2:$G$444,3,FALSE)</f>
        <v>#N/A</v>
      </c>
      <c r="G676" s="8" t="e">
        <f>VLOOKUP($D676,설문!$C$2:$G$444,4,FALSE)</f>
        <v>#N/A</v>
      </c>
      <c r="H676" s="8" t="e">
        <f>VLOOKUP($D676,설문!$C$2:$G$444,5,FALSE)</f>
        <v>#N/A</v>
      </c>
    </row>
    <row r="677" spans="1:8">
      <c r="A677" s="6" t="s">
        <v>4811</v>
      </c>
      <c r="B677" s="7" t="s">
        <v>3110</v>
      </c>
      <c r="C677" s="7" t="s">
        <v>1910</v>
      </c>
      <c r="D677" s="7" t="s">
        <v>4850</v>
      </c>
      <c r="E677" s="6" t="s">
        <v>4851</v>
      </c>
      <c r="F677" s="8" t="e">
        <f>VLOOKUP($D677,설문!$C$2:$G$444,3,FALSE)</f>
        <v>#N/A</v>
      </c>
      <c r="G677" s="8" t="e">
        <f>VLOOKUP($D677,설문!$C$2:$G$444,4,FALSE)</f>
        <v>#N/A</v>
      </c>
      <c r="H677" s="8" t="e">
        <f>VLOOKUP($D677,설문!$C$2:$G$444,5,FALSE)</f>
        <v>#N/A</v>
      </c>
    </row>
    <row r="678" spans="1:8">
      <c r="A678" s="6" t="s">
        <v>569</v>
      </c>
      <c r="B678" s="7" t="s">
        <v>570</v>
      </c>
      <c r="C678" s="7" t="s">
        <v>571</v>
      </c>
      <c r="D678" s="7" t="s">
        <v>572</v>
      </c>
      <c r="E678" s="6" t="s">
        <v>573</v>
      </c>
      <c r="F678" s="8" t="e">
        <f>VLOOKUP($D678,설문!$C$2:$G$444,3,FALSE)</f>
        <v>#N/A</v>
      </c>
      <c r="G678" s="8" t="e">
        <f>VLOOKUP($D678,설문!$C$2:$G$444,4,FALSE)</f>
        <v>#N/A</v>
      </c>
      <c r="H678" s="8" t="e">
        <f>VLOOKUP($D678,설문!$C$2:$G$444,5,FALSE)</f>
        <v>#N/A</v>
      </c>
    </row>
    <row r="679" spans="1:8">
      <c r="A679" s="6" t="s">
        <v>569</v>
      </c>
      <c r="B679" s="7" t="s">
        <v>3297</v>
      </c>
      <c r="C679" s="7" t="s">
        <v>3297</v>
      </c>
      <c r="D679" s="7" t="s">
        <v>3298</v>
      </c>
      <c r="E679" s="6" t="s">
        <v>3299</v>
      </c>
      <c r="F679" s="8" t="e">
        <f>VLOOKUP($D679,설문!$C$2:$G$444,3,FALSE)</f>
        <v>#N/A</v>
      </c>
      <c r="G679" s="8" t="e">
        <f>VLOOKUP($D679,설문!$C$2:$G$444,4,FALSE)</f>
        <v>#N/A</v>
      </c>
      <c r="H679" s="8" t="e">
        <f>VLOOKUP($D679,설문!$C$2:$G$444,5,FALSE)</f>
        <v>#N/A</v>
      </c>
    </row>
    <row r="680" spans="1:8">
      <c r="A680" s="6" t="s">
        <v>569</v>
      </c>
      <c r="B680" s="7" t="s">
        <v>3300</v>
      </c>
      <c r="C680" s="7" t="s">
        <v>951</v>
      </c>
      <c r="D680" s="7" t="s">
        <v>3301</v>
      </c>
      <c r="E680" s="6" t="s">
        <v>2096</v>
      </c>
      <c r="F680" s="8" t="e">
        <f>VLOOKUP($D680,설문!$C$2:$G$444,3,FALSE)</f>
        <v>#N/A</v>
      </c>
      <c r="G680" s="8" t="e">
        <f>VLOOKUP($D680,설문!$C$2:$G$444,4,FALSE)</f>
        <v>#N/A</v>
      </c>
      <c r="H680" s="8" t="e">
        <f>VLOOKUP($D680,설문!$C$2:$G$444,5,FALSE)</f>
        <v>#N/A</v>
      </c>
    </row>
    <row r="681" spans="1:8">
      <c r="A681" s="6" t="s">
        <v>569</v>
      </c>
      <c r="B681" s="7" t="s">
        <v>3300</v>
      </c>
      <c r="C681" s="7" t="s">
        <v>1434</v>
      </c>
      <c r="D681" s="7" t="s">
        <v>3302</v>
      </c>
      <c r="E681" s="6" t="s">
        <v>3303</v>
      </c>
      <c r="F681" s="8" t="e">
        <f>VLOOKUP($D681,설문!$C$2:$G$444,3,FALSE)</f>
        <v>#N/A</v>
      </c>
      <c r="G681" s="8" t="e">
        <f>VLOOKUP($D681,설문!$C$2:$G$444,4,FALSE)</f>
        <v>#N/A</v>
      </c>
      <c r="H681" s="8" t="e">
        <f>VLOOKUP($D681,설문!$C$2:$G$444,5,FALSE)</f>
        <v>#N/A</v>
      </c>
    </row>
    <row r="682" spans="1:8">
      <c r="A682" s="6" t="s">
        <v>569</v>
      </c>
      <c r="B682" s="7" t="s">
        <v>570</v>
      </c>
      <c r="C682" s="7" t="s">
        <v>3304</v>
      </c>
      <c r="D682" s="7" t="s">
        <v>3305</v>
      </c>
      <c r="E682" s="6" t="s">
        <v>2418</v>
      </c>
      <c r="F682" s="8" t="str">
        <f>VLOOKUP($D682,설문!$C$2:$G$444,3,FALSE)</f>
        <v>펀드매니저</v>
      </c>
      <c r="G682" s="8" t="str">
        <f>VLOOKUP($D682,설문!$C$2:$G$444,4,FALSE)</f>
        <v>금융회사,금융 유관기관</v>
      </c>
      <c r="H682" s="8" t="str">
        <f>VLOOKUP($D682,설문!$C$2:$G$444,5,FALSE)</f>
        <v>국내주식/지수,원화 구조화채권,국내주식/지수관련파생,신용파생,해외주식/지수,해외주식/지수관련파생,ETF/ETN,ELS/DLS</v>
      </c>
    </row>
    <row r="683" spans="1:8">
      <c r="A683" s="6" t="s">
        <v>569</v>
      </c>
      <c r="B683" s="7" t="s">
        <v>570</v>
      </c>
      <c r="C683" s="7" t="s">
        <v>3306</v>
      </c>
      <c r="D683" s="7" t="s">
        <v>3307</v>
      </c>
      <c r="E683" s="6" t="s">
        <v>3308</v>
      </c>
      <c r="F683" s="8" t="e">
        <f>VLOOKUP($D683,설문!$C$2:$G$444,3,FALSE)</f>
        <v>#N/A</v>
      </c>
      <c r="G683" s="8" t="e">
        <f>VLOOKUP($D683,설문!$C$2:$G$444,4,FALSE)</f>
        <v>#N/A</v>
      </c>
      <c r="H683" s="8" t="e">
        <f>VLOOKUP($D683,설문!$C$2:$G$444,5,FALSE)</f>
        <v>#N/A</v>
      </c>
    </row>
    <row r="684" spans="1:8">
      <c r="A684" s="6" t="s">
        <v>569</v>
      </c>
      <c r="B684" s="7" t="s">
        <v>570</v>
      </c>
      <c r="C684" s="7" t="s">
        <v>3309</v>
      </c>
      <c r="D684" s="7" t="s">
        <v>3310</v>
      </c>
      <c r="E684" s="6" t="s">
        <v>3311</v>
      </c>
      <c r="F684" s="8" t="str">
        <f>VLOOKUP($D684,설문!$C$2:$G$444,3,FALSE)</f>
        <v>펀드매니저</v>
      </c>
      <c r="G684" s="8" t="str">
        <f>VLOOKUP($D684,설문!$C$2:$G$444,4,FALSE)</f>
        <v>금융회사,금융 유관기관,개인고객</v>
      </c>
      <c r="H684" s="8" t="str">
        <f>VLOOKUP($D684,설문!$C$2:$G$444,5,FALSE)</f>
        <v>국내주식/지수,국내주식/지수관련파생,ETF/ETN</v>
      </c>
    </row>
    <row r="685" spans="1:8">
      <c r="A685" s="6" t="s">
        <v>569</v>
      </c>
      <c r="B685" s="7" t="s">
        <v>264</v>
      </c>
      <c r="C685" s="7" t="s">
        <v>134</v>
      </c>
      <c r="D685" s="7" t="s">
        <v>3312</v>
      </c>
      <c r="E685" s="6" t="s">
        <v>3313</v>
      </c>
      <c r="F685" s="8" t="e">
        <f>VLOOKUP($D685,설문!$C$2:$G$444,3,FALSE)</f>
        <v>#N/A</v>
      </c>
      <c r="G685" s="8" t="e">
        <f>VLOOKUP($D685,설문!$C$2:$G$444,4,FALSE)</f>
        <v>#N/A</v>
      </c>
      <c r="H685" s="8" t="e">
        <f>VLOOKUP($D685,설문!$C$2:$G$444,5,FALSE)</f>
        <v>#N/A</v>
      </c>
    </row>
    <row r="686" spans="1:8">
      <c r="A686" s="6" t="s">
        <v>569</v>
      </c>
      <c r="B686" s="7" t="s">
        <v>78</v>
      </c>
      <c r="C686" s="7" t="s">
        <v>508</v>
      </c>
      <c r="D686" s="7" t="s">
        <v>3314</v>
      </c>
      <c r="E686" s="6" t="s">
        <v>3315</v>
      </c>
      <c r="F686" s="8" t="e">
        <f>VLOOKUP($D686,설문!$C$2:$G$444,3,FALSE)</f>
        <v>#N/A</v>
      </c>
      <c r="G686" s="8" t="e">
        <f>VLOOKUP($D686,설문!$C$2:$G$444,4,FALSE)</f>
        <v>#N/A</v>
      </c>
      <c r="H686" s="8" t="e">
        <f>VLOOKUP($D686,설문!$C$2:$G$444,5,FALSE)</f>
        <v>#N/A</v>
      </c>
    </row>
    <row r="687" spans="1:8">
      <c r="A687" s="6" t="s">
        <v>438</v>
      </c>
      <c r="B687" s="7" t="s">
        <v>439</v>
      </c>
      <c r="C687" s="7" t="s">
        <v>440</v>
      </c>
      <c r="D687" s="7" t="s">
        <v>441</v>
      </c>
      <c r="E687" s="6" t="s">
        <v>442</v>
      </c>
      <c r="F687" s="8" t="e">
        <f>VLOOKUP($D687,설문!$C$2:$G$444,3,FALSE)</f>
        <v>#N/A</v>
      </c>
      <c r="G687" s="8" t="e">
        <f>VLOOKUP($D687,설문!$C$2:$G$444,4,FALSE)</f>
        <v>#N/A</v>
      </c>
      <c r="H687" s="8" t="e">
        <f>VLOOKUP($D687,설문!$C$2:$G$444,5,FALSE)</f>
        <v>#N/A</v>
      </c>
    </row>
    <row r="688" spans="1:8">
      <c r="A688" s="6" t="s">
        <v>438</v>
      </c>
      <c r="B688" s="7" t="s">
        <v>438</v>
      </c>
      <c r="C688" s="7" t="s">
        <v>440</v>
      </c>
      <c r="D688" s="7" t="s">
        <v>865</v>
      </c>
      <c r="E688" s="6" t="s">
        <v>866</v>
      </c>
      <c r="F688" s="8" t="str">
        <f>VLOOKUP($D688,설문!$C$2:$G$444,3,FALSE)</f>
        <v>기타</v>
      </c>
      <c r="G688" s="8" t="str">
        <f>VLOOKUP($D688,설문!$C$2:$G$444,4,FALSE)</f>
        <v>금융 유관기관</v>
      </c>
      <c r="H688" s="8" t="str">
        <f>VLOOKUP($D688,설문!$C$2:$G$444,5,FALSE)</f>
        <v>원화 이자율스왑,외화 이자율스왑,FX Spot &amp; FX Swap,CRS &amp; FX Option,해외주식/지수,해외주식/지수관련파생,ETF/ETN</v>
      </c>
    </row>
    <row r="689" spans="1:8">
      <c r="A689" s="6" t="s">
        <v>438</v>
      </c>
      <c r="B689" s="7" t="s">
        <v>1529</v>
      </c>
      <c r="C689" s="7" t="s">
        <v>1529</v>
      </c>
      <c r="D689" s="7" t="s">
        <v>1530</v>
      </c>
      <c r="E689" s="6" t="s">
        <v>1531</v>
      </c>
      <c r="F689" s="8" t="e">
        <f>VLOOKUP($D689,설문!$C$2:$G$444,3,FALSE)</f>
        <v>#N/A</v>
      </c>
      <c r="G689" s="8" t="e">
        <f>VLOOKUP($D689,설문!$C$2:$G$444,4,FALSE)</f>
        <v>#N/A</v>
      </c>
      <c r="H689" s="8" t="e">
        <f>VLOOKUP($D689,설문!$C$2:$G$444,5,FALSE)</f>
        <v>#N/A</v>
      </c>
    </row>
    <row r="690" spans="1:8">
      <c r="A690" s="6" t="s">
        <v>438</v>
      </c>
      <c r="B690" s="7" t="s">
        <v>1529</v>
      </c>
      <c r="C690" s="7" t="s">
        <v>1529</v>
      </c>
      <c r="D690" s="7" t="s">
        <v>1532</v>
      </c>
      <c r="E690" s="6" t="s">
        <v>1533</v>
      </c>
      <c r="F690" s="8" t="e">
        <f>VLOOKUP($D690,설문!$C$2:$G$444,3,FALSE)</f>
        <v>#N/A</v>
      </c>
      <c r="G690" s="8" t="e">
        <f>VLOOKUP($D690,설문!$C$2:$G$444,4,FALSE)</f>
        <v>#N/A</v>
      </c>
      <c r="H690" s="8" t="e">
        <f>VLOOKUP($D690,설문!$C$2:$G$444,5,FALSE)</f>
        <v>#N/A</v>
      </c>
    </row>
    <row r="691" spans="1:8">
      <c r="A691" s="6" t="s">
        <v>438</v>
      </c>
      <c r="B691" s="7" t="s">
        <v>1600</v>
      </c>
      <c r="C691" s="7" t="s">
        <v>1600</v>
      </c>
      <c r="D691" s="7" t="s">
        <v>1601</v>
      </c>
      <c r="E691" s="6" t="s">
        <v>1602</v>
      </c>
      <c r="F691" s="8" t="e">
        <f>VLOOKUP($D691,설문!$C$2:$G$444,3,FALSE)</f>
        <v>#N/A</v>
      </c>
      <c r="G691" s="8" t="e">
        <f>VLOOKUP($D691,설문!$C$2:$G$444,4,FALSE)</f>
        <v>#N/A</v>
      </c>
      <c r="H691" s="8" t="e">
        <f>VLOOKUP($D691,설문!$C$2:$G$444,5,FALSE)</f>
        <v>#N/A</v>
      </c>
    </row>
    <row r="692" spans="1:8">
      <c r="A692" s="6" t="s">
        <v>438</v>
      </c>
      <c r="B692" s="7" t="s">
        <v>1600</v>
      </c>
      <c r="C692" s="7" t="s">
        <v>1600</v>
      </c>
      <c r="D692" s="7" t="s">
        <v>1603</v>
      </c>
      <c r="E692" s="6" t="s">
        <v>1567</v>
      </c>
      <c r="F692" s="8" t="str">
        <f>VLOOKUP($D692,설문!$C$2:$G$444,3,FALSE)</f>
        <v>트레이더</v>
      </c>
      <c r="G692" s="8" t="str">
        <f>VLOOKUP($D692,설문!$C$2:$G$444,4,FALSE)</f>
        <v>금융회사,금융 유관기관</v>
      </c>
      <c r="H692" s="8" t="str">
        <f>VLOOKUP($D692,설문!$C$2:$G$444,5,FALSE)</f>
        <v>국내주식/지수,국내주식/지수관련파생</v>
      </c>
    </row>
    <row r="693" spans="1:8">
      <c r="A693" s="6" t="s">
        <v>438</v>
      </c>
      <c r="B693" s="7" t="s">
        <v>1649</v>
      </c>
      <c r="C693" s="7" t="s">
        <v>1649</v>
      </c>
      <c r="D693" s="7" t="s">
        <v>1650</v>
      </c>
      <c r="E693" s="6" t="s">
        <v>1511</v>
      </c>
      <c r="F693" s="8" t="e">
        <f>VLOOKUP($D693,설문!$C$2:$G$444,3,FALSE)</f>
        <v>#N/A</v>
      </c>
      <c r="G693" s="8" t="e">
        <f>VLOOKUP($D693,설문!$C$2:$G$444,4,FALSE)</f>
        <v>#N/A</v>
      </c>
      <c r="H693" s="8" t="e">
        <f>VLOOKUP($D693,설문!$C$2:$G$444,5,FALSE)</f>
        <v>#N/A</v>
      </c>
    </row>
    <row r="694" spans="1:8">
      <c r="A694" s="6" t="s">
        <v>438</v>
      </c>
      <c r="B694" s="7" t="s">
        <v>1649</v>
      </c>
      <c r="C694" s="7" t="s">
        <v>1649</v>
      </c>
      <c r="D694" s="7" t="s">
        <v>1651</v>
      </c>
      <c r="E694" s="6" t="s">
        <v>1652</v>
      </c>
      <c r="F694" s="8" t="e">
        <f>VLOOKUP($D694,설문!$C$2:$G$444,3,FALSE)</f>
        <v>#N/A</v>
      </c>
      <c r="G694" s="8" t="e">
        <f>VLOOKUP($D694,설문!$C$2:$G$444,4,FALSE)</f>
        <v>#N/A</v>
      </c>
      <c r="H694" s="8" t="e">
        <f>VLOOKUP($D694,설문!$C$2:$G$444,5,FALSE)</f>
        <v>#N/A</v>
      </c>
    </row>
    <row r="695" spans="1:8">
      <c r="A695" s="6" t="s">
        <v>438</v>
      </c>
      <c r="B695" s="7" t="s">
        <v>1649</v>
      </c>
      <c r="C695" s="7" t="s">
        <v>1649</v>
      </c>
      <c r="D695" s="7" t="s">
        <v>1653</v>
      </c>
      <c r="E695" s="6" t="s">
        <v>637</v>
      </c>
      <c r="F695" s="8" t="e">
        <f>VLOOKUP($D695,설문!$C$2:$G$444,3,FALSE)</f>
        <v>#N/A</v>
      </c>
      <c r="G695" s="8" t="e">
        <f>VLOOKUP($D695,설문!$C$2:$G$444,4,FALSE)</f>
        <v>#N/A</v>
      </c>
      <c r="H695" s="8" t="e">
        <f>VLOOKUP($D695,설문!$C$2:$G$444,5,FALSE)</f>
        <v>#N/A</v>
      </c>
    </row>
    <row r="696" spans="1:8">
      <c r="A696" s="6" t="s">
        <v>438</v>
      </c>
      <c r="B696" s="7" t="s">
        <v>1753</v>
      </c>
      <c r="C696" s="7" t="s">
        <v>1753</v>
      </c>
      <c r="D696" s="7" t="s">
        <v>1754</v>
      </c>
      <c r="E696" s="6" t="s">
        <v>1755</v>
      </c>
      <c r="F696" s="8" t="e">
        <f>VLOOKUP($D696,설문!$C$2:$G$444,3,FALSE)</f>
        <v>#N/A</v>
      </c>
      <c r="G696" s="8" t="e">
        <f>VLOOKUP($D696,설문!$C$2:$G$444,4,FALSE)</f>
        <v>#N/A</v>
      </c>
      <c r="H696" s="8" t="e">
        <f>VLOOKUP($D696,설문!$C$2:$G$444,5,FALSE)</f>
        <v>#N/A</v>
      </c>
    </row>
    <row r="697" spans="1:8">
      <c r="A697" s="6" t="s">
        <v>438</v>
      </c>
      <c r="B697" s="7" t="s">
        <v>2310</v>
      </c>
      <c r="C697" s="7" t="s">
        <v>2310</v>
      </c>
      <c r="D697" s="7" t="s">
        <v>2311</v>
      </c>
      <c r="E697" s="6" t="s">
        <v>2312</v>
      </c>
      <c r="F697" s="8" t="e">
        <f>VLOOKUP($D697,설문!$C$2:$G$444,3,FALSE)</f>
        <v>#N/A</v>
      </c>
      <c r="G697" s="8" t="e">
        <f>VLOOKUP($D697,설문!$C$2:$G$444,4,FALSE)</f>
        <v>#N/A</v>
      </c>
      <c r="H697" s="8" t="e">
        <f>VLOOKUP($D697,설문!$C$2:$G$444,5,FALSE)</f>
        <v>#N/A</v>
      </c>
    </row>
    <row r="698" spans="1:8">
      <c r="A698" s="6" t="s">
        <v>438</v>
      </c>
      <c r="B698" s="7" t="s">
        <v>6775</v>
      </c>
      <c r="C698" s="7" t="s">
        <v>6775</v>
      </c>
      <c r="D698" s="7" t="s">
        <v>6776</v>
      </c>
      <c r="E698" s="6" t="s">
        <v>6777</v>
      </c>
      <c r="F698" s="8" t="e">
        <f>VLOOKUP($D698,설문!$C$2:$G$444,3,FALSE)</f>
        <v>#N/A</v>
      </c>
      <c r="G698" s="8" t="e">
        <f>VLOOKUP($D698,설문!$C$2:$G$444,4,FALSE)</f>
        <v>#N/A</v>
      </c>
      <c r="H698" s="8" t="e">
        <f>VLOOKUP($D698,설문!$C$2:$G$444,5,FALSE)</f>
        <v>#N/A</v>
      </c>
    </row>
    <row r="699" spans="1:8">
      <c r="A699" s="6" t="s">
        <v>438</v>
      </c>
      <c r="B699" s="7" t="s">
        <v>2310</v>
      </c>
      <c r="C699" s="7" t="s">
        <v>2310</v>
      </c>
      <c r="D699" s="7" t="s">
        <v>6778</v>
      </c>
      <c r="E699" s="6" t="s">
        <v>6779</v>
      </c>
      <c r="F699" s="8" t="e">
        <f>VLOOKUP($D699,설문!$C$2:$G$444,3,FALSE)</f>
        <v>#N/A</v>
      </c>
      <c r="G699" s="8" t="e">
        <f>VLOOKUP($D699,설문!$C$2:$G$444,4,FALSE)</f>
        <v>#N/A</v>
      </c>
      <c r="H699" s="8" t="e">
        <f>VLOOKUP($D699,설문!$C$2:$G$444,5,FALSE)</f>
        <v>#N/A</v>
      </c>
    </row>
    <row r="700" spans="1:8">
      <c r="A700" s="6" t="s">
        <v>438</v>
      </c>
      <c r="B700" s="7" t="s">
        <v>1649</v>
      </c>
      <c r="C700" s="7" t="s">
        <v>4618</v>
      </c>
      <c r="D700" s="7" t="s">
        <v>6780</v>
      </c>
      <c r="E700" s="6" t="s">
        <v>6781</v>
      </c>
      <c r="F700" s="8" t="str">
        <f>VLOOKUP($D700,설문!$C$2:$G$444,3,FALSE)</f>
        <v>딜러</v>
      </c>
      <c r="G700" s="8" t="str">
        <f>VLOOKUP($D700,설문!$C$2:$G$444,4,FALSE)</f>
        <v>금융회사,금융 유관기관</v>
      </c>
      <c r="H700" s="8" t="str">
        <f>VLOOKUP($D700,설문!$C$2:$G$444,5,FALSE)</f>
        <v>국고채/통안채,회사채,단기자금,국채선물,Korean Paper,외화채권(KP제외),외화채권선물,원화 구조화채권,외화 구조화채권,원화 이자율스왑,외화 이자율스왑,FX Spot &amp; FX Swap,ELS/DLS</v>
      </c>
    </row>
    <row r="701" spans="1:8">
      <c r="A701" s="6" t="s">
        <v>438</v>
      </c>
      <c r="B701" s="7" t="s">
        <v>3958</v>
      </c>
      <c r="C701" s="7" t="s">
        <v>3958</v>
      </c>
      <c r="D701" s="7" t="s">
        <v>6782</v>
      </c>
      <c r="E701" s="6" t="s">
        <v>4100</v>
      </c>
      <c r="F701" s="8" t="e">
        <f>VLOOKUP($D701,설문!$C$2:$G$444,3,FALSE)</f>
        <v>#N/A</v>
      </c>
      <c r="G701" s="8" t="e">
        <f>VLOOKUP($D701,설문!$C$2:$G$444,4,FALSE)</f>
        <v>#N/A</v>
      </c>
      <c r="H701" s="8" t="e">
        <f>VLOOKUP($D701,설문!$C$2:$G$444,5,FALSE)</f>
        <v>#N/A</v>
      </c>
    </row>
    <row r="702" spans="1:8">
      <c r="A702" s="6" t="s">
        <v>438</v>
      </c>
      <c r="B702" s="7" t="s">
        <v>1649</v>
      </c>
      <c r="C702" s="7" t="s">
        <v>1649</v>
      </c>
      <c r="D702" s="7" t="s">
        <v>6783</v>
      </c>
      <c r="E702" s="6" t="s">
        <v>6784</v>
      </c>
      <c r="F702" s="8" t="e">
        <f>VLOOKUP($D702,설문!$C$2:$G$444,3,FALSE)</f>
        <v>#N/A</v>
      </c>
      <c r="G702" s="8" t="e">
        <f>VLOOKUP($D702,설문!$C$2:$G$444,4,FALSE)</f>
        <v>#N/A</v>
      </c>
      <c r="H702" s="8" t="e">
        <f>VLOOKUP($D702,설문!$C$2:$G$444,5,FALSE)</f>
        <v>#N/A</v>
      </c>
    </row>
    <row r="703" spans="1:8">
      <c r="A703" s="6" t="s">
        <v>438</v>
      </c>
      <c r="B703" s="7" t="s">
        <v>1649</v>
      </c>
      <c r="C703" s="7" t="s">
        <v>1649</v>
      </c>
      <c r="D703" s="7" t="s">
        <v>6785</v>
      </c>
      <c r="E703" s="6" t="s">
        <v>6786</v>
      </c>
      <c r="F703" s="8" t="str">
        <f>VLOOKUP($D703,설문!$C$2:$G$444,3,FALSE)</f>
        <v>딜러</v>
      </c>
      <c r="G703" s="8" t="str">
        <f>VLOOKUP($D703,설문!$C$2:$G$444,4,FALSE)</f>
        <v>기타</v>
      </c>
      <c r="H703" s="8" t="str">
        <f>VLOOKUP($D703,설문!$C$2:$G$444,5,FALSE)</f>
        <v>국고채/통안채</v>
      </c>
    </row>
    <row r="704" spans="1:8">
      <c r="A704" s="6" t="s">
        <v>438</v>
      </c>
      <c r="B704" s="7" t="s">
        <v>1649</v>
      </c>
      <c r="C704" s="7" t="s">
        <v>1649</v>
      </c>
      <c r="D704" s="7" t="s">
        <v>6787</v>
      </c>
      <c r="E704" s="6" t="s">
        <v>6168</v>
      </c>
      <c r="F704" s="8" t="e">
        <f>VLOOKUP($D704,설문!$C$2:$G$444,3,FALSE)</f>
        <v>#N/A</v>
      </c>
      <c r="G704" s="8" t="e">
        <f>VLOOKUP($D704,설문!$C$2:$G$444,4,FALSE)</f>
        <v>#N/A</v>
      </c>
      <c r="H704" s="8" t="e">
        <f>VLOOKUP($D704,설문!$C$2:$G$444,5,FALSE)</f>
        <v>#N/A</v>
      </c>
    </row>
    <row r="705" spans="1:8">
      <c r="A705" s="6" t="s">
        <v>438</v>
      </c>
      <c r="B705" s="7" t="s">
        <v>1529</v>
      </c>
      <c r="C705" s="7" t="s">
        <v>1529</v>
      </c>
      <c r="D705" s="7" t="s">
        <v>6788</v>
      </c>
      <c r="E705" s="6" t="s">
        <v>6789</v>
      </c>
      <c r="F705" s="8" t="str">
        <f>VLOOKUP($D705,설문!$C$2:$G$444,3,FALSE)</f>
        <v>펀드매니저</v>
      </c>
      <c r="G705" s="8" t="str">
        <f>VLOOKUP($D705,설문!$C$2:$G$444,4,FALSE)</f>
        <v>금융회사,금융 유관기관,일반기업고객,개인고객</v>
      </c>
      <c r="H705" s="8" t="str">
        <f>VLOOKUP($D705,설문!$C$2:$G$444,5,FALSE)</f>
        <v>국내주식/지수,회사채,소액채권,국채선물,외화채권선물,원화 구조화채권,원화 이자율스왑</v>
      </c>
    </row>
    <row r="706" spans="1:8">
      <c r="A706" s="6" t="s">
        <v>438</v>
      </c>
      <c r="B706" s="7" t="s">
        <v>6790</v>
      </c>
      <c r="C706" s="7" t="s">
        <v>1649</v>
      </c>
      <c r="D706" s="7" t="s">
        <v>6791</v>
      </c>
      <c r="E706" s="6" t="s">
        <v>6792</v>
      </c>
      <c r="F706" s="8" t="str">
        <f>VLOOKUP($D706,설문!$C$2:$G$444,3,FALSE)</f>
        <v>브로커</v>
      </c>
      <c r="G706" s="8" t="str">
        <f>VLOOKUP($D706,설문!$C$2:$G$444,4,FALSE)</f>
        <v>금융회사,금융 유관기관</v>
      </c>
      <c r="H706" s="8" t="str">
        <f>VLOOKUP($D706,설문!$C$2:$G$444,5,FALSE)</f>
        <v>국고채/통안채,회사채,국채선물</v>
      </c>
    </row>
    <row r="707" spans="1:8">
      <c r="A707" s="6" t="s">
        <v>438</v>
      </c>
      <c r="B707" s="7" t="s">
        <v>4618</v>
      </c>
      <c r="C707" s="7" t="s">
        <v>4618</v>
      </c>
      <c r="D707" s="7" t="s">
        <v>6793</v>
      </c>
      <c r="E707" s="6" t="s">
        <v>2680</v>
      </c>
      <c r="F707" s="8" t="e">
        <f>VLOOKUP($D707,설문!$C$2:$G$444,3,FALSE)</f>
        <v>#N/A</v>
      </c>
      <c r="G707" s="8" t="e">
        <f>VLOOKUP($D707,설문!$C$2:$G$444,4,FALSE)</f>
        <v>#N/A</v>
      </c>
      <c r="H707" s="8" t="e">
        <f>VLOOKUP($D707,설문!$C$2:$G$444,5,FALSE)</f>
        <v>#N/A</v>
      </c>
    </row>
    <row r="708" spans="1:8">
      <c r="A708" s="6" t="s">
        <v>438</v>
      </c>
      <c r="B708" s="7" t="s">
        <v>1600</v>
      </c>
      <c r="C708" s="7" t="s">
        <v>1600</v>
      </c>
      <c r="D708" s="7" t="s">
        <v>6794</v>
      </c>
      <c r="E708" s="6" t="s">
        <v>6795</v>
      </c>
      <c r="F708" s="8" t="e">
        <f>VLOOKUP($D708,설문!$C$2:$G$444,3,FALSE)</f>
        <v>#N/A</v>
      </c>
      <c r="G708" s="8" t="e">
        <f>VLOOKUP($D708,설문!$C$2:$G$444,4,FALSE)</f>
        <v>#N/A</v>
      </c>
      <c r="H708" s="8" t="e">
        <f>VLOOKUP($D708,설문!$C$2:$G$444,5,FALSE)</f>
        <v>#N/A</v>
      </c>
    </row>
    <row r="709" spans="1:8">
      <c r="A709" s="6" t="s">
        <v>438</v>
      </c>
      <c r="B709" s="7" t="s">
        <v>1600</v>
      </c>
      <c r="C709" s="7" t="s">
        <v>1600</v>
      </c>
      <c r="D709" s="7" t="s">
        <v>6796</v>
      </c>
      <c r="E709" s="6" t="s">
        <v>6797</v>
      </c>
      <c r="F709" s="8" t="e">
        <f>VLOOKUP($D709,설문!$C$2:$G$444,3,FALSE)</f>
        <v>#N/A</v>
      </c>
      <c r="G709" s="8" t="e">
        <f>VLOOKUP($D709,설문!$C$2:$G$444,4,FALSE)</f>
        <v>#N/A</v>
      </c>
      <c r="H709" s="8" t="e">
        <f>VLOOKUP($D709,설문!$C$2:$G$444,5,FALSE)</f>
        <v>#N/A</v>
      </c>
    </row>
    <row r="710" spans="1:8">
      <c r="A710" s="6" t="s">
        <v>438</v>
      </c>
      <c r="B710" s="7" t="s">
        <v>6798</v>
      </c>
      <c r="C710" s="7" t="s">
        <v>6798</v>
      </c>
      <c r="D710" s="7" t="s">
        <v>6799</v>
      </c>
      <c r="E710" s="6" t="s">
        <v>6800</v>
      </c>
      <c r="F710" s="8" t="e">
        <f>VLOOKUP($D710,설문!$C$2:$G$444,3,FALSE)</f>
        <v>#N/A</v>
      </c>
      <c r="G710" s="8" t="e">
        <f>VLOOKUP($D710,설문!$C$2:$G$444,4,FALSE)</f>
        <v>#N/A</v>
      </c>
      <c r="H710" s="8" t="e">
        <f>VLOOKUP($D710,설문!$C$2:$G$444,5,FALSE)</f>
        <v>#N/A</v>
      </c>
    </row>
    <row r="711" spans="1:8">
      <c r="A711" s="6" t="s">
        <v>991</v>
      </c>
      <c r="B711" s="7" t="s">
        <v>992</v>
      </c>
      <c r="C711" s="7" t="s">
        <v>993</v>
      </c>
      <c r="D711" s="7" t="s">
        <v>994</v>
      </c>
      <c r="E711" s="6" t="s">
        <v>995</v>
      </c>
      <c r="F711" s="8" t="e">
        <f>VLOOKUP($D711,설문!$C$2:$G$444,3,FALSE)</f>
        <v>#N/A</v>
      </c>
      <c r="G711" s="8" t="e">
        <f>VLOOKUP($D711,설문!$C$2:$G$444,4,FALSE)</f>
        <v>#N/A</v>
      </c>
      <c r="H711" s="8" t="e">
        <f>VLOOKUP($D711,설문!$C$2:$G$444,5,FALSE)</f>
        <v>#N/A</v>
      </c>
    </row>
    <row r="712" spans="1:8">
      <c r="A712" s="6" t="s">
        <v>991</v>
      </c>
      <c r="B712" s="7" t="s">
        <v>1834</v>
      </c>
      <c r="C712" s="7" t="s">
        <v>1834</v>
      </c>
      <c r="D712" s="7" t="s">
        <v>1835</v>
      </c>
      <c r="E712" s="6" t="s">
        <v>1836</v>
      </c>
      <c r="F712" s="8" t="e">
        <f>VLOOKUP($D712,설문!$C$2:$G$444,3,FALSE)</f>
        <v>#N/A</v>
      </c>
      <c r="G712" s="8" t="e">
        <f>VLOOKUP($D712,설문!$C$2:$G$444,4,FALSE)</f>
        <v>#N/A</v>
      </c>
      <c r="H712" s="8" t="e">
        <f>VLOOKUP($D712,설문!$C$2:$G$444,5,FALSE)</f>
        <v>#N/A</v>
      </c>
    </row>
    <row r="713" spans="1:8">
      <c r="A713" s="6" t="s">
        <v>991</v>
      </c>
      <c r="B713" s="7" t="s">
        <v>2742</v>
      </c>
      <c r="C713" s="7" t="s">
        <v>2742</v>
      </c>
      <c r="D713" s="7" t="s">
        <v>2743</v>
      </c>
      <c r="E713" s="6" t="s">
        <v>2744</v>
      </c>
      <c r="F713" s="8" t="e">
        <f>VLOOKUP($D713,설문!$C$2:$G$444,3,FALSE)</f>
        <v>#N/A</v>
      </c>
      <c r="G713" s="8" t="e">
        <f>VLOOKUP($D713,설문!$C$2:$G$444,4,FALSE)</f>
        <v>#N/A</v>
      </c>
      <c r="H713" s="8" t="e">
        <f>VLOOKUP($D713,설문!$C$2:$G$444,5,FALSE)</f>
        <v>#N/A</v>
      </c>
    </row>
    <row r="714" spans="1:8">
      <c r="A714" s="6" t="s">
        <v>991</v>
      </c>
      <c r="B714" s="7" t="s">
        <v>1834</v>
      </c>
      <c r="C714" s="7" t="s">
        <v>1834</v>
      </c>
      <c r="D714" s="7" t="s">
        <v>2745</v>
      </c>
      <c r="E714" s="6" t="s">
        <v>2746</v>
      </c>
      <c r="F714" s="8" t="e">
        <f>VLOOKUP($D714,설문!$C$2:$G$444,3,FALSE)</f>
        <v>#N/A</v>
      </c>
      <c r="G714" s="8" t="e">
        <f>VLOOKUP($D714,설문!$C$2:$G$444,4,FALSE)</f>
        <v>#N/A</v>
      </c>
      <c r="H714" s="8" t="e">
        <f>VLOOKUP($D714,설문!$C$2:$G$444,5,FALSE)</f>
        <v>#N/A</v>
      </c>
    </row>
    <row r="715" spans="1:8">
      <c r="A715" s="6" t="s">
        <v>991</v>
      </c>
      <c r="B715" s="7" t="s">
        <v>1834</v>
      </c>
      <c r="C715" s="7" t="s">
        <v>1834</v>
      </c>
      <c r="D715" s="7" t="s">
        <v>2747</v>
      </c>
      <c r="E715" s="6" t="s">
        <v>2748</v>
      </c>
      <c r="F715" s="8" t="str">
        <f>VLOOKUP($D715,설문!$C$2:$G$444,3,FALSE)</f>
        <v>펀드매니저</v>
      </c>
      <c r="G715" s="8" t="str">
        <f>VLOOKUP($D715,설문!$C$2:$G$444,4,FALSE)</f>
        <v>금융회사</v>
      </c>
      <c r="H715" s="8" t="str">
        <f>VLOOKUP($D715,설문!$C$2:$G$444,5,FALSE)</f>
        <v>국내주식/지수</v>
      </c>
    </row>
    <row r="716" spans="1:8">
      <c r="A716" s="6" t="s">
        <v>991</v>
      </c>
      <c r="B716" s="7" t="s">
        <v>1834</v>
      </c>
      <c r="C716" s="7" t="s">
        <v>1834</v>
      </c>
      <c r="D716" s="7" t="s">
        <v>2749</v>
      </c>
      <c r="E716" s="6" t="s">
        <v>2750</v>
      </c>
      <c r="F716" s="8" t="e">
        <f>VLOOKUP($D716,설문!$C$2:$G$444,3,FALSE)</f>
        <v>#N/A</v>
      </c>
      <c r="G716" s="8" t="e">
        <f>VLOOKUP($D716,설문!$C$2:$G$444,4,FALSE)</f>
        <v>#N/A</v>
      </c>
      <c r="H716" s="8" t="e">
        <f>VLOOKUP($D716,설문!$C$2:$G$444,5,FALSE)</f>
        <v>#N/A</v>
      </c>
    </row>
    <row r="717" spans="1:8">
      <c r="A717" s="6" t="s">
        <v>991</v>
      </c>
      <c r="B717" s="7" t="s">
        <v>1834</v>
      </c>
      <c r="C717" s="7" t="s">
        <v>1834</v>
      </c>
      <c r="D717" s="7" t="s">
        <v>2751</v>
      </c>
      <c r="E717" s="6" t="s">
        <v>2752</v>
      </c>
      <c r="F717" s="8" t="e">
        <f>VLOOKUP($D717,설문!$C$2:$G$444,3,FALSE)</f>
        <v>#N/A</v>
      </c>
      <c r="G717" s="8" t="e">
        <f>VLOOKUP($D717,설문!$C$2:$G$444,4,FALSE)</f>
        <v>#N/A</v>
      </c>
      <c r="H717" s="8" t="e">
        <f>VLOOKUP($D717,설문!$C$2:$G$444,5,FALSE)</f>
        <v>#N/A</v>
      </c>
    </row>
    <row r="718" spans="1:8">
      <c r="A718" s="6" t="s">
        <v>991</v>
      </c>
      <c r="B718" s="7" t="s">
        <v>1834</v>
      </c>
      <c r="C718" s="7" t="s">
        <v>1834</v>
      </c>
      <c r="D718" s="7" t="s">
        <v>2753</v>
      </c>
      <c r="E718" s="6" t="s">
        <v>2754</v>
      </c>
      <c r="F718" s="8" t="e">
        <f>VLOOKUP($D718,설문!$C$2:$G$444,3,FALSE)</f>
        <v>#N/A</v>
      </c>
      <c r="G718" s="8" t="e">
        <f>VLOOKUP($D718,설문!$C$2:$G$444,4,FALSE)</f>
        <v>#N/A</v>
      </c>
      <c r="H718" s="8" t="e">
        <f>VLOOKUP($D718,설문!$C$2:$G$444,5,FALSE)</f>
        <v>#N/A</v>
      </c>
    </row>
    <row r="719" spans="1:8">
      <c r="A719" s="6" t="s">
        <v>991</v>
      </c>
      <c r="B719" s="7" t="s">
        <v>992</v>
      </c>
      <c r="C719" s="7" t="s">
        <v>992</v>
      </c>
      <c r="D719" s="7" t="s">
        <v>2755</v>
      </c>
      <c r="E719" s="6" t="s">
        <v>2756</v>
      </c>
      <c r="F719" s="8" t="e">
        <f>VLOOKUP($D719,설문!$C$2:$G$444,3,FALSE)</f>
        <v>#N/A</v>
      </c>
      <c r="G719" s="8" t="e">
        <f>VLOOKUP($D719,설문!$C$2:$G$444,4,FALSE)</f>
        <v>#N/A</v>
      </c>
      <c r="H719" s="8" t="e">
        <f>VLOOKUP($D719,설문!$C$2:$G$444,5,FALSE)</f>
        <v>#N/A</v>
      </c>
    </row>
    <row r="720" spans="1:8">
      <c r="A720" s="6" t="s">
        <v>991</v>
      </c>
      <c r="B720" s="7" t="s">
        <v>992</v>
      </c>
      <c r="C720" s="7" t="s">
        <v>992</v>
      </c>
      <c r="D720" s="7" t="s">
        <v>2757</v>
      </c>
      <c r="E720" s="6" t="s">
        <v>2758</v>
      </c>
      <c r="F720" s="8" t="e">
        <f>VLOOKUP($D720,설문!$C$2:$G$444,3,FALSE)</f>
        <v>#N/A</v>
      </c>
      <c r="G720" s="8" t="e">
        <f>VLOOKUP($D720,설문!$C$2:$G$444,4,FALSE)</f>
        <v>#N/A</v>
      </c>
      <c r="H720" s="8" t="e">
        <f>VLOOKUP($D720,설문!$C$2:$G$444,5,FALSE)</f>
        <v>#N/A</v>
      </c>
    </row>
    <row r="721" spans="1:8">
      <c r="A721" s="6" t="s">
        <v>991</v>
      </c>
      <c r="B721" s="7" t="s">
        <v>992</v>
      </c>
      <c r="C721" s="7" t="s">
        <v>992</v>
      </c>
      <c r="D721" s="7" t="s">
        <v>2759</v>
      </c>
      <c r="E721" s="6" t="s">
        <v>2760</v>
      </c>
      <c r="F721" s="8" t="e">
        <f>VLOOKUP($D721,설문!$C$2:$G$444,3,FALSE)</f>
        <v>#N/A</v>
      </c>
      <c r="G721" s="8" t="e">
        <f>VLOOKUP($D721,설문!$C$2:$G$444,4,FALSE)</f>
        <v>#N/A</v>
      </c>
      <c r="H721" s="8" t="e">
        <f>VLOOKUP($D721,설문!$C$2:$G$444,5,FALSE)</f>
        <v>#N/A</v>
      </c>
    </row>
    <row r="722" spans="1:8">
      <c r="A722" s="6" t="s">
        <v>991</v>
      </c>
      <c r="B722" s="7" t="s">
        <v>992</v>
      </c>
      <c r="C722" s="7" t="s">
        <v>992</v>
      </c>
      <c r="D722" s="7" t="s">
        <v>2761</v>
      </c>
      <c r="E722" s="6" t="s">
        <v>2762</v>
      </c>
      <c r="F722" s="8" t="e">
        <f>VLOOKUP($D722,설문!$C$2:$G$444,3,FALSE)</f>
        <v>#N/A</v>
      </c>
      <c r="G722" s="8" t="e">
        <f>VLOOKUP($D722,설문!$C$2:$G$444,4,FALSE)</f>
        <v>#N/A</v>
      </c>
      <c r="H722" s="8" t="e">
        <f>VLOOKUP($D722,설문!$C$2:$G$444,5,FALSE)</f>
        <v>#N/A</v>
      </c>
    </row>
    <row r="723" spans="1:8">
      <c r="A723" s="6" t="s">
        <v>991</v>
      </c>
      <c r="B723" s="7" t="s">
        <v>992</v>
      </c>
      <c r="C723" s="7" t="s">
        <v>992</v>
      </c>
      <c r="D723" s="7" t="s">
        <v>2763</v>
      </c>
      <c r="E723" s="6" t="s">
        <v>2764</v>
      </c>
      <c r="F723" s="8" t="e">
        <f>VLOOKUP($D723,설문!$C$2:$G$444,3,FALSE)</f>
        <v>#N/A</v>
      </c>
      <c r="G723" s="8" t="e">
        <f>VLOOKUP($D723,설문!$C$2:$G$444,4,FALSE)</f>
        <v>#N/A</v>
      </c>
      <c r="H723" s="8" t="e">
        <f>VLOOKUP($D723,설문!$C$2:$G$444,5,FALSE)</f>
        <v>#N/A</v>
      </c>
    </row>
    <row r="724" spans="1:8">
      <c r="A724" s="6" t="s">
        <v>991</v>
      </c>
      <c r="B724" s="7" t="s">
        <v>2765</v>
      </c>
      <c r="C724" s="7" t="s">
        <v>2765</v>
      </c>
      <c r="D724" s="7" t="s">
        <v>2766</v>
      </c>
      <c r="E724" s="6" t="s">
        <v>2767</v>
      </c>
      <c r="F724" s="8" t="str">
        <f>VLOOKUP($D724,설문!$C$2:$G$444,3,FALSE)</f>
        <v>펀드매니저</v>
      </c>
      <c r="G724" s="8" t="str">
        <f>VLOOKUP($D724,설문!$C$2:$G$444,4,FALSE)</f>
        <v>금융회사</v>
      </c>
      <c r="H724" s="8" t="str">
        <f>VLOOKUP($D724,설문!$C$2:$G$444,5,FALSE)</f>
        <v>대체투자(부동산/인프라)</v>
      </c>
    </row>
    <row r="725" spans="1:8">
      <c r="A725" s="6" t="s">
        <v>991</v>
      </c>
      <c r="B725" s="7" t="s">
        <v>2765</v>
      </c>
      <c r="C725" s="7" t="s">
        <v>2765</v>
      </c>
      <c r="D725" s="7" t="s">
        <v>2768</v>
      </c>
      <c r="E725" s="6" t="s">
        <v>2769</v>
      </c>
      <c r="F725" s="8" t="e">
        <f>VLOOKUP($D725,설문!$C$2:$G$444,3,FALSE)</f>
        <v>#N/A</v>
      </c>
      <c r="G725" s="8" t="e">
        <f>VLOOKUP($D725,설문!$C$2:$G$444,4,FALSE)</f>
        <v>#N/A</v>
      </c>
      <c r="H725" s="8" t="e">
        <f>VLOOKUP($D725,설문!$C$2:$G$444,5,FALSE)</f>
        <v>#N/A</v>
      </c>
    </row>
    <row r="726" spans="1:8">
      <c r="A726" s="6" t="s">
        <v>991</v>
      </c>
      <c r="B726" s="7" t="s">
        <v>2765</v>
      </c>
      <c r="C726" s="7" t="s">
        <v>2765</v>
      </c>
      <c r="D726" s="7" t="s">
        <v>2770</v>
      </c>
      <c r="E726" s="6" t="s">
        <v>2769</v>
      </c>
      <c r="F726" s="8" t="e">
        <f>VLOOKUP($D726,설문!$C$2:$G$444,3,FALSE)</f>
        <v>#N/A</v>
      </c>
      <c r="G726" s="8" t="e">
        <f>VLOOKUP($D726,설문!$C$2:$G$444,4,FALSE)</f>
        <v>#N/A</v>
      </c>
      <c r="H726" s="8" t="e">
        <f>VLOOKUP($D726,설문!$C$2:$G$444,5,FALSE)</f>
        <v>#N/A</v>
      </c>
    </row>
    <row r="727" spans="1:8">
      <c r="A727" s="6" t="s">
        <v>1163</v>
      </c>
      <c r="B727" s="7" t="s">
        <v>1131</v>
      </c>
      <c r="C727" s="7" t="s">
        <v>1131</v>
      </c>
      <c r="D727" s="7" t="s">
        <v>1164</v>
      </c>
      <c r="E727" s="6" t="s">
        <v>1165</v>
      </c>
      <c r="F727" s="8" t="str">
        <f>VLOOKUP($D727,설문!$C$2:$G$444,3,FALSE)</f>
        <v>기타,리스크관리(미들)</v>
      </c>
      <c r="G727" s="8" t="str">
        <f>VLOOKUP($D727,설문!$C$2:$G$444,4,FALSE)</f>
        <v>개인고객</v>
      </c>
      <c r="H727" s="8" t="str">
        <f>VLOOKUP($D727,설문!$C$2:$G$444,5,FALSE)</f>
        <v>국내주식/지수,국고채/통안채,회사채,외화채권(KP제외),원화 구조화채권</v>
      </c>
    </row>
    <row r="728" spans="1:8">
      <c r="A728" s="6" t="s">
        <v>3904</v>
      </c>
      <c r="B728" s="7" t="s">
        <v>3905</v>
      </c>
      <c r="C728" s="7" t="s">
        <v>2161</v>
      </c>
      <c r="D728" s="7" t="s">
        <v>3906</v>
      </c>
      <c r="E728" s="6" t="s">
        <v>1004</v>
      </c>
      <c r="F728" s="8" t="e">
        <f>VLOOKUP($D728,설문!$C$2:$G$444,3,FALSE)</f>
        <v>#N/A</v>
      </c>
      <c r="G728" s="8" t="e">
        <f>VLOOKUP($D728,설문!$C$2:$G$444,4,FALSE)</f>
        <v>#N/A</v>
      </c>
      <c r="H728" s="8" t="e">
        <f>VLOOKUP($D728,설문!$C$2:$G$444,5,FALSE)</f>
        <v>#N/A</v>
      </c>
    </row>
    <row r="729" spans="1:8">
      <c r="A729" s="6" t="s">
        <v>3904</v>
      </c>
      <c r="B729" s="7" t="s">
        <v>3907</v>
      </c>
      <c r="C729" s="7" t="s">
        <v>1319</v>
      </c>
      <c r="D729" s="7" t="s">
        <v>3908</v>
      </c>
      <c r="E729" s="6" t="s">
        <v>3909</v>
      </c>
      <c r="F729" s="8" t="e">
        <f>VLOOKUP($D729,설문!$C$2:$G$444,3,FALSE)</f>
        <v>#N/A</v>
      </c>
      <c r="G729" s="8" t="e">
        <f>VLOOKUP($D729,설문!$C$2:$G$444,4,FALSE)</f>
        <v>#N/A</v>
      </c>
      <c r="H729" s="8" t="e">
        <f>VLOOKUP($D729,설문!$C$2:$G$444,5,FALSE)</f>
        <v>#N/A</v>
      </c>
    </row>
    <row r="730" spans="1:8">
      <c r="A730" s="6" t="s">
        <v>920</v>
      </c>
      <c r="B730" s="7" t="s">
        <v>921</v>
      </c>
      <c r="C730" s="7" t="s">
        <v>922</v>
      </c>
      <c r="D730" s="7" t="s">
        <v>923</v>
      </c>
      <c r="E730" s="6" t="s">
        <v>924</v>
      </c>
      <c r="F730" s="8" t="e">
        <f>VLOOKUP($D730,설문!$C$2:$G$444,3,FALSE)</f>
        <v>#N/A</v>
      </c>
      <c r="G730" s="8" t="e">
        <f>VLOOKUP($D730,설문!$C$2:$G$444,4,FALSE)</f>
        <v>#N/A</v>
      </c>
      <c r="H730" s="8" t="e">
        <f>VLOOKUP($D730,설문!$C$2:$G$444,5,FALSE)</f>
        <v>#N/A</v>
      </c>
    </row>
    <row r="731" spans="1:8">
      <c r="A731" s="6" t="s">
        <v>920</v>
      </c>
      <c r="B731" s="7" t="s">
        <v>1079</v>
      </c>
      <c r="C731" s="7" t="s">
        <v>1079</v>
      </c>
      <c r="D731" s="7" t="s">
        <v>1080</v>
      </c>
      <c r="E731" s="6" t="s">
        <v>1081</v>
      </c>
      <c r="F731" s="8" t="e">
        <f>VLOOKUP($D731,설문!$C$2:$G$444,3,FALSE)</f>
        <v>#N/A</v>
      </c>
      <c r="G731" s="8" t="e">
        <f>VLOOKUP($D731,설문!$C$2:$G$444,4,FALSE)</f>
        <v>#N/A</v>
      </c>
      <c r="H731" s="8" t="e">
        <f>VLOOKUP($D731,설문!$C$2:$G$444,5,FALSE)</f>
        <v>#N/A</v>
      </c>
    </row>
    <row r="732" spans="1:8">
      <c r="A732" s="6" t="s">
        <v>920</v>
      </c>
      <c r="B732" s="7" t="s">
        <v>1079</v>
      </c>
      <c r="C732" s="7" t="s">
        <v>429</v>
      </c>
      <c r="D732" s="7" t="s">
        <v>1261</v>
      </c>
      <c r="E732" s="6" t="s">
        <v>1262</v>
      </c>
      <c r="F732" s="8" t="e">
        <f>VLOOKUP($D732,설문!$C$2:$G$444,3,FALSE)</f>
        <v>#N/A</v>
      </c>
      <c r="G732" s="8" t="e">
        <f>VLOOKUP($D732,설문!$C$2:$G$444,4,FALSE)</f>
        <v>#N/A</v>
      </c>
      <c r="H732" s="8" t="e">
        <f>VLOOKUP($D732,설문!$C$2:$G$444,5,FALSE)</f>
        <v>#N/A</v>
      </c>
    </row>
    <row r="733" spans="1:8">
      <c r="A733" s="6" t="s">
        <v>920</v>
      </c>
      <c r="B733" s="7" t="s">
        <v>1079</v>
      </c>
      <c r="C733" s="7" t="s">
        <v>429</v>
      </c>
      <c r="D733" s="7" t="s">
        <v>1940</v>
      </c>
      <c r="E733" s="6" t="s">
        <v>1941</v>
      </c>
      <c r="F733" s="8" t="e">
        <f>VLOOKUP($D733,설문!$C$2:$G$444,3,FALSE)</f>
        <v>#N/A</v>
      </c>
      <c r="G733" s="8" t="e">
        <f>VLOOKUP($D733,설문!$C$2:$G$444,4,FALSE)</f>
        <v>#N/A</v>
      </c>
      <c r="H733" s="8" t="e">
        <f>VLOOKUP($D733,설문!$C$2:$G$444,5,FALSE)</f>
        <v>#N/A</v>
      </c>
    </row>
    <row r="734" spans="1:8">
      <c r="A734" s="6" t="s">
        <v>920</v>
      </c>
      <c r="B734" s="7" t="s">
        <v>4794</v>
      </c>
      <c r="C734" s="7" t="s">
        <v>429</v>
      </c>
      <c r="D734" s="7" t="s">
        <v>4795</v>
      </c>
      <c r="E734" s="6" t="s">
        <v>4796</v>
      </c>
      <c r="F734" s="8" t="e">
        <f>VLOOKUP($D734,설문!$C$2:$G$444,3,FALSE)</f>
        <v>#N/A</v>
      </c>
      <c r="G734" s="8" t="e">
        <f>VLOOKUP($D734,설문!$C$2:$G$444,4,FALSE)</f>
        <v>#N/A</v>
      </c>
      <c r="H734" s="8" t="e">
        <f>VLOOKUP($D734,설문!$C$2:$G$444,5,FALSE)</f>
        <v>#N/A</v>
      </c>
    </row>
    <row r="735" spans="1:8">
      <c r="A735" s="6" t="s">
        <v>920</v>
      </c>
      <c r="B735" s="7" t="s">
        <v>1079</v>
      </c>
      <c r="C735" s="7" t="s">
        <v>921</v>
      </c>
      <c r="D735" s="7" t="s">
        <v>4797</v>
      </c>
      <c r="E735" s="6" t="s">
        <v>4798</v>
      </c>
      <c r="F735" s="8" t="e">
        <f>VLOOKUP($D735,설문!$C$2:$G$444,3,FALSE)</f>
        <v>#N/A</v>
      </c>
      <c r="G735" s="8" t="e">
        <f>VLOOKUP($D735,설문!$C$2:$G$444,4,FALSE)</f>
        <v>#N/A</v>
      </c>
      <c r="H735" s="8" t="e">
        <f>VLOOKUP($D735,설문!$C$2:$G$444,5,FALSE)</f>
        <v>#N/A</v>
      </c>
    </row>
    <row r="736" spans="1:8">
      <c r="A736" s="6" t="s">
        <v>920</v>
      </c>
      <c r="B736" s="7" t="s">
        <v>1079</v>
      </c>
      <c r="C736" s="7" t="s">
        <v>921</v>
      </c>
      <c r="D736" s="7" t="s">
        <v>4799</v>
      </c>
      <c r="E736" s="6" t="s">
        <v>4800</v>
      </c>
      <c r="F736" s="8" t="e">
        <f>VLOOKUP($D736,설문!$C$2:$G$444,3,FALSE)</f>
        <v>#N/A</v>
      </c>
      <c r="G736" s="8" t="e">
        <f>VLOOKUP($D736,설문!$C$2:$G$444,4,FALSE)</f>
        <v>#N/A</v>
      </c>
      <c r="H736" s="8" t="e">
        <f>VLOOKUP($D736,설문!$C$2:$G$444,5,FALSE)</f>
        <v>#N/A</v>
      </c>
    </row>
    <row r="737" spans="1:8">
      <c r="A737" s="6" t="s">
        <v>920</v>
      </c>
      <c r="B737" s="7" t="s">
        <v>1079</v>
      </c>
      <c r="C737" s="7" t="s">
        <v>4801</v>
      </c>
      <c r="D737" s="7" t="s">
        <v>4802</v>
      </c>
      <c r="E737" s="6" t="s">
        <v>4803</v>
      </c>
      <c r="F737" s="8" t="str">
        <f>VLOOKUP($D737,설문!$C$2:$G$444,3,FALSE)</f>
        <v>트레이더,딜러</v>
      </c>
      <c r="G737" s="8" t="str">
        <f>VLOOKUP($D737,설문!$C$2:$G$444,4,FALSE)</f>
        <v>금융회사</v>
      </c>
      <c r="H737" s="8" t="str">
        <f>VLOOKUP($D737,설문!$C$2:$G$444,5,FALSE)</f>
        <v>국내주식/지수</v>
      </c>
    </row>
    <row r="738" spans="1:8">
      <c r="A738" s="6" t="s">
        <v>920</v>
      </c>
      <c r="B738" s="7" t="s">
        <v>1079</v>
      </c>
      <c r="C738" s="7" t="s">
        <v>4804</v>
      </c>
      <c r="D738" s="7" t="s">
        <v>4805</v>
      </c>
      <c r="E738" s="6" t="s">
        <v>4806</v>
      </c>
      <c r="F738" s="8" t="e">
        <f>VLOOKUP($D738,설문!$C$2:$G$444,3,FALSE)</f>
        <v>#N/A</v>
      </c>
      <c r="G738" s="8" t="e">
        <f>VLOOKUP($D738,설문!$C$2:$G$444,4,FALSE)</f>
        <v>#N/A</v>
      </c>
      <c r="H738" s="8" t="e">
        <f>VLOOKUP($D738,설문!$C$2:$G$444,5,FALSE)</f>
        <v>#N/A</v>
      </c>
    </row>
    <row r="739" spans="1:8">
      <c r="A739" s="6" t="s">
        <v>920</v>
      </c>
      <c r="B739" s="7" t="s">
        <v>1079</v>
      </c>
      <c r="C739" s="7" t="s">
        <v>429</v>
      </c>
      <c r="D739" s="7" t="s">
        <v>4807</v>
      </c>
      <c r="E739" s="6" t="s">
        <v>4808</v>
      </c>
      <c r="F739" s="8" t="e">
        <f>VLOOKUP($D739,설문!$C$2:$G$444,3,FALSE)</f>
        <v>#N/A</v>
      </c>
      <c r="G739" s="8" t="e">
        <f>VLOOKUP($D739,설문!$C$2:$G$444,4,FALSE)</f>
        <v>#N/A</v>
      </c>
      <c r="H739" s="8" t="e">
        <f>VLOOKUP($D739,설문!$C$2:$G$444,5,FALSE)</f>
        <v>#N/A</v>
      </c>
    </row>
    <row r="740" spans="1:8">
      <c r="A740" s="6" t="s">
        <v>920</v>
      </c>
      <c r="B740" s="7" t="s">
        <v>1079</v>
      </c>
      <c r="C740" s="7" t="s">
        <v>4809</v>
      </c>
      <c r="D740" s="7" t="s">
        <v>4810</v>
      </c>
      <c r="E740" s="6" t="s">
        <v>4809</v>
      </c>
      <c r="F740" s="8" t="e">
        <f>VLOOKUP($D740,설문!$C$2:$G$444,3,FALSE)</f>
        <v>#N/A</v>
      </c>
      <c r="G740" s="8" t="e">
        <f>VLOOKUP($D740,설문!$C$2:$G$444,4,FALSE)</f>
        <v>#N/A</v>
      </c>
      <c r="H740" s="8" t="e">
        <f>VLOOKUP($D740,설문!$C$2:$G$444,5,FALSE)</f>
        <v>#N/A</v>
      </c>
    </row>
    <row r="741" spans="1:8">
      <c r="A741" s="6" t="s">
        <v>2628</v>
      </c>
      <c r="B741" s="7" t="s">
        <v>2629</v>
      </c>
      <c r="C741" s="7" t="s">
        <v>1131</v>
      </c>
      <c r="D741" s="7" t="s">
        <v>2630</v>
      </c>
      <c r="E741" s="6" t="s">
        <v>2631</v>
      </c>
      <c r="F741" s="8" t="e">
        <f>VLOOKUP($D741,설문!$C$2:$G$444,3,FALSE)</f>
        <v>#N/A</v>
      </c>
      <c r="G741" s="8" t="e">
        <f>VLOOKUP($D741,설문!$C$2:$G$444,4,FALSE)</f>
        <v>#N/A</v>
      </c>
      <c r="H741" s="8" t="e">
        <f>VLOOKUP($D741,설문!$C$2:$G$444,5,FALSE)</f>
        <v>#N/A</v>
      </c>
    </row>
    <row r="742" spans="1:8">
      <c r="A742" s="6" t="s">
        <v>1923</v>
      </c>
      <c r="B742" s="7" t="s">
        <v>508</v>
      </c>
      <c r="C742" s="7" t="s">
        <v>508</v>
      </c>
      <c r="D742" s="7" t="s">
        <v>1924</v>
      </c>
      <c r="E742" s="6" t="s">
        <v>1342</v>
      </c>
      <c r="F742" s="8" t="e">
        <f>VLOOKUP($D742,설문!$C$2:$G$444,3,FALSE)</f>
        <v>#N/A</v>
      </c>
      <c r="G742" s="8" t="e">
        <f>VLOOKUP($D742,설문!$C$2:$G$444,4,FALSE)</f>
        <v>#N/A</v>
      </c>
      <c r="H742" s="8" t="e">
        <f>VLOOKUP($D742,설문!$C$2:$G$444,5,FALSE)</f>
        <v>#N/A</v>
      </c>
    </row>
    <row r="743" spans="1:8">
      <c r="A743" s="6" t="s">
        <v>1923</v>
      </c>
      <c r="B743" s="7" t="s">
        <v>1131</v>
      </c>
      <c r="C743" s="7" t="s">
        <v>1131</v>
      </c>
      <c r="D743" s="7" t="s">
        <v>3524</v>
      </c>
      <c r="E743" s="6" t="s">
        <v>3525</v>
      </c>
      <c r="F743" s="8" t="str">
        <f>VLOOKUP($D743,설문!$C$2:$G$444,3,FALSE)</f>
        <v>리스크관리(미들)</v>
      </c>
      <c r="G743" s="8" t="str">
        <f>VLOOKUP($D743,설문!$C$2:$G$444,4,FALSE)</f>
        <v>금융회사,금융 유관기관</v>
      </c>
      <c r="H743" s="8" t="str">
        <f>VLOOKUP($D743,설문!$C$2:$G$444,5,FALSE)</f>
        <v>국내주식/지수,국고채/통안채,회사채,소액채권,RP,단기자금,국채선물,국내주식/지수관련파생,해외주식/지수,해외주식/지수관련파생,ELS/DLS,대체투자(부동산/인프라)</v>
      </c>
    </row>
    <row r="744" spans="1:8">
      <c r="A744" s="6" t="s">
        <v>1923</v>
      </c>
      <c r="B744" s="7" t="s">
        <v>3526</v>
      </c>
      <c r="C744" s="7" t="s">
        <v>3526</v>
      </c>
      <c r="D744" s="7" t="s">
        <v>3527</v>
      </c>
      <c r="E744" s="6" t="s">
        <v>3528</v>
      </c>
      <c r="F744" s="8" t="e">
        <f>VLOOKUP($D744,설문!$C$2:$G$444,3,FALSE)</f>
        <v>#N/A</v>
      </c>
      <c r="G744" s="8" t="e">
        <f>VLOOKUP($D744,설문!$C$2:$G$444,4,FALSE)</f>
        <v>#N/A</v>
      </c>
      <c r="H744" s="8" t="e">
        <f>VLOOKUP($D744,설문!$C$2:$G$444,5,FALSE)</f>
        <v>#N/A</v>
      </c>
    </row>
    <row r="745" spans="1:8">
      <c r="A745" s="6" t="s">
        <v>1923</v>
      </c>
      <c r="B745" s="7" t="s">
        <v>3529</v>
      </c>
      <c r="C745" s="7" t="s">
        <v>3529</v>
      </c>
      <c r="D745" s="7" t="s">
        <v>3530</v>
      </c>
      <c r="E745" s="6" t="s">
        <v>3531</v>
      </c>
      <c r="F745" s="8" t="str">
        <f>VLOOKUP($D745,설문!$C$2:$G$444,3,FALSE)</f>
        <v>펀드매니저</v>
      </c>
      <c r="G745" s="8" t="str">
        <f>VLOOKUP($D745,설문!$C$2:$G$444,4,FALSE)</f>
        <v>금융회사,금융 유관기관</v>
      </c>
      <c r="H745" s="8" t="str">
        <f>VLOOKUP($D745,설문!$C$2:$G$444,5,FALSE)</f>
        <v>국내주식/지수,국내주식/지수관련파생,ETF/ETN</v>
      </c>
    </row>
    <row r="746" spans="1:8">
      <c r="A746" s="6" t="s">
        <v>1923</v>
      </c>
      <c r="B746" s="7" t="s">
        <v>3529</v>
      </c>
      <c r="C746" s="7" t="s">
        <v>3529</v>
      </c>
      <c r="D746" s="7" t="s">
        <v>3532</v>
      </c>
      <c r="E746" s="6" t="s">
        <v>3533</v>
      </c>
      <c r="F746" s="8" t="e">
        <f>VLOOKUP($D746,설문!$C$2:$G$444,3,FALSE)</f>
        <v>#N/A</v>
      </c>
      <c r="G746" s="8" t="e">
        <f>VLOOKUP($D746,설문!$C$2:$G$444,4,FALSE)</f>
        <v>#N/A</v>
      </c>
      <c r="H746" s="8" t="e">
        <f>VLOOKUP($D746,설문!$C$2:$G$444,5,FALSE)</f>
        <v>#N/A</v>
      </c>
    </row>
    <row r="747" spans="1:8">
      <c r="A747" s="6" t="s">
        <v>1923</v>
      </c>
      <c r="B747" s="7" t="s">
        <v>3529</v>
      </c>
      <c r="C747" s="7" t="s">
        <v>3529</v>
      </c>
      <c r="D747" s="7" t="s">
        <v>3534</v>
      </c>
      <c r="E747" s="6" t="s">
        <v>3535</v>
      </c>
      <c r="F747" s="8" t="e">
        <f>VLOOKUP($D747,설문!$C$2:$G$444,3,FALSE)</f>
        <v>#N/A</v>
      </c>
      <c r="G747" s="8" t="e">
        <f>VLOOKUP($D747,설문!$C$2:$G$444,4,FALSE)</f>
        <v>#N/A</v>
      </c>
      <c r="H747" s="8" t="e">
        <f>VLOOKUP($D747,설문!$C$2:$G$444,5,FALSE)</f>
        <v>#N/A</v>
      </c>
    </row>
    <row r="748" spans="1:8">
      <c r="A748" s="6" t="s">
        <v>1923</v>
      </c>
      <c r="B748" s="7" t="s">
        <v>134</v>
      </c>
      <c r="C748" s="7" t="s">
        <v>134</v>
      </c>
      <c r="D748" s="7" t="s">
        <v>3536</v>
      </c>
      <c r="E748" s="6" t="s">
        <v>3537</v>
      </c>
      <c r="F748" s="8" t="str">
        <f>VLOOKUP($D748,설문!$C$2:$G$444,3,FALSE)</f>
        <v>펀드매니저</v>
      </c>
      <c r="G748" s="8" t="str">
        <f>VLOOKUP($D748,설문!$C$2:$G$444,4,FALSE)</f>
        <v>금융회사,금융 유관기관,기타</v>
      </c>
      <c r="H748" s="8" t="str">
        <f>VLOOKUP($D748,설문!$C$2:$G$444,5,FALSE)</f>
        <v>국고채/통안채,회사채,단기자금,국채선물,원화 이자율스왑</v>
      </c>
    </row>
    <row r="749" spans="1:8">
      <c r="A749" s="6" t="s">
        <v>1923</v>
      </c>
      <c r="B749" s="7" t="s">
        <v>3529</v>
      </c>
      <c r="C749" s="7" t="s">
        <v>3529</v>
      </c>
      <c r="D749" s="7" t="s">
        <v>3538</v>
      </c>
      <c r="E749" s="6" t="s">
        <v>3539</v>
      </c>
      <c r="F749" s="8" t="str">
        <f>VLOOKUP($D749,설문!$C$2:$G$444,3,FALSE)</f>
        <v>펀드매니저</v>
      </c>
      <c r="G749" s="8" t="str">
        <f>VLOOKUP($D749,설문!$C$2:$G$444,4,FALSE)</f>
        <v>기타</v>
      </c>
      <c r="H749" s="8" t="str">
        <f>VLOOKUP($D749,설문!$C$2:$G$444,5,FALSE)</f>
        <v>국내주식/지수</v>
      </c>
    </row>
    <row r="750" spans="1:8">
      <c r="A750" s="6" t="s">
        <v>2173</v>
      </c>
      <c r="B750" s="7" t="s">
        <v>9</v>
      </c>
      <c r="C750" s="7" t="s">
        <v>9</v>
      </c>
      <c r="D750" s="7" t="s">
        <v>2174</v>
      </c>
      <c r="E750" s="6" t="s">
        <v>2175</v>
      </c>
      <c r="F750" s="8" t="e">
        <f>VLOOKUP($D750,설문!$C$2:$G$444,3,FALSE)</f>
        <v>#N/A</v>
      </c>
      <c r="G750" s="8" t="e">
        <f>VLOOKUP($D750,설문!$C$2:$G$444,4,FALSE)</f>
        <v>#N/A</v>
      </c>
      <c r="H750" s="8" t="e">
        <f>VLOOKUP($D750,설문!$C$2:$G$444,5,FALSE)</f>
        <v>#N/A</v>
      </c>
    </row>
    <row r="751" spans="1:8">
      <c r="A751" s="6" t="s">
        <v>2173</v>
      </c>
      <c r="B751" s="7" t="s">
        <v>9</v>
      </c>
      <c r="C751" s="7" t="s">
        <v>9</v>
      </c>
      <c r="D751" s="7" t="s">
        <v>2176</v>
      </c>
      <c r="E751" s="6" t="s">
        <v>2177</v>
      </c>
      <c r="F751" s="8" t="e">
        <f>VLOOKUP($D751,설문!$C$2:$G$444,3,FALSE)</f>
        <v>#N/A</v>
      </c>
      <c r="G751" s="8" t="e">
        <f>VLOOKUP($D751,설문!$C$2:$G$444,4,FALSE)</f>
        <v>#N/A</v>
      </c>
      <c r="H751" s="8" t="e">
        <f>VLOOKUP($D751,설문!$C$2:$G$444,5,FALSE)</f>
        <v>#N/A</v>
      </c>
    </row>
    <row r="752" spans="1:8">
      <c r="A752" s="6" t="s">
        <v>2173</v>
      </c>
      <c r="B752" s="7" t="s">
        <v>9</v>
      </c>
      <c r="C752" s="7" t="s">
        <v>9</v>
      </c>
      <c r="D752" s="7" t="s">
        <v>2178</v>
      </c>
      <c r="E752" s="6" t="s">
        <v>2179</v>
      </c>
      <c r="F752" s="8" t="e">
        <f>VLOOKUP($D752,설문!$C$2:$G$444,3,FALSE)</f>
        <v>#N/A</v>
      </c>
      <c r="G752" s="8" t="e">
        <f>VLOOKUP($D752,설문!$C$2:$G$444,4,FALSE)</f>
        <v>#N/A</v>
      </c>
      <c r="H752" s="8" t="e">
        <f>VLOOKUP($D752,설문!$C$2:$G$444,5,FALSE)</f>
        <v>#N/A</v>
      </c>
    </row>
    <row r="753" spans="1:8">
      <c r="A753" s="6" t="s">
        <v>750</v>
      </c>
      <c r="B753" s="7" t="s">
        <v>675</v>
      </c>
      <c r="C753" s="7" t="s">
        <v>675</v>
      </c>
      <c r="D753" s="7" t="s">
        <v>751</v>
      </c>
      <c r="E753" s="6" t="s">
        <v>752</v>
      </c>
      <c r="F753" s="8" t="e">
        <f>VLOOKUP($D753,설문!$C$2:$G$444,3,FALSE)</f>
        <v>#N/A</v>
      </c>
      <c r="G753" s="8" t="e">
        <f>VLOOKUP($D753,설문!$C$2:$G$444,4,FALSE)</f>
        <v>#N/A</v>
      </c>
      <c r="H753" s="8" t="e">
        <f>VLOOKUP($D753,설문!$C$2:$G$444,5,FALSE)</f>
        <v>#N/A</v>
      </c>
    </row>
    <row r="754" spans="1:8">
      <c r="A754" s="6" t="s">
        <v>750</v>
      </c>
      <c r="B754" s="7" t="s">
        <v>365</v>
      </c>
      <c r="C754" s="7" t="s">
        <v>365</v>
      </c>
      <c r="D754" s="7" t="s">
        <v>753</v>
      </c>
      <c r="E754" s="6" t="s">
        <v>754</v>
      </c>
      <c r="F754" s="8" t="e">
        <f>VLOOKUP($D754,설문!$C$2:$G$444,3,FALSE)</f>
        <v>#N/A</v>
      </c>
      <c r="G754" s="8" t="e">
        <f>VLOOKUP($D754,설문!$C$2:$G$444,4,FALSE)</f>
        <v>#N/A</v>
      </c>
      <c r="H754" s="8" t="e">
        <f>VLOOKUP($D754,설문!$C$2:$G$444,5,FALSE)</f>
        <v>#N/A</v>
      </c>
    </row>
    <row r="755" spans="1:8">
      <c r="A755" s="6" t="s">
        <v>750</v>
      </c>
      <c r="B755" s="7" t="s">
        <v>365</v>
      </c>
      <c r="C755" s="7" t="s">
        <v>365</v>
      </c>
      <c r="D755" s="7" t="s">
        <v>1547</v>
      </c>
      <c r="E755" s="6" t="s">
        <v>1548</v>
      </c>
      <c r="F755" s="8" t="e">
        <f>VLOOKUP($D755,설문!$C$2:$G$444,3,FALSE)</f>
        <v>#N/A</v>
      </c>
      <c r="G755" s="8" t="e">
        <f>VLOOKUP($D755,설문!$C$2:$G$444,4,FALSE)</f>
        <v>#N/A</v>
      </c>
      <c r="H755" s="8" t="e">
        <f>VLOOKUP($D755,설문!$C$2:$G$444,5,FALSE)</f>
        <v>#N/A</v>
      </c>
    </row>
    <row r="756" spans="1:8">
      <c r="A756" s="6" t="s">
        <v>750</v>
      </c>
      <c r="B756" s="7" t="s">
        <v>675</v>
      </c>
      <c r="C756" s="7" t="s">
        <v>675</v>
      </c>
      <c r="D756" s="7" t="s">
        <v>1686</v>
      </c>
      <c r="E756" s="6" t="s">
        <v>1687</v>
      </c>
      <c r="F756" s="8" t="str">
        <f>VLOOKUP($D756,설문!$C$2:$G$444,3,FALSE)</f>
        <v>브로커</v>
      </c>
      <c r="G756" s="8" t="str">
        <f>VLOOKUP($D756,설문!$C$2:$G$444,4,FALSE)</f>
        <v>금융회사,금융 유관기관</v>
      </c>
      <c r="H756" s="8" t="str">
        <f>VLOOKUP($D756,설문!$C$2:$G$444,5,FALSE)</f>
        <v>국고채/통안채,회사채</v>
      </c>
    </row>
    <row r="757" spans="1:8">
      <c r="A757" s="6" t="s">
        <v>750</v>
      </c>
      <c r="B757" s="7" t="s">
        <v>965</v>
      </c>
      <c r="C757" s="7" t="s">
        <v>965</v>
      </c>
      <c r="D757" s="7" t="s">
        <v>1721</v>
      </c>
      <c r="E757" s="6" t="s">
        <v>1722</v>
      </c>
      <c r="F757" s="8" t="str">
        <f>VLOOKUP($D757,설문!$C$2:$G$444,3,FALSE)</f>
        <v>기타,백오피스</v>
      </c>
      <c r="G757" s="8" t="str">
        <f>VLOOKUP($D757,설문!$C$2:$G$444,4,FALSE)</f>
        <v>금융회사,금융 유관기관,일반기업고객</v>
      </c>
      <c r="H757" s="8" t="str">
        <f>VLOOKUP($D757,설문!$C$2:$G$444,5,FALSE)</f>
        <v>국고채/통안채,회사채,IB(발행, M&amp;A 등)</v>
      </c>
    </row>
    <row r="758" spans="1:8">
      <c r="A758" s="6" t="s">
        <v>750</v>
      </c>
      <c r="B758" s="7" t="s">
        <v>2330</v>
      </c>
      <c r="C758" s="7" t="s">
        <v>2330</v>
      </c>
      <c r="D758" s="7" t="s">
        <v>5637</v>
      </c>
      <c r="E758" s="6" t="s">
        <v>5638</v>
      </c>
      <c r="F758" s="8" t="e">
        <f>VLOOKUP($D758,설문!$C$2:$G$444,3,FALSE)</f>
        <v>#N/A</v>
      </c>
      <c r="G758" s="8" t="e">
        <f>VLOOKUP($D758,설문!$C$2:$G$444,4,FALSE)</f>
        <v>#N/A</v>
      </c>
      <c r="H758" s="8" t="e">
        <f>VLOOKUP($D758,설문!$C$2:$G$444,5,FALSE)</f>
        <v>#N/A</v>
      </c>
    </row>
    <row r="759" spans="1:8">
      <c r="A759" s="6" t="s">
        <v>750</v>
      </c>
      <c r="B759" s="7" t="s">
        <v>1131</v>
      </c>
      <c r="C759" s="7" t="s">
        <v>1131</v>
      </c>
      <c r="D759" s="7" t="s">
        <v>5639</v>
      </c>
      <c r="E759" s="6" t="s">
        <v>5640</v>
      </c>
      <c r="F759" s="8" t="e">
        <f>VLOOKUP($D759,설문!$C$2:$G$444,3,FALSE)</f>
        <v>#N/A</v>
      </c>
      <c r="G759" s="8" t="e">
        <f>VLOOKUP($D759,설문!$C$2:$G$444,4,FALSE)</f>
        <v>#N/A</v>
      </c>
      <c r="H759" s="8" t="e">
        <f>VLOOKUP($D759,설문!$C$2:$G$444,5,FALSE)</f>
        <v>#N/A</v>
      </c>
    </row>
    <row r="760" spans="1:8">
      <c r="A760" s="6" t="s">
        <v>750</v>
      </c>
      <c r="B760" s="7" t="s">
        <v>74</v>
      </c>
      <c r="C760" s="7" t="s">
        <v>74</v>
      </c>
      <c r="D760" s="7" t="s">
        <v>5641</v>
      </c>
      <c r="E760" s="6" t="s">
        <v>5642</v>
      </c>
      <c r="F760" s="8" t="str">
        <f>VLOOKUP($D760,설문!$C$2:$G$444,3,FALSE)</f>
        <v>펀드매니저,리스크관리(미들)</v>
      </c>
      <c r="G760" s="8" t="str">
        <f>VLOOKUP($D760,설문!$C$2:$G$444,4,FALSE)</f>
        <v>금융회사,일반기업고객,기타</v>
      </c>
      <c r="H760" s="8" t="str">
        <f>VLOOKUP($D760,설문!$C$2:$G$444,5,FALSE)</f>
        <v>회사채,RP,단기자금</v>
      </c>
    </row>
    <row r="761" spans="1:8">
      <c r="A761" s="6" t="s">
        <v>750</v>
      </c>
      <c r="B761" s="7" t="s">
        <v>5643</v>
      </c>
      <c r="C761" s="7" t="s">
        <v>5644</v>
      </c>
      <c r="D761" s="7" t="s">
        <v>5645</v>
      </c>
      <c r="E761" s="6" t="s">
        <v>3077</v>
      </c>
      <c r="F761" s="8" t="e">
        <f>VLOOKUP($D761,설문!$C$2:$G$444,3,FALSE)</f>
        <v>#N/A</v>
      </c>
      <c r="G761" s="8" t="e">
        <f>VLOOKUP($D761,설문!$C$2:$G$444,4,FALSE)</f>
        <v>#N/A</v>
      </c>
      <c r="H761" s="8" t="e">
        <f>VLOOKUP($D761,설문!$C$2:$G$444,5,FALSE)</f>
        <v>#N/A</v>
      </c>
    </row>
    <row r="762" spans="1:8">
      <c r="A762" s="6" t="s">
        <v>750</v>
      </c>
      <c r="B762" s="7" t="s">
        <v>5643</v>
      </c>
      <c r="C762" s="7" t="s">
        <v>5643</v>
      </c>
      <c r="D762" s="7" t="s">
        <v>5646</v>
      </c>
      <c r="E762" s="6" t="s">
        <v>5647</v>
      </c>
      <c r="F762" s="8" t="str">
        <f>VLOOKUP($D762,설문!$C$2:$G$444,3,FALSE)</f>
        <v>기타,백오피스</v>
      </c>
      <c r="G762" s="8" t="str">
        <f>VLOOKUP($D762,설문!$C$2:$G$444,4,FALSE)</f>
        <v>금융회사</v>
      </c>
      <c r="H762" s="8" t="str">
        <f>VLOOKUP($D762,설문!$C$2:$G$444,5,FALSE)</f>
        <v>국고채/통안채</v>
      </c>
    </row>
    <row r="763" spans="1:8">
      <c r="A763" s="6" t="s">
        <v>750</v>
      </c>
      <c r="B763" s="7" t="s">
        <v>5643</v>
      </c>
      <c r="C763" s="7" t="s">
        <v>5644</v>
      </c>
      <c r="D763" s="7" t="s">
        <v>5648</v>
      </c>
      <c r="E763" s="6" t="s">
        <v>5649</v>
      </c>
      <c r="F763" s="8" t="e">
        <f>VLOOKUP($D763,설문!$C$2:$G$444,3,FALSE)</f>
        <v>#N/A</v>
      </c>
      <c r="G763" s="8" t="e">
        <f>VLOOKUP($D763,설문!$C$2:$G$444,4,FALSE)</f>
        <v>#N/A</v>
      </c>
      <c r="H763" s="8" t="e">
        <f>VLOOKUP($D763,설문!$C$2:$G$444,5,FALSE)</f>
        <v>#N/A</v>
      </c>
    </row>
    <row r="764" spans="1:8">
      <c r="A764" s="6" t="s">
        <v>750</v>
      </c>
      <c r="B764" s="7" t="s">
        <v>5650</v>
      </c>
      <c r="C764" s="7" t="s">
        <v>5651</v>
      </c>
      <c r="D764" s="7" t="s">
        <v>5652</v>
      </c>
      <c r="E764" s="6" t="s">
        <v>5653</v>
      </c>
      <c r="F764" s="8" t="str">
        <f>VLOOKUP($D764,설문!$C$2:$G$444,3,FALSE)</f>
        <v>분석 및 전략</v>
      </c>
      <c r="G764" s="8" t="str">
        <f>VLOOKUP($D764,설문!$C$2:$G$444,4,FALSE)</f>
        <v>금융회사,금융 유관기관</v>
      </c>
      <c r="H764" s="8" t="str">
        <f>VLOOKUP($D764,설문!$C$2:$G$444,5,FALSE)</f>
        <v>해외주식/지수,ETF/ETN</v>
      </c>
    </row>
    <row r="765" spans="1:8">
      <c r="A765" s="6" t="s">
        <v>750</v>
      </c>
      <c r="B765" s="7" t="s">
        <v>5654</v>
      </c>
      <c r="C765" s="7" t="s">
        <v>5651</v>
      </c>
      <c r="D765" s="7" t="s">
        <v>5655</v>
      </c>
      <c r="E765" s="6" t="s">
        <v>5656</v>
      </c>
      <c r="F765" s="8" t="e">
        <f>VLOOKUP($D765,설문!$C$2:$G$444,3,FALSE)</f>
        <v>#N/A</v>
      </c>
      <c r="G765" s="8" t="e">
        <f>VLOOKUP($D765,설문!$C$2:$G$444,4,FALSE)</f>
        <v>#N/A</v>
      </c>
      <c r="H765" s="8" t="e">
        <f>VLOOKUP($D765,설문!$C$2:$G$444,5,FALSE)</f>
        <v>#N/A</v>
      </c>
    </row>
    <row r="766" spans="1:8">
      <c r="A766" s="6" t="s">
        <v>750</v>
      </c>
      <c r="B766" s="7" t="s">
        <v>5657</v>
      </c>
      <c r="C766" s="7" t="s">
        <v>5658</v>
      </c>
      <c r="D766" s="7" t="s">
        <v>5659</v>
      </c>
      <c r="E766" s="6" t="s">
        <v>4076</v>
      </c>
      <c r="F766" s="8" t="str">
        <f>VLOOKUP($D766,설문!$C$2:$G$444,3,FALSE)</f>
        <v>세일즈</v>
      </c>
      <c r="G766" s="8" t="str">
        <f>VLOOKUP($D766,설문!$C$2:$G$444,4,FALSE)</f>
        <v>금융회사,금융 유관기관</v>
      </c>
      <c r="H766" s="8" t="str">
        <f>VLOOKUP($D766,설문!$C$2:$G$444,5,FALSE)</f>
        <v>신용파생,대체투자(부동산/인프라)</v>
      </c>
    </row>
    <row r="767" spans="1:8">
      <c r="A767" s="6" t="s">
        <v>750</v>
      </c>
      <c r="B767" s="7" t="s">
        <v>5657</v>
      </c>
      <c r="C767" s="7" t="s">
        <v>5660</v>
      </c>
      <c r="D767" s="7" t="s">
        <v>5661</v>
      </c>
      <c r="E767" s="6" t="s">
        <v>5662</v>
      </c>
      <c r="F767" s="8" t="e">
        <f>VLOOKUP($D767,설문!$C$2:$G$444,3,FALSE)</f>
        <v>#N/A</v>
      </c>
      <c r="G767" s="8" t="e">
        <f>VLOOKUP($D767,설문!$C$2:$G$444,4,FALSE)</f>
        <v>#N/A</v>
      </c>
      <c r="H767" s="8" t="e">
        <f>VLOOKUP($D767,설문!$C$2:$G$444,5,FALSE)</f>
        <v>#N/A</v>
      </c>
    </row>
    <row r="768" spans="1:8">
      <c r="A768" s="6" t="s">
        <v>750</v>
      </c>
      <c r="B768" s="7" t="s">
        <v>5663</v>
      </c>
      <c r="C768" s="7" t="s">
        <v>965</v>
      </c>
      <c r="D768" s="7" t="s">
        <v>5664</v>
      </c>
      <c r="E768" s="6" t="s">
        <v>5665</v>
      </c>
      <c r="F768" s="8" t="e">
        <f>VLOOKUP($D768,설문!$C$2:$G$444,3,FALSE)</f>
        <v>#N/A</v>
      </c>
      <c r="G768" s="8" t="e">
        <f>VLOOKUP($D768,설문!$C$2:$G$444,4,FALSE)</f>
        <v>#N/A</v>
      </c>
      <c r="H768" s="8" t="e">
        <f>VLOOKUP($D768,설문!$C$2:$G$444,5,FALSE)</f>
        <v>#N/A</v>
      </c>
    </row>
    <row r="769" spans="1:8">
      <c r="A769" s="6" t="s">
        <v>750</v>
      </c>
      <c r="B769" s="7" t="s">
        <v>5666</v>
      </c>
      <c r="C769" s="7" t="s">
        <v>365</v>
      </c>
      <c r="D769" s="7" t="s">
        <v>5667</v>
      </c>
      <c r="E769" s="6" t="s">
        <v>5668</v>
      </c>
      <c r="F769" s="8" t="e">
        <f>VLOOKUP($D769,설문!$C$2:$G$444,3,FALSE)</f>
        <v>#N/A</v>
      </c>
      <c r="G769" s="8" t="e">
        <f>VLOOKUP($D769,설문!$C$2:$G$444,4,FALSE)</f>
        <v>#N/A</v>
      </c>
      <c r="H769" s="8" t="e">
        <f>VLOOKUP($D769,설문!$C$2:$G$444,5,FALSE)</f>
        <v>#N/A</v>
      </c>
    </row>
    <row r="770" spans="1:8">
      <c r="A770" s="6" t="s">
        <v>750</v>
      </c>
      <c r="B770" s="7" t="s">
        <v>5666</v>
      </c>
      <c r="C770" s="7" t="s">
        <v>675</v>
      </c>
      <c r="D770" s="7" t="s">
        <v>5669</v>
      </c>
      <c r="E770" s="6" t="s">
        <v>5670</v>
      </c>
      <c r="F770" s="8" t="e">
        <f>VLOOKUP($D770,설문!$C$2:$G$444,3,FALSE)</f>
        <v>#N/A</v>
      </c>
      <c r="G770" s="8" t="e">
        <f>VLOOKUP($D770,설문!$C$2:$G$444,4,FALSE)</f>
        <v>#N/A</v>
      </c>
      <c r="H770" s="8" t="e">
        <f>VLOOKUP($D770,설문!$C$2:$G$444,5,FALSE)</f>
        <v>#N/A</v>
      </c>
    </row>
    <row r="771" spans="1:8">
      <c r="A771" s="6" t="s">
        <v>750</v>
      </c>
      <c r="B771" s="7" t="s">
        <v>5671</v>
      </c>
      <c r="C771" s="7" t="s">
        <v>5672</v>
      </c>
      <c r="D771" s="7" t="s">
        <v>5673</v>
      </c>
      <c r="E771" s="6" t="s">
        <v>5674</v>
      </c>
      <c r="F771" s="8" t="e">
        <f>VLOOKUP($D771,설문!$C$2:$G$444,3,FALSE)</f>
        <v>#N/A</v>
      </c>
      <c r="G771" s="8" t="e">
        <f>VLOOKUP($D771,설문!$C$2:$G$444,4,FALSE)</f>
        <v>#N/A</v>
      </c>
      <c r="H771" s="8" t="e">
        <f>VLOOKUP($D771,설문!$C$2:$G$444,5,FALSE)</f>
        <v>#N/A</v>
      </c>
    </row>
    <row r="772" spans="1:8">
      <c r="A772" s="6" t="s">
        <v>750</v>
      </c>
      <c r="B772" s="7" t="s">
        <v>5675</v>
      </c>
      <c r="C772" s="7" t="s">
        <v>5676</v>
      </c>
      <c r="D772" s="7" t="s">
        <v>5677</v>
      </c>
      <c r="E772" s="6" t="s">
        <v>5678</v>
      </c>
      <c r="F772" s="8" t="e">
        <f>VLOOKUP($D772,설문!$C$2:$G$444,3,FALSE)</f>
        <v>#N/A</v>
      </c>
      <c r="G772" s="8" t="e">
        <f>VLOOKUP($D772,설문!$C$2:$G$444,4,FALSE)</f>
        <v>#N/A</v>
      </c>
      <c r="H772" s="8" t="e">
        <f>VLOOKUP($D772,설문!$C$2:$G$444,5,FALSE)</f>
        <v>#N/A</v>
      </c>
    </row>
    <row r="773" spans="1:8">
      <c r="A773" s="6" t="s">
        <v>750</v>
      </c>
      <c r="B773" s="7" t="s">
        <v>5675</v>
      </c>
      <c r="C773" s="7" t="s">
        <v>675</v>
      </c>
      <c r="D773" s="7" t="s">
        <v>5679</v>
      </c>
      <c r="E773" s="6" t="s">
        <v>5680</v>
      </c>
      <c r="F773" s="8" t="str">
        <f>VLOOKUP($D773,설문!$C$2:$G$444,3,FALSE)</f>
        <v>브로커</v>
      </c>
      <c r="G773" s="8" t="str">
        <f>VLOOKUP($D773,설문!$C$2:$G$444,4,FALSE)</f>
        <v>금융회사,금융 유관기관</v>
      </c>
      <c r="H773" s="8" t="str">
        <f>VLOOKUP($D773,설문!$C$2:$G$444,5,FALSE)</f>
        <v>외화채권(KP제외),IB(발행, M&amp;A 등)</v>
      </c>
    </row>
    <row r="774" spans="1:8">
      <c r="A774" s="6" t="s">
        <v>750</v>
      </c>
      <c r="B774" s="7" t="s">
        <v>675</v>
      </c>
      <c r="C774" s="7" t="s">
        <v>675</v>
      </c>
      <c r="D774" s="7" t="s">
        <v>5681</v>
      </c>
      <c r="E774" s="6" t="s">
        <v>5682</v>
      </c>
      <c r="F774" s="8" t="e">
        <f>VLOOKUP($D774,설문!$C$2:$G$444,3,FALSE)</f>
        <v>#N/A</v>
      </c>
      <c r="G774" s="8" t="e">
        <f>VLOOKUP($D774,설문!$C$2:$G$444,4,FALSE)</f>
        <v>#N/A</v>
      </c>
      <c r="H774" s="8" t="e">
        <f>VLOOKUP($D774,설문!$C$2:$G$444,5,FALSE)</f>
        <v>#N/A</v>
      </c>
    </row>
    <row r="775" spans="1:8">
      <c r="A775" s="6" t="s">
        <v>750</v>
      </c>
      <c r="B775" s="7" t="s">
        <v>675</v>
      </c>
      <c r="C775" s="7" t="s">
        <v>5683</v>
      </c>
      <c r="D775" s="7" t="s">
        <v>5684</v>
      </c>
      <c r="E775" s="6" t="s">
        <v>5685</v>
      </c>
      <c r="F775" s="8" t="e">
        <f>VLOOKUP($D775,설문!$C$2:$G$444,3,FALSE)</f>
        <v>#N/A</v>
      </c>
      <c r="G775" s="8" t="e">
        <f>VLOOKUP($D775,설문!$C$2:$G$444,4,FALSE)</f>
        <v>#N/A</v>
      </c>
      <c r="H775" s="8" t="e">
        <f>VLOOKUP($D775,설문!$C$2:$G$444,5,FALSE)</f>
        <v>#N/A</v>
      </c>
    </row>
    <row r="776" spans="1:8">
      <c r="A776" s="6" t="s">
        <v>750</v>
      </c>
      <c r="B776" s="7" t="s">
        <v>5686</v>
      </c>
      <c r="C776" s="7" t="s">
        <v>675</v>
      </c>
      <c r="D776" s="7" t="s">
        <v>5687</v>
      </c>
      <c r="E776" s="6" t="s">
        <v>5688</v>
      </c>
      <c r="F776" s="8" t="e">
        <f>VLOOKUP($D776,설문!$C$2:$G$444,3,FALSE)</f>
        <v>#N/A</v>
      </c>
      <c r="G776" s="8" t="e">
        <f>VLOOKUP($D776,설문!$C$2:$G$444,4,FALSE)</f>
        <v>#N/A</v>
      </c>
      <c r="H776" s="8" t="e">
        <f>VLOOKUP($D776,설문!$C$2:$G$444,5,FALSE)</f>
        <v>#N/A</v>
      </c>
    </row>
    <row r="777" spans="1:8">
      <c r="A777" s="6" t="s">
        <v>750</v>
      </c>
      <c r="B777" s="7" t="s">
        <v>5689</v>
      </c>
      <c r="C777" s="7" t="s">
        <v>365</v>
      </c>
      <c r="D777" s="7" t="s">
        <v>5690</v>
      </c>
      <c r="E777" s="6" t="s">
        <v>5691</v>
      </c>
      <c r="F777" s="8" t="e">
        <f>VLOOKUP($D777,설문!$C$2:$G$444,3,FALSE)</f>
        <v>#N/A</v>
      </c>
      <c r="G777" s="8" t="e">
        <f>VLOOKUP($D777,설문!$C$2:$G$444,4,FALSE)</f>
        <v>#N/A</v>
      </c>
      <c r="H777" s="8" t="e">
        <f>VLOOKUP($D777,설문!$C$2:$G$444,5,FALSE)</f>
        <v>#N/A</v>
      </c>
    </row>
    <row r="778" spans="1:8">
      <c r="A778" s="6" t="s">
        <v>750</v>
      </c>
      <c r="B778" s="7" t="s">
        <v>493</v>
      </c>
      <c r="C778" s="7" t="s">
        <v>365</v>
      </c>
      <c r="D778" s="7" t="s">
        <v>5692</v>
      </c>
      <c r="E778" s="6" t="s">
        <v>5693</v>
      </c>
      <c r="F778" s="8" t="str">
        <f>VLOOKUP($D778,설문!$C$2:$G$444,3,FALSE)</f>
        <v>트레이더</v>
      </c>
      <c r="G778" s="8" t="str">
        <f>VLOOKUP($D778,설문!$C$2:$G$444,4,FALSE)</f>
        <v>금융회사</v>
      </c>
      <c r="H778" s="8" t="str">
        <f>VLOOKUP($D778,설문!$C$2:$G$444,5,FALSE)</f>
        <v>국내주식/지수,국내주식/지수관련파생,ETF/ETN</v>
      </c>
    </row>
    <row r="779" spans="1:8">
      <c r="A779" s="6" t="s">
        <v>734</v>
      </c>
      <c r="B779" s="7" t="s">
        <v>735</v>
      </c>
      <c r="C779" s="7" t="s">
        <v>736</v>
      </c>
      <c r="D779" s="7" t="s">
        <v>737</v>
      </c>
      <c r="E779" s="6" t="s">
        <v>738</v>
      </c>
      <c r="F779" s="8" t="str">
        <f>VLOOKUP($D779,설문!$C$2:$G$444,3,FALSE)</f>
        <v>펀드매니저</v>
      </c>
      <c r="G779" s="8" t="str">
        <f>VLOOKUP($D779,설문!$C$2:$G$444,4,FALSE)</f>
        <v>금융회사</v>
      </c>
      <c r="H779" s="8" t="str">
        <f>VLOOKUP($D779,설문!$C$2:$G$444,5,FALSE)</f>
        <v>국내주식/지수,국내주식/지수관련파생,해외주식/지수,해외주식/지수관련파생,ETF/ETN,ELW,ELS/DLS</v>
      </c>
    </row>
    <row r="780" spans="1:8">
      <c r="A780" s="6" t="s">
        <v>734</v>
      </c>
      <c r="B780" s="7" t="s">
        <v>735</v>
      </c>
      <c r="C780" s="7" t="s">
        <v>736</v>
      </c>
      <c r="D780" s="7" t="s">
        <v>888</v>
      </c>
      <c r="E780" s="6" t="s">
        <v>889</v>
      </c>
      <c r="F780" s="8" t="e">
        <f>VLOOKUP($D780,설문!$C$2:$G$444,3,FALSE)</f>
        <v>#N/A</v>
      </c>
      <c r="G780" s="8" t="e">
        <f>VLOOKUP($D780,설문!$C$2:$G$444,4,FALSE)</f>
        <v>#N/A</v>
      </c>
      <c r="H780" s="8" t="e">
        <f>VLOOKUP($D780,설문!$C$2:$G$444,5,FALSE)</f>
        <v>#N/A</v>
      </c>
    </row>
    <row r="781" spans="1:8">
      <c r="A781" s="6" t="s">
        <v>734</v>
      </c>
      <c r="B781" s="7" t="s">
        <v>2372</v>
      </c>
      <c r="C781" s="7" t="s">
        <v>2373</v>
      </c>
      <c r="D781" s="7" t="s">
        <v>2374</v>
      </c>
      <c r="E781" s="6" t="s">
        <v>2375</v>
      </c>
      <c r="F781" s="8" t="e">
        <f>VLOOKUP($D781,설문!$C$2:$G$444,3,FALSE)</f>
        <v>#N/A</v>
      </c>
      <c r="G781" s="8" t="e">
        <f>VLOOKUP($D781,설문!$C$2:$G$444,4,FALSE)</f>
        <v>#N/A</v>
      </c>
      <c r="H781" s="8" t="e">
        <f>VLOOKUP($D781,설문!$C$2:$G$444,5,FALSE)</f>
        <v>#N/A</v>
      </c>
    </row>
    <row r="782" spans="1:8">
      <c r="A782" s="6" t="s">
        <v>734</v>
      </c>
      <c r="B782" s="7" t="s">
        <v>2376</v>
      </c>
      <c r="C782" s="7" t="s">
        <v>2376</v>
      </c>
      <c r="D782" s="7" t="s">
        <v>2377</v>
      </c>
      <c r="E782" s="6" t="s">
        <v>2378</v>
      </c>
      <c r="F782" s="8" t="str">
        <f>VLOOKUP($D782,설문!$C$2:$G$444,3,FALSE)</f>
        <v>분석 및 전략</v>
      </c>
      <c r="G782" s="8" t="str">
        <f>VLOOKUP($D782,설문!$C$2:$G$444,4,FALSE)</f>
        <v>기타</v>
      </c>
      <c r="H782" s="8" t="str">
        <f>VLOOKUP($D782,설문!$C$2:$G$444,5,FALSE)</f>
        <v>외화채권(KP제외)</v>
      </c>
    </row>
    <row r="783" spans="1:8">
      <c r="A783" s="6" t="s">
        <v>734</v>
      </c>
      <c r="B783" s="7" t="s">
        <v>2379</v>
      </c>
      <c r="C783" s="7" t="s">
        <v>2379</v>
      </c>
      <c r="D783" s="7" t="s">
        <v>2380</v>
      </c>
      <c r="E783" s="6" t="s">
        <v>2381</v>
      </c>
      <c r="F783" s="8" t="e">
        <f>VLOOKUP($D783,설문!$C$2:$G$444,3,FALSE)</f>
        <v>#N/A</v>
      </c>
      <c r="G783" s="8" t="e">
        <f>VLOOKUP($D783,설문!$C$2:$G$444,4,FALSE)</f>
        <v>#N/A</v>
      </c>
      <c r="H783" s="8" t="e">
        <f>VLOOKUP($D783,설문!$C$2:$G$444,5,FALSE)</f>
        <v>#N/A</v>
      </c>
    </row>
    <row r="784" spans="1:8">
      <c r="A784" s="6" t="s">
        <v>734</v>
      </c>
      <c r="B784" s="7" t="s">
        <v>735</v>
      </c>
      <c r="C784" s="7" t="s">
        <v>1764</v>
      </c>
      <c r="D784" s="7" t="s">
        <v>2382</v>
      </c>
      <c r="E784" s="6" t="s">
        <v>2383</v>
      </c>
      <c r="F784" s="8" t="e">
        <f>VLOOKUP($D784,설문!$C$2:$G$444,3,FALSE)</f>
        <v>#N/A</v>
      </c>
      <c r="G784" s="8" t="e">
        <f>VLOOKUP($D784,설문!$C$2:$G$444,4,FALSE)</f>
        <v>#N/A</v>
      </c>
      <c r="H784" s="8" t="e">
        <f>VLOOKUP($D784,설문!$C$2:$G$444,5,FALSE)</f>
        <v>#N/A</v>
      </c>
    </row>
    <row r="785" spans="1:8">
      <c r="A785" s="6" t="s">
        <v>734</v>
      </c>
      <c r="B785" s="7" t="s">
        <v>735</v>
      </c>
      <c r="C785" s="7" t="s">
        <v>1764</v>
      </c>
      <c r="D785" s="7" t="s">
        <v>2384</v>
      </c>
      <c r="E785" s="6" t="s">
        <v>2385</v>
      </c>
      <c r="F785" s="8" t="e">
        <f>VLOOKUP($D785,설문!$C$2:$G$444,3,FALSE)</f>
        <v>#N/A</v>
      </c>
      <c r="G785" s="8" t="e">
        <f>VLOOKUP($D785,설문!$C$2:$G$444,4,FALSE)</f>
        <v>#N/A</v>
      </c>
      <c r="H785" s="8" t="e">
        <f>VLOOKUP($D785,설문!$C$2:$G$444,5,FALSE)</f>
        <v>#N/A</v>
      </c>
    </row>
    <row r="786" spans="1:8">
      <c r="A786" s="6" t="s">
        <v>3787</v>
      </c>
      <c r="B786" s="7" t="s">
        <v>9</v>
      </c>
      <c r="C786" s="7" t="s">
        <v>9</v>
      </c>
      <c r="D786" s="7" t="s">
        <v>3788</v>
      </c>
      <c r="E786" s="6" t="s">
        <v>3789</v>
      </c>
      <c r="F786" s="8" t="e">
        <f>VLOOKUP($D786,설문!$C$2:$G$444,3,FALSE)</f>
        <v>#N/A</v>
      </c>
      <c r="G786" s="8" t="e">
        <f>VLOOKUP($D786,설문!$C$2:$G$444,4,FALSE)</f>
        <v>#N/A</v>
      </c>
      <c r="H786" s="8" t="e">
        <f>VLOOKUP($D786,설문!$C$2:$G$444,5,FALSE)</f>
        <v>#N/A</v>
      </c>
    </row>
    <row r="787" spans="1:8">
      <c r="A787" s="6" t="s">
        <v>950</v>
      </c>
      <c r="B787" s="7" t="s">
        <v>951</v>
      </c>
      <c r="C787" s="7" t="s">
        <v>951</v>
      </c>
      <c r="D787" s="7" t="s">
        <v>952</v>
      </c>
      <c r="E787" s="6" t="s">
        <v>953</v>
      </c>
      <c r="F787" s="8" t="e">
        <f>VLOOKUP($D787,설문!$C$2:$G$444,3,FALSE)</f>
        <v>#N/A</v>
      </c>
      <c r="G787" s="8" t="e">
        <f>VLOOKUP($D787,설문!$C$2:$G$444,4,FALSE)</f>
        <v>#N/A</v>
      </c>
      <c r="H787" s="8" t="e">
        <f>VLOOKUP($D787,설문!$C$2:$G$444,5,FALSE)</f>
        <v>#N/A</v>
      </c>
    </row>
    <row r="788" spans="1:8">
      <c r="A788" s="6" t="s">
        <v>950</v>
      </c>
      <c r="B788" s="7" t="s">
        <v>951</v>
      </c>
      <c r="C788" s="7" t="s">
        <v>951</v>
      </c>
      <c r="D788" s="7" t="s">
        <v>1169</v>
      </c>
      <c r="E788" s="6" t="s">
        <v>1170</v>
      </c>
      <c r="F788" s="8" t="e">
        <f>VLOOKUP($D788,설문!$C$2:$G$444,3,FALSE)</f>
        <v>#N/A</v>
      </c>
      <c r="G788" s="8" t="e">
        <f>VLOOKUP($D788,설문!$C$2:$G$444,4,FALSE)</f>
        <v>#N/A</v>
      </c>
      <c r="H788" s="8" t="e">
        <f>VLOOKUP($D788,설문!$C$2:$G$444,5,FALSE)</f>
        <v>#N/A</v>
      </c>
    </row>
    <row r="789" spans="1:8">
      <c r="A789" s="6" t="s">
        <v>950</v>
      </c>
      <c r="B789" s="7" t="s">
        <v>9</v>
      </c>
      <c r="C789" s="7" t="s">
        <v>3343</v>
      </c>
      <c r="D789" s="7" t="s">
        <v>3344</v>
      </c>
      <c r="E789" s="6" t="s">
        <v>3345</v>
      </c>
      <c r="F789" s="8" t="e">
        <f>VLOOKUP($D789,설문!$C$2:$G$444,3,FALSE)</f>
        <v>#N/A</v>
      </c>
      <c r="G789" s="8" t="e">
        <f>VLOOKUP($D789,설문!$C$2:$G$444,4,FALSE)</f>
        <v>#N/A</v>
      </c>
      <c r="H789" s="8" t="e">
        <f>VLOOKUP($D789,설문!$C$2:$G$444,5,FALSE)</f>
        <v>#N/A</v>
      </c>
    </row>
    <row r="790" spans="1:8">
      <c r="A790" s="6" t="s">
        <v>950</v>
      </c>
      <c r="B790" s="7" t="s">
        <v>9</v>
      </c>
      <c r="C790" s="7" t="s">
        <v>951</v>
      </c>
      <c r="D790" s="7" t="s">
        <v>3346</v>
      </c>
      <c r="E790" s="6" t="s">
        <v>3347</v>
      </c>
      <c r="F790" s="8" t="e">
        <f>VLOOKUP($D790,설문!$C$2:$G$444,3,FALSE)</f>
        <v>#N/A</v>
      </c>
      <c r="G790" s="8" t="e">
        <f>VLOOKUP($D790,설문!$C$2:$G$444,4,FALSE)</f>
        <v>#N/A</v>
      </c>
      <c r="H790" s="8" t="e">
        <f>VLOOKUP($D790,설문!$C$2:$G$444,5,FALSE)</f>
        <v>#N/A</v>
      </c>
    </row>
    <row r="791" spans="1:8">
      <c r="A791" s="6" t="s">
        <v>950</v>
      </c>
      <c r="B791" s="7" t="s">
        <v>9</v>
      </c>
      <c r="C791" s="7" t="s">
        <v>2133</v>
      </c>
      <c r="D791" s="7" t="s">
        <v>3348</v>
      </c>
      <c r="E791" s="6" t="s">
        <v>3349</v>
      </c>
      <c r="F791" s="8" t="e">
        <f>VLOOKUP($D791,설문!$C$2:$G$444,3,FALSE)</f>
        <v>#N/A</v>
      </c>
      <c r="G791" s="8" t="e">
        <f>VLOOKUP($D791,설문!$C$2:$G$444,4,FALSE)</f>
        <v>#N/A</v>
      </c>
      <c r="H791" s="8" t="e">
        <f>VLOOKUP($D791,설문!$C$2:$G$444,5,FALSE)</f>
        <v>#N/A</v>
      </c>
    </row>
    <row r="792" spans="1:8">
      <c r="A792" s="6" t="s">
        <v>2075</v>
      </c>
      <c r="B792" s="7" t="s">
        <v>9</v>
      </c>
      <c r="C792" s="7" t="s">
        <v>9</v>
      </c>
      <c r="D792" s="7" t="s">
        <v>2076</v>
      </c>
      <c r="E792" s="6" t="s">
        <v>580</v>
      </c>
      <c r="F792" s="8" t="e">
        <f>VLOOKUP($D792,설문!$C$2:$G$444,3,FALSE)</f>
        <v>#N/A</v>
      </c>
      <c r="G792" s="8" t="e">
        <f>VLOOKUP($D792,설문!$C$2:$G$444,4,FALSE)</f>
        <v>#N/A</v>
      </c>
      <c r="H792" s="8" t="e">
        <f>VLOOKUP($D792,설문!$C$2:$G$444,5,FALSE)</f>
        <v>#N/A</v>
      </c>
    </row>
    <row r="793" spans="1:8">
      <c r="A793" s="6" t="s">
        <v>129</v>
      </c>
      <c r="B793" s="7" t="s">
        <v>130</v>
      </c>
      <c r="C793" s="7" t="s">
        <v>130</v>
      </c>
      <c r="D793" s="7" t="s">
        <v>131</v>
      </c>
      <c r="E793" s="6" t="s">
        <v>132</v>
      </c>
      <c r="F793" s="8" t="e">
        <f>VLOOKUP($D793,설문!$C$2:$G$444,3,FALSE)</f>
        <v>#N/A</v>
      </c>
      <c r="G793" s="8" t="e">
        <f>VLOOKUP($D793,설문!$C$2:$G$444,4,FALSE)</f>
        <v>#N/A</v>
      </c>
      <c r="H793" s="8" t="e">
        <f>VLOOKUP($D793,설문!$C$2:$G$444,5,FALSE)</f>
        <v>#N/A</v>
      </c>
    </row>
    <row r="794" spans="1:8">
      <c r="A794" s="6" t="s">
        <v>129</v>
      </c>
      <c r="B794" s="7" t="s">
        <v>358</v>
      </c>
      <c r="C794" s="7" t="s">
        <v>358</v>
      </c>
      <c r="D794" s="7" t="s">
        <v>359</v>
      </c>
      <c r="E794" s="6" t="s">
        <v>360</v>
      </c>
      <c r="F794" s="8" t="e">
        <f>VLOOKUP($D794,설문!$C$2:$G$444,3,FALSE)</f>
        <v>#N/A</v>
      </c>
      <c r="G794" s="8" t="e">
        <f>VLOOKUP($D794,설문!$C$2:$G$444,4,FALSE)</f>
        <v>#N/A</v>
      </c>
      <c r="H794" s="8" t="e">
        <f>VLOOKUP($D794,설문!$C$2:$G$444,5,FALSE)</f>
        <v>#N/A</v>
      </c>
    </row>
    <row r="795" spans="1:8">
      <c r="A795" s="6" t="s">
        <v>129</v>
      </c>
      <c r="B795" s="7" t="s">
        <v>358</v>
      </c>
      <c r="C795" s="7" t="s">
        <v>358</v>
      </c>
      <c r="D795" s="7" t="s">
        <v>1007</v>
      </c>
      <c r="E795" s="6" t="s">
        <v>1008</v>
      </c>
      <c r="F795" s="8" t="e">
        <f>VLOOKUP($D795,설문!$C$2:$G$444,3,FALSE)</f>
        <v>#N/A</v>
      </c>
      <c r="G795" s="8" t="e">
        <f>VLOOKUP($D795,설문!$C$2:$G$444,4,FALSE)</f>
        <v>#N/A</v>
      </c>
      <c r="H795" s="8" t="e">
        <f>VLOOKUP($D795,설문!$C$2:$G$444,5,FALSE)</f>
        <v>#N/A</v>
      </c>
    </row>
    <row r="796" spans="1:8">
      <c r="A796" s="6" t="s">
        <v>129</v>
      </c>
      <c r="B796" s="7" t="s">
        <v>358</v>
      </c>
      <c r="C796" s="7" t="s">
        <v>358</v>
      </c>
      <c r="D796" s="7" t="s">
        <v>1064</v>
      </c>
      <c r="E796" s="6" t="s">
        <v>1065</v>
      </c>
      <c r="F796" s="8" t="str">
        <f>VLOOKUP($D796,설문!$C$2:$G$444,3,FALSE)</f>
        <v>펀드매니저</v>
      </c>
      <c r="G796" s="8" t="str">
        <f>VLOOKUP($D796,설문!$C$2:$G$444,4,FALSE)</f>
        <v>금융회사</v>
      </c>
      <c r="H796" s="8" t="str">
        <f>VLOOKUP($D796,설문!$C$2:$G$444,5,FALSE)</f>
        <v>국내주식/지수,국내주식/지수관련파생</v>
      </c>
    </row>
    <row r="797" spans="1:8">
      <c r="A797" s="6" t="s">
        <v>129</v>
      </c>
      <c r="B797" s="7" t="s">
        <v>358</v>
      </c>
      <c r="C797" s="7" t="s">
        <v>358</v>
      </c>
      <c r="D797" s="7" t="s">
        <v>1200</v>
      </c>
      <c r="E797" s="6" t="s">
        <v>1201</v>
      </c>
      <c r="F797" s="8" t="e">
        <f>VLOOKUP($D797,설문!$C$2:$G$444,3,FALSE)</f>
        <v>#N/A</v>
      </c>
      <c r="G797" s="8" t="e">
        <f>VLOOKUP($D797,설문!$C$2:$G$444,4,FALSE)</f>
        <v>#N/A</v>
      </c>
      <c r="H797" s="8" t="e">
        <f>VLOOKUP($D797,설문!$C$2:$G$444,5,FALSE)</f>
        <v>#N/A</v>
      </c>
    </row>
    <row r="798" spans="1:8">
      <c r="A798" s="6" t="s">
        <v>129</v>
      </c>
      <c r="B798" s="7" t="s">
        <v>358</v>
      </c>
      <c r="C798" s="7" t="s">
        <v>358</v>
      </c>
      <c r="D798" s="7" t="s">
        <v>2107</v>
      </c>
      <c r="E798" s="6" t="s">
        <v>2108</v>
      </c>
      <c r="F798" s="8" t="e">
        <f>VLOOKUP($D798,설문!$C$2:$G$444,3,FALSE)</f>
        <v>#N/A</v>
      </c>
      <c r="G798" s="8" t="e">
        <f>VLOOKUP($D798,설문!$C$2:$G$444,4,FALSE)</f>
        <v>#N/A</v>
      </c>
      <c r="H798" s="8" t="e">
        <f>VLOOKUP($D798,설문!$C$2:$G$444,5,FALSE)</f>
        <v>#N/A</v>
      </c>
    </row>
    <row r="799" spans="1:8">
      <c r="A799" s="6" t="s">
        <v>129</v>
      </c>
      <c r="B799" s="7" t="s">
        <v>358</v>
      </c>
      <c r="C799" s="7" t="s">
        <v>358</v>
      </c>
      <c r="D799" s="7" t="s">
        <v>2109</v>
      </c>
      <c r="E799" s="6" t="s">
        <v>2110</v>
      </c>
      <c r="F799" s="8" t="e">
        <f>VLOOKUP($D799,설문!$C$2:$G$444,3,FALSE)</f>
        <v>#N/A</v>
      </c>
      <c r="G799" s="8" t="e">
        <f>VLOOKUP($D799,설문!$C$2:$G$444,4,FALSE)</f>
        <v>#N/A</v>
      </c>
      <c r="H799" s="8" t="e">
        <f>VLOOKUP($D799,설문!$C$2:$G$444,5,FALSE)</f>
        <v>#N/A</v>
      </c>
    </row>
    <row r="800" spans="1:8">
      <c r="A800" s="6" t="s">
        <v>129</v>
      </c>
      <c r="B800" s="7" t="s">
        <v>134</v>
      </c>
      <c r="C800" s="7" t="s">
        <v>134</v>
      </c>
      <c r="D800" s="7" t="s">
        <v>2111</v>
      </c>
      <c r="E800" s="6" t="s">
        <v>2112</v>
      </c>
      <c r="F800" s="8" t="str">
        <f>VLOOKUP($D800,설문!$C$2:$G$444,3,FALSE)</f>
        <v>펀드매니저</v>
      </c>
      <c r="G800" s="8" t="str">
        <f>VLOOKUP($D800,설문!$C$2:$G$444,4,FALSE)</f>
        <v>금융회사,금융 유관기관</v>
      </c>
      <c r="H800" s="8" t="str">
        <f>VLOOKUP($D800,설문!$C$2:$G$444,5,FALSE)</f>
        <v>국고채/통안채,회사채,국채선물</v>
      </c>
    </row>
    <row r="801" spans="1:8">
      <c r="A801" s="6" t="s">
        <v>129</v>
      </c>
      <c r="B801" s="7" t="s">
        <v>134</v>
      </c>
      <c r="C801" s="7" t="s">
        <v>134</v>
      </c>
      <c r="D801" s="7" t="s">
        <v>2113</v>
      </c>
      <c r="E801" s="6" t="s">
        <v>2114</v>
      </c>
      <c r="F801" s="8" t="e">
        <f>VLOOKUP($D801,설문!$C$2:$G$444,3,FALSE)</f>
        <v>#N/A</v>
      </c>
      <c r="G801" s="8" t="e">
        <f>VLOOKUP($D801,설문!$C$2:$G$444,4,FALSE)</f>
        <v>#N/A</v>
      </c>
      <c r="H801" s="8" t="e">
        <f>VLOOKUP($D801,설문!$C$2:$G$444,5,FALSE)</f>
        <v>#N/A</v>
      </c>
    </row>
    <row r="802" spans="1:8">
      <c r="A802" s="6" t="s">
        <v>129</v>
      </c>
      <c r="B802" s="7" t="s">
        <v>2115</v>
      </c>
      <c r="C802" s="7" t="s">
        <v>2115</v>
      </c>
      <c r="D802" s="7" t="s">
        <v>2116</v>
      </c>
      <c r="E802" s="6" t="s">
        <v>2117</v>
      </c>
      <c r="F802" s="8" t="str">
        <f>VLOOKUP($D802,설문!$C$2:$G$444,3,FALSE)</f>
        <v>펀드매니저</v>
      </c>
      <c r="G802" s="8" t="str">
        <f>VLOOKUP($D802,설문!$C$2:$G$444,4,FALSE)</f>
        <v>금융회사,기타</v>
      </c>
      <c r="H802" s="8" t="str">
        <f>VLOOKUP($D802,설문!$C$2:$G$444,5,FALSE)</f>
        <v>국내주식/지수</v>
      </c>
    </row>
    <row r="803" spans="1:8">
      <c r="A803" s="6" t="s">
        <v>129</v>
      </c>
      <c r="B803" s="7" t="s">
        <v>358</v>
      </c>
      <c r="C803" s="7" t="s">
        <v>358</v>
      </c>
      <c r="D803" s="7" t="s">
        <v>2118</v>
      </c>
      <c r="E803" s="6" t="s">
        <v>2119</v>
      </c>
      <c r="F803" s="8" t="e">
        <f>VLOOKUP($D803,설문!$C$2:$G$444,3,FALSE)</f>
        <v>#N/A</v>
      </c>
      <c r="G803" s="8" t="e">
        <f>VLOOKUP($D803,설문!$C$2:$G$444,4,FALSE)</f>
        <v>#N/A</v>
      </c>
      <c r="H803" s="8" t="e">
        <f>VLOOKUP($D803,설문!$C$2:$G$444,5,FALSE)</f>
        <v>#N/A</v>
      </c>
    </row>
    <row r="804" spans="1:8">
      <c r="A804" s="6" t="s">
        <v>2639</v>
      </c>
      <c r="B804" s="7" t="s">
        <v>9</v>
      </c>
      <c r="C804" s="7" t="s">
        <v>1763</v>
      </c>
      <c r="D804" s="7" t="s">
        <v>2640</v>
      </c>
      <c r="E804" s="6" t="s">
        <v>2641</v>
      </c>
      <c r="F804" s="8" t="e">
        <f>VLOOKUP($D804,설문!$C$2:$G$444,3,FALSE)</f>
        <v>#N/A</v>
      </c>
      <c r="G804" s="8" t="e">
        <f>VLOOKUP($D804,설문!$C$2:$G$444,4,FALSE)</f>
        <v>#N/A</v>
      </c>
      <c r="H804" s="8" t="e">
        <f>VLOOKUP($D804,설문!$C$2:$G$444,5,FALSE)</f>
        <v>#N/A</v>
      </c>
    </row>
    <row r="805" spans="1:8">
      <c r="A805" s="6" t="s">
        <v>103</v>
      </c>
      <c r="B805" s="7" t="s">
        <v>69</v>
      </c>
      <c r="C805" s="7" t="s">
        <v>69</v>
      </c>
      <c r="D805" s="7" t="s">
        <v>104</v>
      </c>
      <c r="E805" s="6" t="s">
        <v>105</v>
      </c>
      <c r="F805" s="8" t="e">
        <f>VLOOKUP($D805,설문!$C$2:$G$444,3,FALSE)</f>
        <v>#N/A</v>
      </c>
      <c r="G805" s="8" t="e">
        <f>VLOOKUP($D805,설문!$C$2:$G$444,4,FALSE)</f>
        <v>#N/A</v>
      </c>
      <c r="H805" s="8" t="e">
        <f>VLOOKUP($D805,설문!$C$2:$G$444,5,FALSE)</f>
        <v>#N/A</v>
      </c>
    </row>
    <row r="806" spans="1:8">
      <c r="A806" s="6" t="s">
        <v>653</v>
      </c>
      <c r="B806" s="7" t="s">
        <v>69</v>
      </c>
      <c r="C806" s="7" t="s">
        <v>69</v>
      </c>
      <c r="D806" s="7" t="s">
        <v>654</v>
      </c>
      <c r="E806" s="6" t="s">
        <v>655</v>
      </c>
      <c r="F806" s="8" t="e">
        <f>VLOOKUP($D806,설문!$C$2:$G$444,3,FALSE)</f>
        <v>#N/A</v>
      </c>
      <c r="G806" s="8" t="e">
        <f>VLOOKUP($D806,설문!$C$2:$G$444,4,FALSE)</f>
        <v>#N/A</v>
      </c>
      <c r="H806" s="8" t="e">
        <f>VLOOKUP($D806,설문!$C$2:$G$444,5,FALSE)</f>
        <v>#N/A</v>
      </c>
    </row>
    <row r="807" spans="1:8">
      <c r="A807" s="6" t="s">
        <v>3049</v>
      </c>
      <c r="B807" s="7" t="s">
        <v>3050</v>
      </c>
      <c r="C807" s="7" t="s">
        <v>3050</v>
      </c>
      <c r="D807" s="7" t="s">
        <v>3051</v>
      </c>
      <c r="E807" s="6" t="s">
        <v>3052</v>
      </c>
      <c r="F807" s="8" t="e">
        <f>VLOOKUP($D807,설문!$C$2:$G$444,3,FALSE)</f>
        <v>#N/A</v>
      </c>
      <c r="G807" s="8" t="e">
        <f>VLOOKUP($D807,설문!$C$2:$G$444,4,FALSE)</f>
        <v>#N/A</v>
      </c>
      <c r="H807" s="8" t="e">
        <f>VLOOKUP($D807,설문!$C$2:$G$444,5,FALSE)</f>
        <v>#N/A</v>
      </c>
    </row>
    <row r="808" spans="1:8">
      <c r="A808" s="6" t="s">
        <v>3049</v>
      </c>
      <c r="B808" s="7" t="s">
        <v>3050</v>
      </c>
      <c r="C808" s="7" t="s">
        <v>3050</v>
      </c>
      <c r="D808" s="7" t="s">
        <v>3053</v>
      </c>
      <c r="E808" s="6" t="s">
        <v>3054</v>
      </c>
      <c r="F808" s="8" t="e">
        <f>VLOOKUP($D808,설문!$C$2:$G$444,3,FALSE)</f>
        <v>#N/A</v>
      </c>
      <c r="G808" s="8" t="e">
        <f>VLOOKUP($D808,설문!$C$2:$G$444,4,FALSE)</f>
        <v>#N/A</v>
      </c>
      <c r="H808" s="8" t="e">
        <f>VLOOKUP($D808,설문!$C$2:$G$444,5,FALSE)</f>
        <v>#N/A</v>
      </c>
    </row>
    <row r="809" spans="1:8">
      <c r="A809" s="6" t="s">
        <v>3049</v>
      </c>
      <c r="B809" s="7" t="s">
        <v>3050</v>
      </c>
      <c r="C809" s="7" t="s">
        <v>3050</v>
      </c>
      <c r="D809" s="7" t="s">
        <v>3055</v>
      </c>
      <c r="E809" s="6" t="s">
        <v>3056</v>
      </c>
      <c r="F809" s="8" t="e">
        <f>VLOOKUP($D809,설문!$C$2:$G$444,3,FALSE)</f>
        <v>#N/A</v>
      </c>
      <c r="G809" s="8" t="e">
        <f>VLOOKUP($D809,설문!$C$2:$G$444,4,FALSE)</f>
        <v>#N/A</v>
      </c>
      <c r="H809" s="8" t="e">
        <f>VLOOKUP($D809,설문!$C$2:$G$444,5,FALSE)</f>
        <v>#N/A</v>
      </c>
    </row>
    <row r="810" spans="1:8">
      <c r="A810" s="6" t="s">
        <v>1515</v>
      </c>
      <c r="B810" s="7" t="s">
        <v>1411</v>
      </c>
      <c r="C810" s="7" t="s">
        <v>1512</v>
      </c>
      <c r="D810" s="7" t="s">
        <v>1516</v>
      </c>
      <c r="E810" s="6" t="s">
        <v>1517</v>
      </c>
      <c r="F810" s="8" t="e">
        <f>VLOOKUP($D810,설문!$C$2:$G$444,3,FALSE)</f>
        <v>#N/A</v>
      </c>
      <c r="G810" s="8" t="e">
        <f>VLOOKUP($D810,설문!$C$2:$G$444,4,FALSE)</f>
        <v>#N/A</v>
      </c>
      <c r="H810" s="8" t="e">
        <f>VLOOKUP($D810,설문!$C$2:$G$444,5,FALSE)</f>
        <v>#N/A</v>
      </c>
    </row>
    <row r="811" spans="1:8">
      <c r="A811" s="6" t="s">
        <v>1515</v>
      </c>
      <c r="B811" s="7" t="s">
        <v>1411</v>
      </c>
      <c r="C811" s="7" t="s">
        <v>1512</v>
      </c>
      <c r="D811" s="7" t="s">
        <v>2435</v>
      </c>
      <c r="E811" s="6" t="s">
        <v>2436</v>
      </c>
      <c r="F811" s="8" t="e">
        <f>VLOOKUP($D811,설문!$C$2:$G$444,3,FALSE)</f>
        <v>#N/A</v>
      </c>
      <c r="G811" s="8" t="e">
        <f>VLOOKUP($D811,설문!$C$2:$G$444,4,FALSE)</f>
        <v>#N/A</v>
      </c>
      <c r="H811" s="8" t="e">
        <f>VLOOKUP($D811,설문!$C$2:$G$444,5,FALSE)</f>
        <v>#N/A</v>
      </c>
    </row>
    <row r="812" spans="1:8">
      <c r="A812" s="6" t="s">
        <v>1515</v>
      </c>
      <c r="B812" s="7" t="s">
        <v>1411</v>
      </c>
      <c r="C812" s="7" t="s">
        <v>1512</v>
      </c>
      <c r="D812" s="7" t="s">
        <v>2437</v>
      </c>
      <c r="E812" s="6" t="s">
        <v>2438</v>
      </c>
      <c r="F812" s="8" t="str">
        <f>VLOOKUP($D812,설문!$C$2:$G$444,3,FALSE)</f>
        <v>펀드매니저</v>
      </c>
      <c r="G812" s="8" t="str">
        <f>VLOOKUP($D812,설문!$C$2:$G$444,4,FALSE)</f>
        <v>금융회사</v>
      </c>
      <c r="H812" s="8" t="str">
        <f>VLOOKUP($D812,설문!$C$2:$G$444,5,FALSE)</f>
        <v>외화채권(KP제외),외화채권선물</v>
      </c>
    </row>
    <row r="813" spans="1:8">
      <c r="A813" s="6" t="s">
        <v>1515</v>
      </c>
      <c r="B813" s="7" t="s">
        <v>1411</v>
      </c>
      <c r="C813" s="7" t="s">
        <v>1512</v>
      </c>
      <c r="D813" s="7" t="s">
        <v>2439</v>
      </c>
      <c r="E813" s="6" t="s">
        <v>2350</v>
      </c>
      <c r="F813" s="8" t="e">
        <f>VLOOKUP($D813,설문!$C$2:$G$444,3,FALSE)</f>
        <v>#N/A</v>
      </c>
      <c r="G813" s="8" t="e">
        <f>VLOOKUP($D813,설문!$C$2:$G$444,4,FALSE)</f>
        <v>#N/A</v>
      </c>
      <c r="H813" s="8" t="e">
        <f>VLOOKUP($D813,설문!$C$2:$G$444,5,FALSE)</f>
        <v>#N/A</v>
      </c>
    </row>
    <row r="814" spans="1:8">
      <c r="A814" s="6" t="s">
        <v>34</v>
      </c>
      <c r="B814" s="7" t="s">
        <v>35</v>
      </c>
      <c r="C814" s="7" t="s">
        <v>9</v>
      </c>
      <c r="D814" s="7" t="s">
        <v>36</v>
      </c>
      <c r="E814" s="6" t="s">
        <v>37</v>
      </c>
      <c r="F814" s="8" t="e">
        <f>VLOOKUP($D814,설문!$C$2:$G$444,3,FALSE)</f>
        <v>#N/A</v>
      </c>
      <c r="G814" s="8" t="e">
        <f>VLOOKUP($D814,설문!$C$2:$G$444,4,FALSE)</f>
        <v>#N/A</v>
      </c>
      <c r="H814" s="8" t="e">
        <f>VLOOKUP($D814,설문!$C$2:$G$444,5,FALSE)</f>
        <v>#N/A</v>
      </c>
    </row>
    <row r="815" spans="1:8">
      <c r="A815" s="6" t="s">
        <v>34</v>
      </c>
      <c r="B815" s="7" t="s">
        <v>839</v>
      </c>
      <c r="C815" s="7" t="s">
        <v>839</v>
      </c>
      <c r="D815" s="7" t="s">
        <v>840</v>
      </c>
      <c r="E815" s="6" t="s">
        <v>841</v>
      </c>
      <c r="F815" s="8" t="e">
        <f>VLOOKUP($D815,설문!$C$2:$G$444,3,FALSE)</f>
        <v>#N/A</v>
      </c>
      <c r="G815" s="8" t="e">
        <f>VLOOKUP($D815,설문!$C$2:$G$444,4,FALSE)</f>
        <v>#N/A</v>
      </c>
      <c r="H815" s="8" t="e">
        <f>VLOOKUP($D815,설문!$C$2:$G$444,5,FALSE)</f>
        <v>#N/A</v>
      </c>
    </row>
    <row r="816" spans="1:8">
      <c r="A816" s="6" t="s">
        <v>34</v>
      </c>
      <c r="B816" s="7" t="s">
        <v>839</v>
      </c>
      <c r="C816" s="7" t="s">
        <v>839</v>
      </c>
      <c r="D816" s="7" t="s">
        <v>1092</v>
      </c>
      <c r="E816" s="6" t="s">
        <v>1093</v>
      </c>
      <c r="F816" s="8" t="str">
        <f>VLOOKUP($D816,설문!$C$2:$G$444,3,FALSE)</f>
        <v>딜러</v>
      </c>
      <c r="G816" s="8" t="str">
        <f>VLOOKUP($D816,설문!$C$2:$G$444,4,FALSE)</f>
        <v>금융회사</v>
      </c>
      <c r="H816" s="8" t="str">
        <f>VLOOKUP($D816,설문!$C$2:$G$444,5,FALSE)</f>
        <v>국고채/통안채,회사채,국채선물</v>
      </c>
    </row>
    <row r="817" spans="1:8">
      <c r="A817" s="6" t="s">
        <v>34</v>
      </c>
      <c r="B817" s="7" t="s">
        <v>839</v>
      </c>
      <c r="C817" s="7" t="s">
        <v>839</v>
      </c>
      <c r="D817" s="7" t="s">
        <v>1126</v>
      </c>
      <c r="E817" s="6" t="s">
        <v>1127</v>
      </c>
      <c r="F817" s="8" t="e">
        <f>VLOOKUP($D817,설문!$C$2:$G$444,3,FALSE)</f>
        <v>#N/A</v>
      </c>
      <c r="G817" s="8" t="e">
        <f>VLOOKUP($D817,설문!$C$2:$G$444,4,FALSE)</f>
        <v>#N/A</v>
      </c>
      <c r="H817" s="8" t="e">
        <f>VLOOKUP($D817,설문!$C$2:$G$444,5,FALSE)</f>
        <v>#N/A</v>
      </c>
    </row>
    <row r="818" spans="1:8">
      <c r="A818" s="6" t="s">
        <v>34</v>
      </c>
      <c r="B818" s="7" t="s">
        <v>839</v>
      </c>
      <c r="C818" s="7" t="s">
        <v>839</v>
      </c>
      <c r="D818" s="7" t="s">
        <v>1220</v>
      </c>
      <c r="E818" s="6" t="s">
        <v>1221</v>
      </c>
      <c r="F818" s="8" t="str">
        <f>VLOOKUP($D818,설문!$C$2:$G$444,3,FALSE)</f>
        <v>브로커</v>
      </c>
      <c r="G818" s="8" t="str">
        <f>VLOOKUP($D818,설문!$C$2:$G$444,4,FALSE)</f>
        <v>금융회사</v>
      </c>
      <c r="H818" s="8" t="str">
        <f>VLOOKUP($D818,설문!$C$2:$G$444,5,FALSE)</f>
        <v>국고채/통안채</v>
      </c>
    </row>
    <row r="819" spans="1:8">
      <c r="A819" s="6" t="s">
        <v>34</v>
      </c>
      <c r="B819" s="7" t="s">
        <v>839</v>
      </c>
      <c r="C819" s="7" t="s">
        <v>839</v>
      </c>
      <c r="D819" s="7" t="s">
        <v>1429</v>
      </c>
      <c r="E819" s="6" t="s">
        <v>1430</v>
      </c>
      <c r="F819" s="8" t="e">
        <f>VLOOKUP($D819,설문!$C$2:$G$444,3,FALSE)</f>
        <v>#N/A</v>
      </c>
      <c r="G819" s="8" t="e">
        <f>VLOOKUP($D819,설문!$C$2:$G$444,4,FALSE)</f>
        <v>#N/A</v>
      </c>
      <c r="H819" s="8" t="e">
        <f>VLOOKUP($D819,설문!$C$2:$G$444,5,FALSE)</f>
        <v>#N/A</v>
      </c>
    </row>
    <row r="820" spans="1:8">
      <c r="A820" s="6" t="s">
        <v>34</v>
      </c>
      <c r="B820" s="7" t="s">
        <v>320</v>
      </c>
      <c r="C820" s="7" t="s">
        <v>320</v>
      </c>
      <c r="D820" s="7" t="s">
        <v>1454</v>
      </c>
      <c r="E820" s="6" t="s">
        <v>1455</v>
      </c>
      <c r="F820" s="8" t="e">
        <f>VLOOKUP($D820,설문!$C$2:$G$444,3,FALSE)</f>
        <v>#N/A</v>
      </c>
      <c r="G820" s="8" t="e">
        <f>VLOOKUP($D820,설문!$C$2:$G$444,4,FALSE)</f>
        <v>#N/A</v>
      </c>
      <c r="H820" s="8" t="e">
        <f>VLOOKUP($D820,설문!$C$2:$G$444,5,FALSE)</f>
        <v>#N/A</v>
      </c>
    </row>
    <row r="821" spans="1:8">
      <c r="A821" s="6" t="s">
        <v>34</v>
      </c>
      <c r="B821" s="7" t="s">
        <v>839</v>
      </c>
      <c r="C821" s="7" t="s">
        <v>839</v>
      </c>
      <c r="D821" s="7" t="s">
        <v>1456</v>
      </c>
      <c r="E821" s="6" t="s">
        <v>1457</v>
      </c>
      <c r="F821" s="8" t="e">
        <f>VLOOKUP($D821,설문!$C$2:$G$444,3,FALSE)</f>
        <v>#N/A</v>
      </c>
      <c r="G821" s="8" t="e">
        <f>VLOOKUP($D821,설문!$C$2:$G$444,4,FALSE)</f>
        <v>#N/A</v>
      </c>
      <c r="H821" s="8" t="e">
        <f>VLOOKUP($D821,설문!$C$2:$G$444,5,FALSE)</f>
        <v>#N/A</v>
      </c>
    </row>
    <row r="822" spans="1:8">
      <c r="A822" s="6" t="s">
        <v>34</v>
      </c>
      <c r="B822" s="7" t="s">
        <v>320</v>
      </c>
      <c r="C822" s="7" t="s">
        <v>320</v>
      </c>
      <c r="D822" s="7" t="s">
        <v>1458</v>
      </c>
      <c r="E822" s="6" t="s">
        <v>1459</v>
      </c>
      <c r="F822" s="8" t="e">
        <f>VLOOKUP($D822,설문!$C$2:$G$444,3,FALSE)</f>
        <v>#N/A</v>
      </c>
      <c r="G822" s="8" t="e">
        <f>VLOOKUP($D822,설문!$C$2:$G$444,4,FALSE)</f>
        <v>#N/A</v>
      </c>
      <c r="H822" s="8" t="e">
        <f>VLOOKUP($D822,설문!$C$2:$G$444,5,FALSE)</f>
        <v>#N/A</v>
      </c>
    </row>
    <row r="823" spans="1:8">
      <c r="A823" s="6" t="s">
        <v>34</v>
      </c>
      <c r="B823" s="7" t="s">
        <v>1827</v>
      </c>
      <c r="C823" s="7" t="s">
        <v>1827</v>
      </c>
      <c r="D823" s="7" t="s">
        <v>1828</v>
      </c>
      <c r="E823" s="6" t="s">
        <v>1829</v>
      </c>
      <c r="F823" s="8" t="str">
        <f>VLOOKUP($D823,설문!$C$2:$G$444,3,FALSE)</f>
        <v>분석 및 전략</v>
      </c>
      <c r="G823" s="8" t="str">
        <f>VLOOKUP($D823,설문!$C$2:$G$444,4,FALSE)</f>
        <v>금융회사,금융 유관기관,일반기업고객</v>
      </c>
      <c r="H823" s="8" t="str">
        <f>VLOOKUP($D823,설문!$C$2:$G$444,5,FALSE)</f>
        <v>회사채,IB(발행, M&amp;A 등)</v>
      </c>
    </row>
    <row r="824" spans="1:8">
      <c r="A824" s="6" t="s">
        <v>507</v>
      </c>
      <c r="B824" s="7" t="s">
        <v>508</v>
      </c>
      <c r="C824" s="7" t="s">
        <v>508</v>
      </c>
      <c r="D824" s="7" t="s">
        <v>509</v>
      </c>
      <c r="E824" s="6" t="s">
        <v>510</v>
      </c>
      <c r="F824" s="8" t="e">
        <f>VLOOKUP($D824,설문!$C$2:$G$444,3,FALSE)</f>
        <v>#N/A</v>
      </c>
      <c r="G824" s="8" t="e">
        <f>VLOOKUP($D824,설문!$C$2:$G$444,4,FALSE)</f>
        <v>#N/A</v>
      </c>
      <c r="H824" s="8" t="e">
        <f>VLOOKUP($D824,설문!$C$2:$G$444,5,FALSE)</f>
        <v>#N/A</v>
      </c>
    </row>
    <row r="825" spans="1:8">
      <c r="A825" s="6" t="s">
        <v>434</v>
      </c>
      <c r="B825" s="7" t="s">
        <v>435</v>
      </c>
      <c r="C825" s="7" t="s">
        <v>435</v>
      </c>
      <c r="D825" s="7" t="s">
        <v>436</v>
      </c>
      <c r="E825" s="6" t="s">
        <v>437</v>
      </c>
      <c r="F825" s="8" t="str">
        <f>VLOOKUP($D825,설문!$C$2:$G$444,3,FALSE)</f>
        <v>펀드매니저</v>
      </c>
      <c r="G825" s="8" t="str">
        <f>VLOOKUP($D825,설문!$C$2:$G$444,4,FALSE)</f>
        <v>금융회사</v>
      </c>
      <c r="H825" s="8" t="str">
        <f>VLOOKUP($D825,설문!$C$2:$G$444,5,FALSE)</f>
        <v>국내주식/지수,국고채/통안채,국내주식/지수관련파생,FX Spot &amp; FX Swap,FRA/이자율옵션,해외주식/지수,해외주식/지수관련파생,ETF/ETN</v>
      </c>
    </row>
    <row r="826" spans="1:8">
      <c r="A826" s="6" t="s">
        <v>434</v>
      </c>
      <c r="B826" s="7" t="s">
        <v>496</v>
      </c>
      <c r="C826" s="7" t="s">
        <v>496</v>
      </c>
      <c r="D826" s="7" t="s">
        <v>497</v>
      </c>
      <c r="E826" s="6" t="s">
        <v>498</v>
      </c>
      <c r="F826" s="8" t="e">
        <f>VLOOKUP($D826,설문!$C$2:$G$444,3,FALSE)</f>
        <v>#N/A</v>
      </c>
      <c r="G826" s="8" t="e">
        <f>VLOOKUP($D826,설문!$C$2:$G$444,4,FALSE)</f>
        <v>#N/A</v>
      </c>
      <c r="H826" s="8" t="e">
        <f>VLOOKUP($D826,설문!$C$2:$G$444,5,FALSE)</f>
        <v>#N/A</v>
      </c>
    </row>
    <row r="827" spans="1:8">
      <c r="A827" s="6" t="s">
        <v>434</v>
      </c>
      <c r="B827" s="7" t="s">
        <v>1873</v>
      </c>
      <c r="C827" s="7" t="s">
        <v>1874</v>
      </c>
      <c r="D827" s="7" t="s">
        <v>1875</v>
      </c>
      <c r="E827" s="6" t="s">
        <v>1876</v>
      </c>
      <c r="F827" s="8" t="e">
        <f>VLOOKUP($D827,설문!$C$2:$G$444,3,FALSE)</f>
        <v>#N/A</v>
      </c>
      <c r="G827" s="8" t="e">
        <f>VLOOKUP($D827,설문!$C$2:$G$444,4,FALSE)</f>
        <v>#N/A</v>
      </c>
      <c r="H827" s="8" t="e">
        <f>VLOOKUP($D827,설문!$C$2:$G$444,5,FALSE)</f>
        <v>#N/A</v>
      </c>
    </row>
    <row r="828" spans="1:8">
      <c r="A828" s="6" t="s">
        <v>434</v>
      </c>
      <c r="B828" s="7" t="s">
        <v>1873</v>
      </c>
      <c r="C828" s="7" t="s">
        <v>1874</v>
      </c>
      <c r="D828" s="7" t="s">
        <v>2226</v>
      </c>
      <c r="E828" s="6" t="s">
        <v>2227</v>
      </c>
      <c r="F828" s="8" t="e">
        <f>VLOOKUP($D828,설문!$C$2:$G$444,3,FALSE)</f>
        <v>#N/A</v>
      </c>
      <c r="G828" s="8" t="e">
        <f>VLOOKUP($D828,설문!$C$2:$G$444,4,FALSE)</f>
        <v>#N/A</v>
      </c>
      <c r="H828" s="8" t="e">
        <f>VLOOKUP($D828,설문!$C$2:$G$444,5,FALSE)</f>
        <v>#N/A</v>
      </c>
    </row>
    <row r="829" spans="1:8">
      <c r="A829" s="6" t="s">
        <v>434</v>
      </c>
      <c r="B829" s="7" t="s">
        <v>1873</v>
      </c>
      <c r="C829" s="7" t="s">
        <v>1874</v>
      </c>
      <c r="D829" s="7" t="s">
        <v>2228</v>
      </c>
      <c r="E829" s="6" t="s">
        <v>2229</v>
      </c>
      <c r="F829" s="8" t="e">
        <f>VLOOKUP($D829,설문!$C$2:$G$444,3,FALSE)</f>
        <v>#N/A</v>
      </c>
      <c r="G829" s="8" t="e">
        <f>VLOOKUP($D829,설문!$C$2:$G$444,4,FALSE)</f>
        <v>#N/A</v>
      </c>
      <c r="H829" s="8" t="e">
        <f>VLOOKUP($D829,설문!$C$2:$G$444,5,FALSE)</f>
        <v>#N/A</v>
      </c>
    </row>
    <row r="830" spans="1:8">
      <c r="A830" s="6" t="s">
        <v>434</v>
      </c>
      <c r="B830" s="7" t="s">
        <v>1873</v>
      </c>
      <c r="C830" s="7" t="s">
        <v>1874</v>
      </c>
      <c r="D830" s="7" t="s">
        <v>2230</v>
      </c>
      <c r="E830" s="6" t="s">
        <v>2231</v>
      </c>
      <c r="F830" s="8" t="e">
        <f>VLOOKUP($D830,설문!$C$2:$G$444,3,FALSE)</f>
        <v>#N/A</v>
      </c>
      <c r="G830" s="8" t="e">
        <f>VLOOKUP($D830,설문!$C$2:$G$444,4,FALSE)</f>
        <v>#N/A</v>
      </c>
      <c r="H830" s="8" t="e">
        <f>VLOOKUP($D830,설문!$C$2:$G$444,5,FALSE)</f>
        <v>#N/A</v>
      </c>
    </row>
    <row r="831" spans="1:8">
      <c r="A831" s="6" t="s">
        <v>434</v>
      </c>
      <c r="B831" s="7" t="s">
        <v>106</v>
      </c>
      <c r="C831" s="7" t="s">
        <v>106</v>
      </c>
      <c r="D831" s="7" t="s">
        <v>2232</v>
      </c>
      <c r="E831" s="6" t="s">
        <v>2233</v>
      </c>
      <c r="F831" s="8" t="e">
        <f>VLOOKUP($D831,설문!$C$2:$G$444,3,FALSE)</f>
        <v>#N/A</v>
      </c>
      <c r="G831" s="8" t="e">
        <f>VLOOKUP($D831,설문!$C$2:$G$444,4,FALSE)</f>
        <v>#N/A</v>
      </c>
      <c r="H831" s="8" t="e">
        <f>VLOOKUP($D831,설문!$C$2:$G$444,5,FALSE)</f>
        <v>#N/A</v>
      </c>
    </row>
    <row r="832" spans="1:8">
      <c r="A832" s="6" t="s">
        <v>434</v>
      </c>
      <c r="B832" s="7" t="s">
        <v>496</v>
      </c>
      <c r="C832" s="7" t="s">
        <v>496</v>
      </c>
      <c r="D832" s="7" t="s">
        <v>2234</v>
      </c>
      <c r="E832" s="6" t="s">
        <v>2235</v>
      </c>
      <c r="F832" s="8" t="e">
        <f>VLOOKUP($D832,설문!$C$2:$G$444,3,FALSE)</f>
        <v>#N/A</v>
      </c>
      <c r="G832" s="8" t="e">
        <f>VLOOKUP($D832,설문!$C$2:$G$444,4,FALSE)</f>
        <v>#N/A</v>
      </c>
      <c r="H832" s="8" t="e">
        <f>VLOOKUP($D832,설문!$C$2:$G$444,5,FALSE)</f>
        <v>#N/A</v>
      </c>
    </row>
    <row r="833" spans="1:8">
      <c r="A833" s="6" t="s">
        <v>434</v>
      </c>
      <c r="B833" s="7" t="s">
        <v>496</v>
      </c>
      <c r="C833" s="7" t="s">
        <v>496</v>
      </c>
      <c r="D833" s="7" t="s">
        <v>2236</v>
      </c>
      <c r="E833" s="6" t="s">
        <v>2237</v>
      </c>
      <c r="F833" s="8" t="e">
        <f>VLOOKUP($D833,설문!$C$2:$G$444,3,FALSE)</f>
        <v>#N/A</v>
      </c>
      <c r="G833" s="8" t="e">
        <f>VLOOKUP($D833,설문!$C$2:$G$444,4,FALSE)</f>
        <v>#N/A</v>
      </c>
      <c r="H833" s="8" t="e">
        <f>VLOOKUP($D833,설문!$C$2:$G$444,5,FALSE)</f>
        <v>#N/A</v>
      </c>
    </row>
    <row r="834" spans="1:8">
      <c r="A834" s="6" t="s">
        <v>434</v>
      </c>
      <c r="B834" s="7" t="s">
        <v>496</v>
      </c>
      <c r="C834" s="7" t="s">
        <v>496</v>
      </c>
      <c r="D834" s="7" t="s">
        <v>2238</v>
      </c>
      <c r="E834" s="6" t="s">
        <v>2239</v>
      </c>
      <c r="F834" s="8" t="e">
        <f>VLOOKUP($D834,설문!$C$2:$G$444,3,FALSE)</f>
        <v>#N/A</v>
      </c>
      <c r="G834" s="8" t="e">
        <f>VLOOKUP($D834,설문!$C$2:$G$444,4,FALSE)</f>
        <v>#N/A</v>
      </c>
      <c r="H834" s="8" t="e">
        <f>VLOOKUP($D834,설문!$C$2:$G$444,5,FALSE)</f>
        <v>#N/A</v>
      </c>
    </row>
    <row r="835" spans="1:8">
      <c r="A835" s="6" t="s">
        <v>434</v>
      </c>
      <c r="B835" s="7" t="s">
        <v>496</v>
      </c>
      <c r="C835" s="7" t="s">
        <v>496</v>
      </c>
      <c r="D835" s="7" t="s">
        <v>2240</v>
      </c>
      <c r="E835" s="6" t="s">
        <v>2241</v>
      </c>
      <c r="F835" s="8" t="e">
        <f>VLOOKUP($D835,설문!$C$2:$G$444,3,FALSE)</f>
        <v>#N/A</v>
      </c>
      <c r="G835" s="8" t="e">
        <f>VLOOKUP($D835,설문!$C$2:$G$444,4,FALSE)</f>
        <v>#N/A</v>
      </c>
      <c r="H835" s="8" t="e">
        <f>VLOOKUP($D835,설문!$C$2:$G$444,5,FALSE)</f>
        <v>#N/A</v>
      </c>
    </row>
    <row r="836" spans="1:8">
      <c r="A836" s="6" t="s">
        <v>434</v>
      </c>
      <c r="B836" s="7" t="s">
        <v>496</v>
      </c>
      <c r="C836" s="7" t="s">
        <v>496</v>
      </c>
      <c r="D836" s="7" t="s">
        <v>2242</v>
      </c>
      <c r="E836" s="6" t="s">
        <v>2243</v>
      </c>
      <c r="F836" s="8" t="e">
        <f>VLOOKUP($D836,설문!$C$2:$G$444,3,FALSE)</f>
        <v>#N/A</v>
      </c>
      <c r="G836" s="8" t="e">
        <f>VLOOKUP($D836,설문!$C$2:$G$444,4,FALSE)</f>
        <v>#N/A</v>
      </c>
      <c r="H836" s="8" t="e">
        <f>VLOOKUP($D836,설문!$C$2:$G$444,5,FALSE)</f>
        <v>#N/A</v>
      </c>
    </row>
    <row r="837" spans="1:8">
      <c r="A837" s="6" t="s">
        <v>343</v>
      </c>
      <c r="B837" s="7" t="s">
        <v>9</v>
      </c>
      <c r="C837" s="7" t="s">
        <v>9</v>
      </c>
      <c r="D837" s="7" t="s">
        <v>344</v>
      </c>
      <c r="E837" s="6" t="s">
        <v>345</v>
      </c>
      <c r="F837" s="8" t="e">
        <f>VLOOKUP($D837,설문!$C$2:$G$444,3,FALSE)</f>
        <v>#N/A</v>
      </c>
      <c r="G837" s="8" t="e">
        <f>VLOOKUP($D837,설문!$C$2:$G$444,4,FALSE)</f>
        <v>#N/A</v>
      </c>
      <c r="H837" s="8" t="e">
        <f>VLOOKUP($D837,설문!$C$2:$G$444,5,FALSE)</f>
        <v>#N/A</v>
      </c>
    </row>
    <row r="838" spans="1:8">
      <c r="A838" s="6" t="s">
        <v>5258</v>
      </c>
      <c r="B838" s="7" t="s">
        <v>9</v>
      </c>
      <c r="C838" s="7" t="s">
        <v>9</v>
      </c>
      <c r="D838" s="7" t="s">
        <v>5259</v>
      </c>
      <c r="E838" s="6" t="s">
        <v>5260</v>
      </c>
      <c r="F838" s="8" t="e">
        <f>VLOOKUP($D838,설문!$C$2:$G$444,3,FALSE)</f>
        <v>#N/A</v>
      </c>
      <c r="G838" s="8" t="e">
        <f>VLOOKUP($D838,설문!$C$2:$G$444,4,FALSE)</f>
        <v>#N/A</v>
      </c>
      <c r="H838" s="8" t="e">
        <f>VLOOKUP($D838,설문!$C$2:$G$444,5,FALSE)</f>
        <v>#N/A</v>
      </c>
    </row>
    <row r="839" spans="1:8">
      <c r="A839" s="6" t="s">
        <v>5258</v>
      </c>
      <c r="B839" s="7" t="s">
        <v>9</v>
      </c>
      <c r="C839" s="7" t="s">
        <v>9</v>
      </c>
      <c r="D839" s="7" t="s">
        <v>5261</v>
      </c>
      <c r="E839" s="6" t="s">
        <v>5262</v>
      </c>
      <c r="F839" s="8" t="e">
        <f>VLOOKUP($D839,설문!$C$2:$G$444,3,FALSE)</f>
        <v>#N/A</v>
      </c>
      <c r="G839" s="8" t="e">
        <f>VLOOKUP($D839,설문!$C$2:$G$444,4,FALSE)</f>
        <v>#N/A</v>
      </c>
      <c r="H839" s="8" t="e">
        <f>VLOOKUP($D839,설문!$C$2:$G$444,5,FALSE)</f>
        <v>#N/A</v>
      </c>
    </row>
    <row r="840" spans="1:8">
      <c r="A840" s="6" t="s">
        <v>1171</v>
      </c>
      <c r="B840" s="7" t="s">
        <v>202</v>
      </c>
      <c r="C840" s="7" t="s">
        <v>202</v>
      </c>
      <c r="D840" s="7" t="s">
        <v>1172</v>
      </c>
      <c r="E840" s="6" t="s">
        <v>397</v>
      </c>
      <c r="F840" s="8" t="e">
        <f>VLOOKUP($D840,설문!$C$2:$G$444,3,FALSE)</f>
        <v>#N/A</v>
      </c>
      <c r="G840" s="8" t="e">
        <f>VLOOKUP($D840,설문!$C$2:$G$444,4,FALSE)</f>
        <v>#N/A</v>
      </c>
      <c r="H840" s="8" t="e">
        <f>VLOOKUP($D840,설문!$C$2:$G$444,5,FALSE)</f>
        <v>#N/A</v>
      </c>
    </row>
    <row r="841" spans="1:8">
      <c r="A841" s="6" t="s">
        <v>1171</v>
      </c>
      <c r="B841" s="7" t="s">
        <v>1079</v>
      </c>
      <c r="C841" s="7" t="s">
        <v>5263</v>
      </c>
      <c r="D841" s="7" t="s">
        <v>5264</v>
      </c>
      <c r="E841" s="6" t="s">
        <v>400</v>
      </c>
      <c r="F841" s="8" t="e">
        <f>VLOOKUP($D841,설문!$C$2:$G$444,3,FALSE)</f>
        <v>#N/A</v>
      </c>
      <c r="G841" s="8" t="e">
        <f>VLOOKUP($D841,설문!$C$2:$G$444,4,FALSE)</f>
        <v>#N/A</v>
      </c>
      <c r="H841" s="8" t="e">
        <f>VLOOKUP($D841,설문!$C$2:$G$444,5,FALSE)</f>
        <v>#N/A</v>
      </c>
    </row>
    <row r="842" spans="1:8">
      <c r="A842" s="6" t="s">
        <v>1171</v>
      </c>
      <c r="B842" s="7" t="s">
        <v>1079</v>
      </c>
      <c r="C842" s="7" t="s">
        <v>5263</v>
      </c>
      <c r="D842" s="7" t="s">
        <v>5265</v>
      </c>
      <c r="E842" s="6" t="s">
        <v>5266</v>
      </c>
      <c r="F842" s="8" t="e">
        <f>VLOOKUP($D842,설문!$C$2:$G$444,3,FALSE)</f>
        <v>#N/A</v>
      </c>
      <c r="G842" s="8" t="e">
        <f>VLOOKUP($D842,설문!$C$2:$G$444,4,FALSE)</f>
        <v>#N/A</v>
      </c>
      <c r="H842" s="8" t="e">
        <f>VLOOKUP($D842,설문!$C$2:$G$444,5,FALSE)</f>
        <v>#N/A</v>
      </c>
    </row>
    <row r="843" spans="1:8">
      <c r="A843" s="6" t="s">
        <v>1171</v>
      </c>
      <c r="B843" s="7" t="s">
        <v>1079</v>
      </c>
      <c r="C843" s="7" t="s">
        <v>202</v>
      </c>
      <c r="D843" s="7" t="s">
        <v>5267</v>
      </c>
      <c r="E843" s="6" t="s">
        <v>5268</v>
      </c>
      <c r="F843" s="8" t="e">
        <f>VLOOKUP($D843,설문!$C$2:$G$444,3,FALSE)</f>
        <v>#N/A</v>
      </c>
      <c r="G843" s="8" t="e">
        <f>VLOOKUP($D843,설문!$C$2:$G$444,4,FALSE)</f>
        <v>#N/A</v>
      </c>
      <c r="H843" s="8" t="e">
        <f>VLOOKUP($D843,설문!$C$2:$G$444,5,FALSE)</f>
        <v>#N/A</v>
      </c>
    </row>
    <row r="844" spans="1:8">
      <c r="A844" s="6" t="s">
        <v>1171</v>
      </c>
      <c r="B844" s="7" t="s">
        <v>1079</v>
      </c>
      <c r="C844" s="7" t="s">
        <v>202</v>
      </c>
      <c r="D844" s="7" t="s">
        <v>5269</v>
      </c>
      <c r="E844" s="6" t="s">
        <v>5270</v>
      </c>
      <c r="F844" s="8" t="e">
        <f>VLOOKUP($D844,설문!$C$2:$G$444,3,FALSE)</f>
        <v>#N/A</v>
      </c>
      <c r="G844" s="8" t="e">
        <f>VLOOKUP($D844,설문!$C$2:$G$444,4,FALSE)</f>
        <v>#N/A</v>
      </c>
      <c r="H844" s="8" t="e">
        <f>VLOOKUP($D844,설문!$C$2:$G$444,5,FALSE)</f>
        <v>#N/A</v>
      </c>
    </row>
    <row r="845" spans="1:8">
      <c r="A845" s="6" t="s">
        <v>1171</v>
      </c>
      <c r="B845" s="7" t="s">
        <v>1079</v>
      </c>
      <c r="C845" s="7" t="s">
        <v>9</v>
      </c>
      <c r="D845" s="7" t="s">
        <v>5271</v>
      </c>
      <c r="E845" s="6" t="s">
        <v>5272</v>
      </c>
      <c r="F845" s="8" t="e">
        <f>VLOOKUP($D845,설문!$C$2:$G$444,3,FALSE)</f>
        <v>#N/A</v>
      </c>
      <c r="G845" s="8" t="e">
        <f>VLOOKUP($D845,설문!$C$2:$G$444,4,FALSE)</f>
        <v>#N/A</v>
      </c>
      <c r="H845" s="8" t="e">
        <f>VLOOKUP($D845,설문!$C$2:$G$444,5,FALSE)</f>
        <v>#N/A</v>
      </c>
    </row>
    <row r="846" spans="1:8">
      <c r="A846" s="6" t="s">
        <v>1171</v>
      </c>
      <c r="B846" s="7" t="s">
        <v>1079</v>
      </c>
      <c r="C846" s="7" t="s">
        <v>1079</v>
      </c>
      <c r="D846" s="7" t="s">
        <v>5273</v>
      </c>
      <c r="E846" s="6" t="s">
        <v>5274</v>
      </c>
      <c r="F846" s="8" t="e">
        <f>VLOOKUP($D846,설문!$C$2:$G$444,3,FALSE)</f>
        <v>#N/A</v>
      </c>
      <c r="G846" s="8" t="e">
        <f>VLOOKUP($D846,설문!$C$2:$G$444,4,FALSE)</f>
        <v>#N/A</v>
      </c>
      <c r="H846" s="8" t="e">
        <f>VLOOKUP($D846,설문!$C$2:$G$444,5,FALSE)</f>
        <v>#N/A</v>
      </c>
    </row>
    <row r="847" spans="1:8">
      <c r="A847" s="6" t="s">
        <v>1171</v>
      </c>
      <c r="B847" s="7" t="s">
        <v>1079</v>
      </c>
      <c r="C847" s="7" t="s">
        <v>1079</v>
      </c>
      <c r="D847" s="7" t="s">
        <v>5275</v>
      </c>
      <c r="E847" s="6" t="s">
        <v>5276</v>
      </c>
      <c r="F847" s="8" t="e">
        <f>VLOOKUP($D847,설문!$C$2:$G$444,3,FALSE)</f>
        <v>#N/A</v>
      </c>
      <c r="G847" s="8" t="e">
        <f>VLOOKUP($D847,설문!$C$2:$G$444,4,FALSE)</f>
        <v>#N/A</v>
      </c>
      <c r="H847" s="8" t="e">
        <f>VLOOKUP($D847,설문!$C$2:$G$444,5,FALSE)</f>
        <v>#N/A</v>
      </c>
    </row>
    <row r="848" spans="1:8">
      <c r="A848" s="6" t="s">
        <v>1171</v>
      </c>
      <c r="B848" s="7" t="s">
        <v>5126</v>
      </c>
      <c r="C848" s="7" t="s">
        <v>5126</v>
      </c>
      <c r="D848" s="7" t="s">
        <v>5277</v>
      </c>
      <c r="E848" s="6" t="s">
        <v>5278</v>
      </c>
      <c r="F848" s="8" t="str">
        <f>VLOOKUP($D848,설문!$C$2:$G$444,3,FALSE)</f>
        <v>분석 및 전략</v>
      </c>
      <c r="G848" s="8" t="str">
        <f>VLOOKUP($D848,설문!$C$2:$G$444,4,FALSE)</f>
        <v>금융회사</v>
      </c>
      <c r="H848" s="8" t="str">
        <f>VLOOKUP($D848,설문!$C$2:$G$444,5,FALSE)</f>
        <v>국내주식/지수</v>
      </c>
    </row>
    <row r="849" spans="1:8">
      <c r="A849" s="6" t="s">
        <v>1171</v>
      </c>
      <c r="B849" s="7" t="s">
        <v>5126</v>
      </c>
      <c r="C849" s="7" t="s">
        <v>5126</v>
      </c>
      <c r="D849" s="7" t="s">
        <v>5279</v>
      </c>
      <c r="E849" s="6" t="s">
        <v>5280</v>
      </c>
      <c r="F849" s="8" t="e">
        <f>VLOOKUP($D849,설문!$C$2:$G$444,3,FALSE)</f>
        <v>#N/A</v>
      </c>
      <c r="G849" s="8" t="e">
        <f>VLOOKUP($D849,설문!$C$2:$G$444,4,FALSE)</f>
        <v>#N/A</v>
      </c>
      <c r="H849" s="8" t="e">
        <f>VLOOKUP($D849,설문!$C$2:$G$444,5,FALSE)</f>
        <v>#N/A</v>
      </c>
    </row>
    <row r="850" spans="1:8">
      <c r="A850" s="6" t="s">
        <v>239</v>
      </c>
      <c r="B850" s="7" t="s">
        <v>69</v>
      </c>
      <c r="C850" s="7" t="s">
        <v>69</v>
      </c>
      <c r="D850" s="7" t="s">
        <v>240</v>
      </c>
      <c r="E850" s="6" t="s">
        <v>241</v>
      </c>
      <c r="F850" s="8" t="e">
        <f>VLOOKUP($D850,설문!$C$2:$G$444,3,FALSE)</f>
        <v>#N/A</v>
      </c>
      <c r="G850" s="8" t="e">
        <f>VLOOKUP($D850,설문!$C$2:$G$444,4,FALSE)</f>
        <v>#N/A</v>
      </c>
      <c r="H850" s="8" t="e">
        <f>VLOOKUP($D850,설문!$C$2:$G$444,5,FALSE)</f>
        <v>#N/A</v>
      </c>
    </row>
    <row r="851" spans="1:8">
      <c r="A851" s="6" t="s">
        <v>239</v>
      </c>
      <c r="B851" s="7" t="s">
        <v>1094</v>
      </c>
      <c r="C851" s="7" t="s">
        <v>1094</v>
      </c>
      <c r="D851" s="7" t="s">
        <v>1095</v>
      </c>
      <c r="E851" s="6" t="s">
        <v>1096</v>
      </c>
      <c r="F851" s="8" t="e">
        <f>VLOOKUP($D851,설문!$C$2:$G$444,3,FALSE)</f>
        <v>#N/A</v>
      </c>
      <c r="G851" s="8" t="e">
        <f>VLOOKUP($D851,설문!$C$2:$G$444,4,FALSE)</f>
        <v>#N/A</v>
      </c>
      <c r="H851" s="8" t="e">
        <f>VLOOKUP($D851,설문!$C$2:$G$444,5,FALSE)</f>
        <v>#N/A</v>
      </c>
    </row>
    <row r="852" spans="1:8">
      <c r="A852" s="6" t="s">
        <v>239</v>
      </c>
      <c r="B852" s="7" t="s">
        <v>1094</v>
      </c>
      <c r="C852" s="7" t="s">
        <v>9</v>
      </c>
      <c r="D852" s="7" t="s">
        <v>1379</v>
      </c>
      <c r="E852" s="6" t="s">
        <v>1380</v>
      </c>
      <c r="F852" s="8" t="e">
        <f>VLOOKUP($D852,설문!$C$2:$G$444,3,FALSE)</f>
        <v>#N/A</v>
      </c>
      <c r="G852" s="8" t="e">
        <f>VLOOKUP($D852,설문!$C$2:$G$444,4,FALSE)</f>
        <v>#N/A</v>
      </c>
      <c r="H852" s="8" t="e">
        <f>VLOOKUP($D852,설문!$C$2:$G$444,5,FALSE)</f>
        <v>#N/A</v>
      </c>
    </row>
    <row r="853" spans="1:8">
      <c r="A853" s="6" t="s">
        <v>239</v>
      </c>
      <c r="B853" s="7" t="s">
        <v>69</v>
      </c>
      <c r="C853" s="7" t="s">
        <v>69</v>
      </c>
      <c r="D853" s="7" t="s">
        <v>1958</v>
      </c>
      <c r="E853" s="6" t="s">
        <v>1959</v>
      </c>
      <c r="F853" s="8" t="e">
        <f>VLOOKUP($D853,설문!$C$2:$G$444,3,FALSE)</f>
        <v>#N/A</v>
      </c>
      <c r="G853" s="8" t="e">
        <f>VLOOKUP($D853,설문!$C$2:$G$444,4,FALSE)</f>
        <v>#N/A</v>
      </c>
      <c r="H853" s="8" t="e">
        <f>VLOOKUP($D853,설문!$C$2:$G$444,5,FALSE)</f>
        <v>#N/A</v>
      </c>
    </row>
    <row r="854" spans="1:8">
      <c r="A854" s="6" t="s">
        <v>239</v>
      </c>
      <c r="B854" s="7" t="s">
        <v>3359</v>
      </c>
      <c r="C854" s="7" t="s">
        <v>3359</v>
      </c>
      <c r="D854" s="7" t="s">
        <v>3360</v>
      </c>
      <c r="E854" s="6" t="s">
        <v>3361</v>
      </c>
      <c r="F854" s="8" t="e">
        <f>VLOOKUP($D854,설문!$C$2:$G$444,3,FALSE)</f>
        <v>#N/A</v>
      </c>
      <c r="G854" s="8" t="e">
        <f>VLOOKUP($D854,설문!$C$2:$G$444,4,FALSE)</f>
        <v>#N/A</v>
      </c>
      <c r="H854" s="8" t="e">
        <f>VLOOKUP($D854,설문!$C$2:$G$444,5,FALSE)</f>
        <v>#N/A</v>
      </c>
    </row>
    <row r="855" spans="1:8">
      <c r="A855" s="6" t="s">
        <v>239</v>
      </c>
      <c r="B855" s="7" t="s">
        <v>134</v>
      </c>
      <c r="C855" s="7" t="s">
        <v>134</v>
      </c>
      <c r="D855" s="7" t="s">
        <v>3362</v>
      </c>
      <c r="E855" s="6" t="s">
        <v>3353</v>
      </c>
      <c r="F855" s="8" t="e">
        <f>VLOOKUP($D855,설문!$C$2:$G$444,3,FALSE)</f>
        <v>#N/A</v>
      </c>
      <c r="G855" s="8" t="e">
        <f>VLOOKUP($D855,설문!$C$2:$G$444,4,FALSE)</f>
        <v>#N/A</v>
      </c>
      <c r="H855" s="8" t="e">
        <f>VLOOKUP($D855,설문!$C$2:$G$444,5,FALSE)</f>
        <v>#N/A</v>
      </c>
    </row>
    <row r="856" spans="1:8">
      <c r="A856" s="6" t="s">
        <v>239</v>
      </c>
      <c r="B856" s="7" t="s">
        <v>134</v>
      </c>
      <c r="C856" s="7" t="s">
        <v>134</v>
      </c>
      <c r="D856" s="7" t="s">
        <v>3363</v>
      </c>
      <c r="E856" s="6" t="s">
        <v>3364</v>
      </c>
      <c r="F856" s="8" t="e">
        <f>VLOOKUP($D856,설문!$C$2:$G$444,3,FALSE)</f>
        <v>#N/A</v>
      </c>
      <c r="G856" s="8" t="e">
        <f>VLOOKUP($D856,설문!$C$2:$G$444,4,FALSE)</f>
        <v>#N/A</v>
      </c>
      <c r="H856" s="8" t="e">
        <f>VLOOKUP($D856,설문!$C$2:$G$444,5,FALSE)</f>
        <v>#N/A</v>
      </c>
    </row>
    <row r="857" spans="1:8">
      <c r="A857" s="6" t="s">
        <v>239</v>
      </c>
      <c r="B857" s="7" t="s">
        <v>69</v>
      </c>
      <c r="C857" s="7" t="s">
        <v>69</v>
      </c>
      <c r="D857" s="7" t="s">
        <v>3365</v>
      </c>
      <c r="E857" s="6" t="s">
        <v>3366</v>
      </c>
      <c r="F857" s="8" t="e">
        <f>VLOOKUP($D857,설문!$C$2:$G$444,3,FALSE)</f>
        <v>#N/A</v>
      </c>
      <c r="G857" s="8" t="e">
        <f>VLOOKUP($D857,설문!$C$2:$G$444,4,FALSE)</f>
        <v>#N/A</v>
      </c>
      <c r="H857" s="8" t="e">
        <f>VLOOKUP($D857,설문!$C$2:$G$444,5,FALSE)</f>
        <v>#N/A</v>
      </c>
    </row>
    <row r="858" spans="1:8">
      <c r="A858" s="6" t="s">
        <v>239</v>
      </c>
      <c r="B858" s="7" t="s">
        <v>3343</v>
      </c>
      <c r="C858" s="7" t="s">
        <v>3343</v>
      </c>
      <c r="D858" s="7" t="s">
        <v>3367</v>
      </c>
      <c r="E858" s="6" t="s">
        <v>3368</v>
      </c>
      <c r="F858" s="8" t="e">
        <f>VLOOKUP($D858,설문!$C$2:$G$444,3,FALSE)</f>
        <v>#N/A</v>
      </c>
      <c r="G858" s="8" t="e">
        <f>VLOOKUP($D858,설문!$C$2:$G$444,4,FALSE)</f>
        <v>#N/A</v>
      </c>
      <c r="H858" s="8" t="e">
        <f>VLOOKUP($D858,설문!$C$2:$G$444,5,FALSE)</f>
        <v>#N/A</v>
      </c>
    </row>
    <row r="859" spans="1:8">
      <c r="A859" s="6" t="s">
        <v>239</v>
      </c>
      <c r="B859" s="7" t="s">
        <v>134</v>
      </c>
      <c r="C859" s="7" t="s">
        <v>134</v>
      </c>
      <c r="D859" s="7" t="s">
        <v>3369</v>
      </c>
      <c r="E859" s="6" t="s">
        <v>3370</v>
      </c>
      <c r="F859" s="8" t="e">
        <f>VLOOKUP($D859,설문!$C$2:$G$444,3,FALSE)</f>
        <v>#N/A</v>
      </c>
      <c r="G859" s="8" t="e">
        <f>VLOOKUP($D859,설문!$C$2:$G$444,4,FALSE)</f>
        <v>#N/A</v>
      </c>
      <c r="H859" s="8" t="e">
        <f>VLOOKUP($D859,설문!$C$2:$G$444,5,FALSE)</f>
        <v>#N/A</v>
      </c>
    </row>
    <row r="860" spans="1:8">
      <c r="A860" s="6" t="s">
        <v>239</v>
      </c>
      <c r="B860" s="7" t="s">
        <v>134</v>
      </c>
      <c r="C860" s="7" t="s">
        <v>134</v>
      </c>
      <c r="D860" s="7" t="s">
        <v>3371</v>
      </c>
      <c r="E860" s="6" t="s">
        <v>1063</v>
      </c>
      <c r="F860" s="8" t="e">
        <f>VLOOKUP($D860,설문!$C$2:$G$444,3,FALSE)</f>
        <v>#N/A</v>
      </c>
      <c r="G860" s="8" t="e">
        <f>VLOOKUP($D860,설문!$C$2:$G$444,4,FALSE)</f>
        <v>#N/A</v>
      </c>
      <c r="H860" s="8" t="e">
        <f>VLOOKUP($D860,설문!$C$2:$G$444,5,FALSE)</f>
        <v>#N/A</v>
      </c>
    </row>
    <row r="861" spans="1:8">
      <c r="A861" s="6" t="s">
        <v>239</v>
      </c>
      <c r="B861" s="7" t="s">
        <v>134</v>
      </c>
      <c r="C861" s="7" t="s">
        <v>134</v>
      </c>
      <c r="D861" s="7" t="s">
        <v>3372</v>
      </c>
      <c r="E861" s="6" t="s">
        <v>2365</v>
      </c>
      <c r="F861" s="8" t="e">
        <f>VLOOKUP($D861,설문!$C$2:$G$444,3,FALSE)</f>
        <v>#N/A</v>
      </c>
      <c r="G861" s="8" t="e">
        <f>VLOOKUP($D861,설문!$C$2:$G$444,4,FALSE)</f>
        <v>#N/A</v>
      </c>
      <c r="H861" s="8" t="e">
        <f>VLOOKUP($D861,설문!$C$2:$G$444,5,FALSE)</f>
        <v>#N/A</v>
      </c>
    </row>
    <row r="862" spans="1:8">
      <c r="A862" s="6" t="s">
        <v>239</v>
      </c>
      <c r="B862" s="7" t="s">
        <v>134</v>
      </c>
      <c r="C862" s="7" t="s">
        <v>134</v>
      </c>
      <c r="D862" s="7" t="s">
        <v>3373</v>
      </c>
      <c r="E862" s="6" t="s">
        <v>3374</v>
      </c>
      <c r="F862" s="8" t="e">
        <f>VLOOKUP($D862,설문!$C$2:$G$444,3,FALSE)</f>
        <v>#N/A</v>
      </c>
      <c r="G862" s="8" t="e">
        <f>VLOOKUP($D862,설문!$C$2:$G$444,4,FALSE)</f>
        <v>#N/A</v>
      </c>
      <c r="H862" s="8" t="e">
        <f>VLOOKUP($D862,설문!$C$2:$G$444,5,FALSE)</f>
        <v>#N/A</v>
      </c>
    </row>
    <row r="863" spans="1:8">
      <c r="A863" s="6" t="s">
        <v>239</v>
      </c>
      <c r="B863" s="7" t="s">
        <v>69</v>
      </c>
      <c r="C863" s="7" t="s">
        <v>69</v>
      </c>
      <c r="D863" s="7" t="s">
        <v>3375</v>
      </c>
      <c r="E863" s="6" t="s">
        <v>3376</v>
      </c>
      <c r="F863" s="8" t="e">
        <f>VLOOKUP($D863,설문!$C$2:$G$444,3,FALSE)</f>
        <v>#N/A</v>
      </c>
      <c r="G863" s="8" t="e">
        <f>VLOOKUP($D863,설문!$C$2:$G$444,4,FALSE)</f>
        <v>#N/A</v>
      </c>
      <c r="H863" s="8" t="e">
        <f>VLOOKUP($D863,설문!$C$2:$G$444,5,FALSE)</f>
        <v>#N/A</v>
      </c>
    </row>
    <row r="864" spans="1:8">
      <c r="A864" s="6" t="s">
        <v>239</v>
      </c>
      <c r="B864" s="7" t="s">
        <v>3343</v>
      </c>
      <c r="C864" s="7" t="s">
        <v>3343</v>
      </c>
      <c r="D864" s="7" t="s">
        <v>3377</v>
      </c>
      <c r="E864" s="6" t="s">
        <v>3378</v>
      </c>
      <c r="F864" s="8" t="e">
        <f>VLOOKUP($D864,설문!$C$2:$G$444,3,FALSE)</f>
        <v>#N/A</v>
      </c>
      <c r="G864" s="8" t="e">
        <f>VLOOKUP($D864,설문!$C$2:$G$444,4,FALSE)</f>
        <v>#N/A</v>
      </c>
      <c r="H864" s="8" t="e">
        <f>VLOOKUP($D864,설문!$C$2:$G$444,5,FALSE)</f>
        <v>#N/A</v>
      </c>
    </row>
    <row r="865" spans="1:8">
      <c r="A865" s="6" t="s">
        <v>239</v>
      </c>
      <c r="B865" s="7" t="s">
        <v>69</v>
      </c>
      <c r="C865" s="7" t="s">
        <v>69</v>
      </c>
      <c r="D865" s="7" t="s">
        <v>3379</v>
      </c>
      <c r="E865" s="6" t="s">
        <v>3380</v>
      </c>
      <c r="F865" s="8" t="e">
        <f>VLOOKUP($D865,설문!$C$2:$G$444,3,FALSE)</f>
        <v>#N/A</v>
      </c>
      <c r="G865" s="8" t="e">
        <f>VLOOKUP($D865,설문!$C$2:$G$444,4,FALSE)</f>
        <v>#N/A</v>
      </c>
      <c r="H865" s="8" t="e">
        <f>VLOOKUP($D865,설문!$C$2:$G$444,5,FALSE)</f>
        <v>#N/A</v>
      </c>
    </row>
    <row r="866" spans="1:8">
      <c r="A866" s="6" t="s">
        <v>239</v>
      </c>
      <c r="B866" s="7" t="s">
        <v>69</v>
      </c>
      <c r="C866" s="7" t="s">
        <v>69</v>
      </c>
      <c r="D866" s="7" t="s">
        <v>3381</v>
      </c>
      <c r="E866" s="6" t="s">
        <v>3382</v>
      </c>
      <c r="F866" s="8" t="e">
        <f>VLOOKUP($D866,설문!$C$2:$G$444,3,FALSE)</f>
        <v>#N/A</v>
      </c>
      <c r="G866" s="8" t="e">
        <f>VLOOKUP($D866,설문!$C$2:$G$444,4,FALSE)</f>
        <v>#N/A</v>
      </c>
      <c r="H866" s="8" t="e">
        <f>VLOOKUP($D866,설문!$C$2:$G$444,5,FALSE)</f>
        <v>#N/A</v>
      </c>
    </row>
    <row r="867" spans="1:8">
      <c r="A867" s="6" t="s">
        <v>239</v>
      </c>
      <c r="B867" s="7" t="s">
        <v>69</v>
      </c>
      <c r="C867" s="7" t="s">
        <v>69</v>
      </c>
      <c r="D867" s="7" t="s">
        <v>3383</v>
      </c>
      <c r="E867" s="6" t="s">
        <v>3384</v>
      </c>
      <c r="F867" s="8" t="e">
        <f>VLOOKUP($D867,설문!$C$2:$G$444,3,FALSE)</f>
        <v>#N/A</v>
      </c>
      <c r="G867" s="8" t="e">
        <f>VLOOKUP($D867,설문!$C$2:$G$444,4,FALSE)</f>
        <v>#N/A</v>
      </c>
      <c r="H867" s="8" t="e">
        <f>VLOOKUP($D867,설문!$C$2:$G$444,5,FALSE)</f>
        <v>#N/A</v>
      </c>
    </row>
    <row r="868" spans="1:8">
      <c r="A868" s="6" t="s">
        <v>239</v>
      </c>
      <c r="B868" s="7" t="s">
        <v>69</v>
      </c>
      <c r="C868" s="7" t="s">
        <v>69</v>
      </c>
      <c r="D868" s="7" t="s">
        <v>3385</v>
      </c>
      <c r="E868" s="6" t="s">
        <v>3386</v>
      </c>
      <c r="F868" s="8" t="e">
        <f>VLOOKUP($D868,설문!$C$2:$G$444,3,FALSE)</f>
        <v>#N/A</v>
      </c>
      <c r="G868" s="8" t="e">
        <f>VLOOKUP($D868,설문!$C$2:$G$444,4,FALSE)</f>
        <v>#N/A</v>
      </c>
      <c r="H868" s="8" t="e">
        <f>VLOOKUP($D868,설문!$C$2:$G$444,5,FALSE)</f>
        <v>#N/A</v>
      </c>
    </row>
    <row r="869" spans="1:8">
      <c r="A869" s="6" t="s">
        <v>530</v>
      </c>
      <c r="B869" s="7" t="s">
        <v>69</v>
      </c>
      <c r="C869" s="7" t="s">
        <v>531</v>
      </c>
      <c r="D869" s="7" t="s">
        <v>532</v>
      </c>
      <c r="E869" s="6" t="s">
        <v>533</v>
      </c>
      <c r="F869" s="8" t="e">
        <f>VLOOKUP($D869,설문!$C$2:$G$444,3,FALSE)</f>
        <v>#N/A</v>
      </c>
      <c r="G869" s="8" t="e">
        <f>VLOOKUP($D869,설문!$C$2:$G$444,4,FALSE)</f>
        <v>#N/A</v>
      </c>
      <c r="H869" s="8" t="e">
        <f>VLOOKUP($D869,설문!$C$2:$G$444,5,FALSE)</f>
        <v>#N/A</v>
      </c>
    </row>
    <row r="870" spans="1:8">
      <c r="A870" s="6" t="s">
        <v>530</v>
      </c>
      <c r="B870" s="7" t="s">
        <v>264</v>
      </c>
      <c r="C870" s="7" t="s">
        <v>135</v>
      </c>
      <c r="D870" s="7" t="s">
        <v>540</v>
      </c>
      <c r="E870" s="6" t="s">
        <v>541</v>
      </c>
      <c r="F870" s="8" t="e">
        <f>VLOOKUP($D870,설문!$C$2:$G$444,3,FALSE)</f>
        <v>#N/A</v>
      </c>
      <c r="G870" s="8" t="e">
        <f>VLOOKUP($D870,설문!$C$2:$G$444,4,FALSE)</f>
        <v>#N/A</v>
      </c>
      <c r="H870" s="8" t="e">
        <f>VLOOKUP($D870,설문!$C$2:$G$444,5,FALSE)</f>
        <v>#N/A</v>
      </c>
    </row>
    <row r="871" spans="1:8">
      <c r="A871" s="6" t="s">
        <v>530</v>
      </c>
      <c r="B871" s="7" t="s">
        <v>69</v>
      </c>
      <c r="C871" s="7" t="s">
        <v>531</v>
      </c>
      <c r="D871" s="7" t="s">
        <v>1233</v>
      </c>
      <c r="E871" s="6" t="s">
        <v>1234</v>
      </c>
      <c r="F871" s="8" t="str">
        <f>VLOOKUP($D871,설문!$C$2:$G$444,3,FALSE)</f>
        <v>펀드매니저,퀀트</v>
      </c>
      <c r="G871" s="8" t="str">
        <f>VLOOKUP($D871,설문!$C$2:$G$444,4,FALSE)</f>
        <v>금융회사</v>
      </c>
      <c r="H871" s="8" t="str">
        <f>VLOOKUP($D871,설문!$C$2:$G$444,5,FALSE)</f>
        <v>ETF/ETN</v>
      </c>
    </row>
    <row r="872" spans="1:8">
      <c r="A872" s="6" t="s">
        <v>530</v>
      </c>
      <c r="B872" s="7" t="s">
        <v>1434</v>
      </c>
      <c r="C872" s="7" t="s">
        <v>1435</v>
      </c>
      <c r="D872" s="7" t="s">
        <v>1436</v>
      </c>
      <c r="E872" s="6" t="s">
        <v>1437</v>
      </c>
      <c r="F872" s="8" t="str">
        <f>VLOOKUP($D872,설문!$C$2:$G$444,3,FALSE)</f>
        <v>펀드매니저</v>
      </c>
      <c r="G872" s="8" t="str">
        <f>VLOOKUP($D872,설문!$C$2:$G$444,4,FALSE)</f>
        <v>금융회사</v>
      </c>
      <c r="H872" s="8" t="str">
        <f>VLOOKUP($D872,설문!$C$2:$G$444,5,FALSE)</f>
        <v>해외주식/지수관련파생</v>
      </c>
    </row>
    <row r="873" spans="1:8">
      <c r="A873" s="6" t="s">
        <v>530</v>
      </c>
      <c r="B873" s="7" t="s">
        <v>1434</v>
      </c>
      <c r="C873" s="7" t="s">
        <v>1435</v>
      </c>
      <c r="D873" s="7" t="s">
        <v>1598</v>
      </c>
      <c r="E873" s="6" t="s">
        <v>1599</v>
      </c>
      <c r="F873" s="8" t="e">
        <f>VLOOKUP($D873,설문!$C$2:$G$444,3,FALSE)</f>
        <v>#N/A</v>
      </c>
      <c r="G873" s="8" t="e">
        <f>VLOOKUP($D873,설문!$C$2:$G$444,4,FALSE)</f>
        <v>#N/A</v>
      </c>
      <c r="H873" s="8" t="e">
        <f>VLOOKUP($D873,설문!$C$2:$G$444,5,FALSE)</f>
        <v>#N/A</v>
      </c>
    </row>
    <row r="874" spans="1:8">
      <c r="A874" s="6" t="s">
        <v>530</v>
      </c>
      <c r="B874" s="7" t="s">
        <v>69</v>
      </c>
      <c r="C874" s="7" t="s">
        <v>3500</v>
      </c>
      <c r="D874" s="7" t="s">
        <v>3501</v>
      </c>
      <c r="E874" s="6" t="s">
        <v>759</v>
      </c>
      <c r="F874" s="8" t="e">
        <f>VLOOKUP($D874,설문!$C$2:$G$444,3,FALSE)</f>
        <v>#N/A</v>
      </c>
      <c r="G874" s="8" t="e">
        <f>VLOOKUP($D874,설문!$C$2:$G$444,4,FALSE)</f>
        <v>#N/A</v>
      </c>
      <c r="H874" s="8" t="e">
        <f>VLOOKUP($D874,설문!$C$2:$G$444,5,FALSE)</f>
        <v>#N/A</v>
      </c>
    </row>
    <row r="875" spans="1:8">
      <c r="A875" s="6" t="s">
        <v>530</v>
      </c>
      <c r="B875" s="7" t="s">
        <v>789</v>
      </c>
      <c r="C875" s="7" t="s">
        <v>135</v>
      </c>
      <c r="D875" s="7" t="s">
        <v>3502</v>
      </c>
      <c r="E875" s="6" t="s">
        <v>3503</v>
      </c>
      <c r="F875" s="8" t="e">
        <f>VLOOKUP($D875,설문!$C$2:$G$444,3,FALSE)</f>
        <v>#N/A</v>
      </c>
      <c r="G875" s="8" t="e">
        <f>VLOOKUP($D875,설문!$C$2:$G$444,4,FALSE)</f>
        <v>#N/A</v>
      </c>
      <c r="H875" s="8" t="e">
        <f>VLOOKUP($D875,설문!$C$2:$G$444,5,FALSE)</f>
        <v>#N/A</v>
      </c>
    </row>
    <row r="876" spans="1:8">
      <c r="A876" s="6" t="s">
        <v>530</v>
      </c>
      <c r="B876" s="7" t="s">
        <v>789</v>
      </c>
      <c r="C876" s="7" t="s">
        <v>789</v>
      </c>
      <c r="D876" s="7" t="s">
        <v>3504</v>
      </c>
      <c r="E876" s="6" t="s">
        <v>3505</v>
      </c>
      <c r="F876" s="8" t="e">
        <f>VLOOKUP($D876,설문!$C$2:$G$444,3,FALSE)</f>
        <v>#N/A</v>
      </c>
      <c r="G876" s="8" t="e">
        <f>VLOOKUP($D876,설문!$C$2:$G$444,4,FALSE)</f>
        <v>#N/A</v>
      </c>
      <c r="H876" s="8" t="e">
        <f>VLOOKUP($D876,설문!$C$2:$G$444,5,FALSE)</f>
        <v>#N/A</v>
      </c>
    </row>
    <row r="877" spans="1:8">
      <c r="A877" s="6" t="s">
        <v>530</v>
      </c>
      <c r="B877" s="7" t="s">
        <v>264</v>
      </c>
      <c r="C877" s="7" t="s">
        <v>135</v>
      </c>
      <c r="D877" s="7" t="s">
        <v>3506</v>
      </c>
      <c r="E877" s="6" t="s">
        <v>3507</v>
      </c>
      <c r="F877" s="8" t="e">
        <f>VLOOKUP($D877,설문!$C$2:$G$444,3,FALSE)</f>
        <v>#N/A</v>
      </c>
      <c r="G877" s="8" t="e">
        <f>VLOOKUP($D877,설문!$C$2:$G$444,4,FALSE)</f>
        <v>#N/A</v>
      </c>
      <c r="H877" s="8" t="e">
        <f>VLOOKUP($D877,설문!$C$2:$G$444,5,FALSE)</f>
        <v>#N/A</v>
      </c>
    </row>
    <row r="878" spans="1:8">
      <c r="A878" s="6" t="s">
        <v>530</v>
      </c>
      <c r="B878" s="7" t="s">
        <v>718</v>
      </c>
      <c r="C878" s="7" t="s">
        <v>135</v>
      </c>
      <c r="D878" s="7" t="s">
        <v>3508</v>
      </c>
      <c r="E878" s="6" t="s">
        <v>3509</v>
      </c>
      <c r="F878" s="8" t="e">
        <f>VLOOKUP($D878,설문!$C$2:$G$444,3,FALSE)</f>
        <v>#N/A</v>
      </c>
      <c r="G878" s="8" t="e">
        <f>VLOOKUP($D878,설문!$C$2:$G$444,4,FALSE)</f>
        <v>#N/A</v>
      </c>
      <c r="H878" s="8" t="e">
        <f>VLOOKUP($D878,설문!$C$2:$G$444,5,FALSE)</f>
        <v>#N/A</v>
      </c>
    </row>
    <row r="879" spans="1:8">
      <c r="A879" s="6" t="s">
        <v>2462</v>
      </c>
      <c r="B879" s="7" t="s">
        <v>2463</v>
      </c>
      <c r="C879" s="7" t="s">
        <v>2463</v>
      </c>
      <c r="D879" s="7" t="s">
        <v>2464</v>
      </c>
      <c r="E879" s="6" t="s">
        <v>2013</v>
      </c>
      <c r="F879" s="8" t="e">
        <f>VLOOKUP($D879,설문!$C$2:$G$444,3,FALSE)</f>
        <v>#N/A</v>
      </c>
      <c r="G879" s="8" t="e">
        <f>VLOOKUP($D879,설문!$C$2:$G$444,4,FALSE)</f>
        <v>#N/A</v>
      </c>
      <c r="H879" s="8" t="e">
        <f>VLOOKUP($D879,설문!$C$2:$G$444,5,FALSE)</f>
        <v>#N/A</v>
      </c>
    </row>
    <row r="880" spans="1:8">
      <c r="A880" s="6" t="s">
        <v>2462</v>
      </c>
      <c r="B880" s="7" t="s">
        <v>2463</v>
      </c>
      <c r="C880" s="7" t="s">
        <v>2463</v>
      </c>
      <c r="D880" s="7" t="s">
        <v>2465</v>
      </c>
      <c r="E880" s="6" t="s">
        <v>2466</v>
      </c>
      <c r="F880" s="8" t="e">
        <f>VLOOKUP($D880,설문!$C$2:$G$444,3,FALSE)</f>
        <v>#N/A</v>
      </c>
      <c r="G880" s="8" t="e">
        <f>VLOOKUP($D880,설문!$C$2:$G$444,4,FALSE)</f>
        <v>#N/A</v>
      </c>
      <c r="H880" s="8" t="e">
        <f>VLOOKUP($D880,설문!$C$2:$G$444,5,FALSE)</f>
        <v>#N/A</v>
      </c>
    </row>
    <row r="881" spans="1:8">
      <c r="A881" s="6" t="s">
        <v>2462</v>
      </c>
      <c r="B881" s="7" t="s">
        <v>2467</v>
      </c>
      <c r="C881" s="7" t="s">
        <v>2467</v>
      </c>
      <c r="D881" s="7" t="s">
        <v>2468</v>
      </c>
      <c r="E881" s="6" t="s">
        <v>2469</v>
      </c>
      <c r="F881" s="8" t="e">
        <f>VLOOKUP($D881,설문!$C$2:$G$444,3,FALSE)</f>
        <v>#N/A</v>
      </c>
      <c r="G881" s="8" t="e">
        <f>VLOOKUP($D881,설문!$C$2:$G$444,4,FALSE)</f>
        <v>#N/A</v>
      </c>
      <c r="H881" s="8" t="e">
        <f>VLOOKUP($D881,설문!$C$2:$G$444,5,FALSE)</f>
        <v>#N/A</v>
      </c>
    </row>
    <row r="882" spans="1:8">
      <c r="A882" s="6" t="s">
        <v>73</v>
      </c>
      <c r="B882" s="7" t="s">
        <v>74</v>
      </c>
      <c r="C882" s="7" t="s">
        <v>74</v>
      </c>
      <c r="D882" s="7" t="s">
        <v>75</v>
      </c>
      <c r="E882" s="6" t="s">
        <v>76</v>
      </c>
      <c r="F882" s="8" t="e">
        <f>VLOOKUP($D882,설문!$C$2:$G$444,3,FALSE)</f>
        <v>#N/A</v>
      </c>
      <c r="G882" s="8" t="e">
        <f>VLOOKUP($D882,설문!$C$2:$G$444,4,FALSE)</f>
        <v>#N/A</v>
      </c>
      <c r="H882" s="8" t="e">
        <f>VLOOKUP($D882,설문!$C$2:$G$444,5,FALSE)</f>
        <v>#N/A</v>
      </c>
    </row>
    <row r="883" spans="1:8">
      <c r="A883" s="6" t="s">
        <v>73</v>
      </c>
      <c r="B883" s="7" t="s">
        <v>191</v>
      </c>
      <c r="C883" s="7" t="s">
        <v>191</v>
      </c>
      <c r="D883" s="7" t="s">
        <v>192</v>
      </c>
      <c r="E883" s="6" t="s">
        <v>193</v>
      </c>
      <c r="F883" s="8" t="e">
        <f>VLOOKUP($D883,설문!$C$2:$G$444,3,FALSE)</f>
        <v>#N/A</v>
      </c>
      <c r="G883" s="8" t="e">
        <f>VLOOKUP($D883,설문!$C$2:$G$444,4,FALSE)</f>
        <v>#N/A</v>
      </c>
      <c r="H883" s="8" t="e">
        <f>VLOOKUP($D883,설문!$C$2:$G$444,5,FALSE)</f>
        <v>#N/A</v>
      </c>
    </row>
    <row r="884" spans="1:8">
      <c r="A884" s="6" t="s">
        <v>73</v>
      </c>
      <c r="B884" s="7" t="s">
        <v>191</v>
      </c>
      <c r="C884" s="7" t="s">
        <v>191</v>
      </c>
      <c r="D884" s="7" t="s">
        <v>194</v>
      </c>
      <c r="E884" s="6" t="s">
        <v>195</v>
      </c>
      <c r="F884" s="8" t="str">
        <f>VLOOKUP($D884,설문!$C$2:$G$444,3,FALSE)</f>
        <v>브로커</v>
      </c>
      <c r="G884" s="8" t="str">
        <f>VLOOKUP($D884,설문!$C$2:$G$444,4,FALSE)</f>
        <v>금융회사</v>
      </c>
      <c r="H884" s="8" t="str">
        <f>VLOOKUP($D884,설문!$C$2:$G$444,5,FALSE)</f>
        <v>국내주식/지수,국내주식/지수관련파생,ETF/ETN</v>
      </c>
    </row>
    <row r="885" spans="1:8">
      <c r="A885" s="6" t="s">
        <v>73</v>
      </c>
      <c r="B885" s="7" t="s">
        <v>191</v>
      </c>
      <c r="C885" s="7" t="s">
        <v>191</v>
      </c>
      <c r="D885" s="7" t="s">
        <v>196</v>
      </c>
      <c r="E885" s="6" t="s">
        <v>197</v>
      </c>
      <c r="F885" s="8" t="e">
        <f>VLOOKUP($D885,설문!$C$2:$G$444,3,FALSE)</f>
        <v>#N/A</v>
      </c>
      <c r="G885" s="8" t="e">
        <f>VLOOKUP($D885,설문!$C$2:$G$444,4,FALSE)</f>
        <v>#N/A</v>
      </c>
      <c r="H885" s="8" t="e">
        <f>VLOOKUP($D885,설문!$C$2:$G$444,5,FALSE)</f>
        <v>#N/A</v>
      </c>
    </row>
    <row r="886" spans="1:8">
      <c r="A886" s="6" t="s">
        <v>73</v>
      </c>
      <c r="B886" s="7" t="s">
        <v>191</v>
      </c>
      <c r="C886" s="7" t="s">
        <v>191</v>
      </c>
      <c r="D886" s="7" t="s">
        <v>198</v>
      </c>
      <c r="E886" s="6" t="s">
        <v>199</v>
      </c>
      <c r="F886" s="8" t="e">
        <f>VLOOKUP($D886,설문!$C$2:$G$444,3,FALSE)</f>
        <v>#N/A</v>
      </c>
      <c r="G886" s="8" t="e">
        <f>VLOOKUP($D886,설문!$C$2:$G$444,4,FALSE)</f>
        <v>#N/A</v>
      </c>
      <c r="H886" s="8" t="e">
        <f>VLOOKUP($D886,설문!$C$2:$G$444,5,FALSE)</f>
        <v>#N/A</v>
      </c>
    </row>
    <row r="887" spans="1:8">
      <c r="A887" s="6" t="s">
        <v>73</v>
      </c>
      <c r="B887" s="7" t="s">
        <v>365</v>
      </c>
      <c r="C887" s="7" t="s">
        <v>365</v>
      </c>
      <c r="D887" s="7" t="s">
        <v>366</v>
      </c>
      <c r="E887" s="6" t="s">
        <v>367</v>
      </c>
      <c r="F887" s="8" t="str">
        <f>VLOOKUP($D887,설문!$C$2:$G$444,3,FALSE)</f>
        <v>딜러</v>
      </c>
      <c r="G887" s="8" t="str">
        <f>VLOOKUP($D887,설문!$C$2:$G$444,4,FALSE)</f>
        <v>금융회사</v>
      </c>
      <c r="H887" s="8" t="str">
        <f>VLOOKUP($D887,설문!$C$2:$G$444,5,FALSE)</f>
        <v>국채선물,원화 이자율스왑</v>
      </c>
    </row>
    <row r="888" spans="1:8">
      <c r="A888" s="6" t="s">
        <v>73</v>
      </c>
      <c r="B888" s="7" t="s">
        <v>526</v>
      </c>
      <c r="C888" s="7" t="s">
        <v>527</v>
      </c>
      <c r="D888" s="7" t="s">
        <v>528</v>
      </c>
      <c r="E888" s="6" t="s">
        <v>529</v>
      </c>
      <c r="F888" s="8" t="e">
        <f>VLOOKUP($D888,설문!$C$2:$G$444,3,FALSE)</f>
        <v>#N/A</v>
      </c>
      <c r="G888" s="8" t="e">
        <f>VLOOKUP($D888,설문!$C$2:$G$444,4,FALSE)</f>
        <v>#N/A</v>
      </c>
      <c r="H888" s="8" t="e">
        <f>VLOOKUP($D888,설문!$C$2:$G$444,5,FALSE)</f>
        <v>#N/A</v>
      </c>
    </row>
    <row r="889" spans="1:8">
      <c r="A889" s="6" t="s">
        <v>73</v>
      </c>
      <c r="B889" s="7" t="s">
        <v>603</v>
      </c>
      <c r="C889" s="7" t="s">
        <v>603</v>
      </c>
      <c r="D889" s="7" t="s">
        <v>604</v>
      </c>
      <c r="E889" s="6" t="s">
        <v>369</v>
      </c>
      <c r="F889" s="8" t="e">
        <f>VLOOKUP($D889,설문!$C$2:$G$444,3,FALSE)</f>
        <v>#N/A</v>
      </c>
      <c r="G889" s="8" t="e">
        <f>VLOOKUP($D889,설문!$C$2:$G$444,4,FALSE)</f>
        <v>#N/A</v>
      </c>
      <c r="H889" s="8" t="e">
        <f>VLOOKUP($D889,설문!$C$2:$G$444,5,FALSE)</f>
        <v>#N/A</v>
      </c>
    </row>
    <row r="890" spans="1:8">
      <c r="A890" s="6" t="s">
        <v>73</v>
      </c>
      <c r="B890" s="7" t="s">
        <v>709</v>
      </c>
      <c r="C890" s="7" t="s">
        <v>709</v>
      </c>
      <c r="D890" s="7" t="s">
        <v>710</v>
      </c>
      <c r="E890" s="6" t="s">
        <v>711</v>
      </c>
      <c r="F890" s="8" t="e">
        <f>VLOOKUP($D890,설문!$C$2:$G$444,3,FALSE)</f>
        <v>#N/A</v>
      </c>
      <c r="G890" s="8" t="e">
        <f>VLOOKUP($D890,설문!$C$2:$G$444,4,FALSE)</f>
        <v>#N/A</v>
      </c>
      <c r="H890" s="8" t="e">
        <f>VLOOKUP($D890,설문!$C$2:$G$444,5,FALSE)</f>
        <v>#N/A</v>
      </c>
    </row>
    <row r="891" spans="1:8">
      <c r="A891" s="6" t="s">
        <v>73</v>
      </c>
      <c r="B891" s="7" t="s">
        <v>757</v>
      </c>
      <c r="C891" s="7" t="s">
        <v>757</v>
      </c>
      <c r="D891" s="7" t="s">
        <v>758</v>
      </c>
      <c r="E891" s="6" t="s">
        <v>759</v>
      </c>
      <c r="F891" s="8" t="e">
        <f>VLOOKUP($D891,설문!$C$2:$G$444,3,FALSE)</f>
        <v>#N/A</v>
      </c>
      <c r="G891" s="8" t="e">
        <f>VLOOKUP($D891,설문!$C$2:$G$444,4,FALSE)</f>
        <v>#N/A</v>
      </c>
      <c r="H891" s="8" t="e">
        <f>VLOOKUP($D891,설문!$C$2:$G$444,5,FALSE)</f>
        <v>#N/A</v>
      </c>
    </row>
    <row r="892" spans="1:8">
      <c r="A892" s="6" t="s">
        <v>73</v>
      </c>
      <c r="B892" s="7" t="s">
        <v>603</v>
      </c>
      <c r="C892" s="7" t="s">
        <v>603</v>
      </c>
      <c r="D892" s="7" t="s">
        <v>771</v>
      </c>
      <c r="E892" s="6" t="s">
        <v>772</v>
      </c>
      <c r="F892" s="8" t="e">
        <f>VLOOKUP($D892,설문!$C$2:$G$444,3,FALSE)</f>
        <v>#N/A</v>
      </c>
      <c r="G892" s="8" t="e">
        <f>VLOOKUP($D892,설문!$C$2:$G$444,4,FALSE)</f>
        <v>#N/A</v>
      </c>
      <c r="H892" s="8" t="e">
        <f>VLOOKUP($D892,설문!$C$2:$G$444,5,FALSE)</f>
        <v>#N/A</v>
      </c>
    </row>
    <row r="893" spans="1:8">
      <c r="A893" s="6" t="s">
        <v>73</v>
      </c>
      <c r="B893" s="7" t="s">
        <v>988</v>
      </c>
      <c r="C893" s="7" t="s">
        <v>988</v>
      </c>
      <c r="D893" s="7" t="s">
        <v>989</v>
      </c>
      <c r="E893" s="6" t="s">
        <v>990</v>
      </c>
      <c r="F893" s="8" t="e">
        <f>VLOOKUP($D893,설문!$C$2:$G$444,3,FALSE)</f>
        <v>#N/A</v>
      </c>
      <c r="G893" s="8" t="e">
        <f>VLOOKUP($D893,설문!$C$2:$G$444,4,FALSE)</f>
        <v>#N/A</v>
      </c>
      <c r="H893" s="8" t="e">
        <f>VLOOKUP($D893,설문!$C$2:$G$444,5,FALSE)</f>
        <v>#N/A</v>
      </c>
    </row>
    <row r="894" spans="1:8">
      <c r="A894" s="6" t="s">
        <v>73</v>
      </c>
      <c r="B894" s="7" t="s">
        <v>1029</v>
      </c>
      <c r="C894" s="7" t="s">
        <v>1029</v>
      </c>
      <c r="D894" s="7" t="s">
        <v>1030</v>
      </c>
      <c r="E894" s="6" t="s">
        <v>1031</v>
      </c>
      <c r="F894" s="8" t="e">
        <f>VLOOKUP($D894,설문!$C$2:$G$444,3,FALSE)</f>
        <v>#N/A</v>
      </c>
      <c r="G894" s="8" t="e">
        <f>VLOOKUP($D894,설문!$C$2:$G$444,4,FALSE)</f>
        <v>#N/A</v>
      </c>
      <c r="H894" s="8" t="e">
        <f>VLOOKUP($D894,설문!$C$2:$G$444,5,FALSE)</f>
        <v>#N/A</v>
      </c>
    </row>
    <row r="895" spans="1:8">
      <c r="A895" s="6" t="s">
        <v>73</v>
      </c>
      <c r="B895" s="7" t="s">
        <v>1267</v>
      </c>
      <c r="C895" s="7" t="s">
        <v>1267</v>
      </c>
      <c r="D895" s="7" t="s">
        <v>1268</v>
      </c>
      <c r="E895" s="6" t="s">
        <v>1269</v>
      </c>
      <c r="F895" s="8" t="e">
        <f>VLOOKUP($D895,설문!$C$2:$G$444,3,FALSE)</f>
        <v>#N/A</v>
      </c>
      <c r="G895" s="8" t="e">
        <f>VLOOKUP($D895,설문!$C$2:$G$444,4,FALSE)</f>
        <v>#N/A</v>
      </c>
      <c r="H895" s="8" t="e">
        <f>VLOOKUP($D895,설문!$C$2:$G$444,5,FALSE)</f>
        <v>#N/A</v>
      </c>
    </row>
    <row r="896" spans="1:8">
      <c r="A896" s="6" t="s">
        <v>73</v>
      </c>
      <c r="B896" s="7" t="s">
        <v>526</v>
      </c>
      <c r="C896" s="7" t="s">
        <v>527</v>
      </c>
      <c r="D896" s="7" t="s">
        <v>1285</v>
      </c>
      <c r="E896" s="6" t="s">
        <v>1286</v>
      </c>
      <c r="F896" s="8" t="e">
        <f>VLOOKUP($D896,설문!$C$2:$G$444,3,FALSE)</f>
        <v>#N/A</v>
      </c>
      <c r="G896" s="8" t="e">
        <f>VLOOKUP($D896,설문!$C$2:$G$444,4,FALSE)</f>
        <v>#N/A</v>
      </c>
      <c r="H896" s="8" t="e">
        <f>VLOOKUP($D896,설문!$C$2:$G$444,5,FALSE)</f>
        <v>#N/A</v>
      </c>
    </row>
    <row r="897" spans="1:8">
      <c r="A897" s="6" t="s">
        <v>73</v>
      </c>
      <c r="B897" s="7" t="s">
        <v>526</v>
      </c>
      <c r="C897" s="7" t="s">
        <v>527</v>
      </c>
      <c r="D897" s="7" t="s">
        <v>1287</v>
      </c>
      <c r="E897" s="6" t="s">
        <v>1288</v>
      </c>
      <c r="F897" s="8" t="e">
        <f>VLOOKUP($D897,설문!$C$2:$G$444,3,FALSE)</f>
        <v>#N/A</v>
      </c>
      <c r="G897" s="8" t="e">
        <f>VLOOKUP($D897,설문!$C$2:$G$444,4,FALSE)</f>
        <v>#N/A</v>
      </c>
      <c r="H897" s="8" t="e">
        <f>VLOOKUP($D897,설문!$C$2:$G$444,5,FALSE)</f>
        <v>#N/A</v>
      </c>
    </row>
    <row r="898" spans="1:8">
      <c r="A898" s="6" t="s">
        <v>73</v>
      </c>
      <c r="B898" s="7" t="s">
        <v>1354</v>
      </c>
      <c r="C898" s="7" t="s">
        <v>1354</v>
      </c>
      <c r="D898" s="7" t="s">
        <v>1355</v>
      </c>
      <c r="E898" s="6" t="s">
        <v>1356</v>
      </c>
      <c r="F898" s="8" t="e">
        <f>VLOOKUP($D898,설문!$C$2:$G$444,3,FALSE)</f>
        <v>#N/A</v>
      </c>
      <c r="G898" s="8" t="e">
        <f>VLOOKUP($D898,설문!$C$2:$G$444,4,FALSE)</f>
        <v>#N/A</v>
      </c>
      <c r="H898" s="8" t="e">
        <f>VLOOKUP($D898,설문!$C$2:$G$444,5,FALSE)</f>
        <v>#N/A</v>
      </c>
    </row>
    <row r="899" spans="1:8">
      <c r="A899" s="6" t="s">
        <v>73</v>
      </c>
      <c r="B899" s="7" t="s">
        <v>1397</v>
      </c>
      <c r="C899" s="7" t="s">
        <v>1397</v>
      </c>
      <c r="D899" s="7" t="s">
        <v>1398</v>
      </c>
      <c r="E899" s="6" t="s">
        <v>1399</v>
      </c>
      <c r="F899" s="8" t="e">
        <f>VLOOKUP($D899,설문!$C$2:$G$444,3,FALSE)</f>
        <v>#N/A</v>
      </c>
      <c r="G899" s="8" t="e">
        <f>VLOOKUP($D899,설문!$C$2:$G$444,4,FALSE)</f>
        <v>#N/A</v>
      </c>
      <c r="H899" s="8" t="e">
        <f>VLOOKUP($D899,설문!$C$2:$G$444,5,FALSE)</f>
        <v>#N/A</v>
      </c>
    </row>
    <row r="900" spans="1:8">
      <c r="A900" s="6" t="s">
        <v>73</v>
      </c>
      <c r="B900" s="7" t="s">
        <v>898</v>
      </c>
      <c r="C900" s="7" t="s">
        <v>898</v>
      </c>
      <c r="D900" s="7" t="s">
        <v>1525</v>
      </c>
      <c r="E900" s="6" t="s">
        <v>1526</v>
      </c>
      <c r="F900" s="8" t="e">
        <f>VLOOKUP($D900,설문!$C$2:$G$444,3,FALSE)</f>
        <v>#N/A</v>
      </c>
      <c r="G900" s="8" t="e">
        <f>VLOOKUP($D900,설문!$C$2:$G$444,4,FALSE)</f>
        <v>#N/A</v>
      </c>
      <c r="H900" s="8" t="e">
        <f>VLOOKUP($D900,설문!$C$2:$G$444,5,FALSE)</f>
        <v>#N/A</v>
      </c>
    </row>
    <row r="901" spans="1:8">
      <c r="A901" s="6" t="s">
        <v>73</v>
      </c>
      <c r="B901" s="7" t="s">
        <v>365</v>
      </c>
      <c r="C901" s="7" t="s">
        <v>365</v>
      </c>
      <c r="D901" s="7" t="s">
        <v>1639</v>
      </c>
      <c r="E901" s="6" t="s">
        <v>1640</v>
      </c>
      <c r="F901" s="8" t="e">
        <f>VLOOKUP($D901,설문!$C$2:$G$444,3,FALSE)</f>
        <v>#N/A</v>
      </c>
      <c r="G901" s="8" t="e">
        <f>VLOOKUP($D901,설문!$C$2:$G$444,4,FALSE)</f>
        <v>#N/A</v>
      </c>
      <c r="H901" s="8" t="e">
        <f>VLOOKUP($D901,설문!$C$2:$G$444,5,FALSE)</f>
        <v>#N/A</v>
      </c>
    </row>
    <row r="902" spans="1:8">
      <c r="A902" s="6" t="s">
        <v>73</v>
      </c>
      <c r="B902" s="7" t="s">
        <v>1688</v>
      </c>
      <c r="C902" s="7" t="s">
        <v>1688</v>
      </c>
      <c r="D902" s="7" t="s">
        <v>1689</v>
      </c>
      <c r="E902" s="6" t="s">
        <v>1690</v>
      </c>
      <c r="F902" s="8" t="e">
        <f>VLOOKUP($D902,설문!$C$2:$G$444,3,FALSE)</f>
        <v>#N/A</v>
      </c>
      <c r="G902" s="8" t="e">
        <f>VLOOKUP($D902,설문!$C$2:$G$444,4,FALSE)</f>
        <v>#N/A</v>
      </c>
      <c r="H902" s="8" t="e">
        <f>VLOOKUP($D902,설문!$C$2:$G$444,5,FALSE)</f>
        <v>#N/A</v>
      </c>
    </row>
    <row r="903" spans="1:8">
      <c r="A903" s="6" t="s">
        <v>73</v>
      </c>
      <c r="B903" s="7" t="s">
        <v>162</v>
      </c>
      <c r="C903" s="7" t="s">
        <v>162</v>
      </c>
      <c r="D903" s="7" t="s">
        <v>1778</v>
      </c>
      <c r="E903" s="6" t="s">
        <v>1779</v>
      </c>
      <c r="F903" s="8" t="e">
        <f>VLOOKUP($D903,설문!$C$2:$G$444,3,FALSE)</f>
        <v>#N/A</v>
      </c>
      <c r="G903" s="8" t="e">
        <f>VLOOKUP($D903,설문!$C$2:$G$444,4,FALSE)</f>
        <v>#N/A</v>
      </c>
      <c r="H903" s="8" t="e">
        <f>VLOOKUP($D903,설문!$C$2:$G$444,5,FALSE)</f>
        <v>#N/A</v>
      </c>
    </row>
    <row r="904" spans="1:8">
      <c r="A904" s="6" t="s">
        <v>73</v>
      </c>
      <c r="B904" s="7" t="s">
        <v>1820</v>
      </c>
      <c r="C904" s="7" t="s">
        <v>1820</v>
      </c>
      <c r="D904" s="7" t="s">
        <v>1821</v>
      </c>
      <c r="E904" s="6" t="s">
        <v>1822</v>
      </c>
      <c r="F904" s="8" t="e">
        <f>VLOOKUP($D904,설문!$C$2:$G$444,3,FALSE)</f>
        <v>#N/A</v>
      </c>
      <c r="G904" s="8" t="e">
        <f>VLOOKUP($D904,설문!$C$2:$G$444,4,FALSE)</f>
        <v>#N/A</v>
      </c>
      <c r="H904" s="8" t="e">
        <f>VLOOKUP($D904,설문!$C$2:$G$444,5,FALSE)</f>
        <v>#N/A</v>
      </c>
    </row>
    <row r="905" spans="1:8">
      <c r="A905" s="6" t="s">
        <v>73</v>
      </c>
      <c r="B905" s="7" t="s">
        <v>526</v>
      </c>
      <c r="C905" s="7" t="s">
        <v>527</v>
      </c>
      <c r="D905" s="7" t="s">
        <v>1852</v>
      </c>
      <c r="E905" s="6" t="s">
        <v>1853</v>
      </c>
      <c r="F905" s="8" t="e">
        <f>VLOOKUP($D905,설문!$C$2:$G$444,3,FALSE)</f>
        <v>#N/A</v>
      </c>
      <c r="G905" s="8" t="e">
        <f>VLOOKUP($D905,설문!$C$2:$G$444,4,FALSE)</f>
        <v>#N/A</v>
      </c>
      <c r="H905" s="8" t="e">
        <f>VLOOKUP($D905,설문!$C$2:$G$444,5,FALSE)</f>
        <v>#N/A</v>
      </c>
    </row>
    <row r="906" spans="1:8">
      <c r="A906" s="6" t="s">
        <v>73</v>
      </c>
      <c r="B906" s="7" t="s">
        <v>526</v>
      </c>
      <c r="C906" s="7" t="s">
        <v>527</v>
      </c>
      <c r="D906" s="7" t="s">
        <v>1854</v>
      </c>
      <c r="E906" s="6" t="s">
        <v>1855</v>
      </c>
      <c r="F906" s="8" t="str">
        <f>VLOOKUP($D906,설문!$C$2:$G$444,3,FALSE)</f>
        <v>세일즈</v>
      </c>
      <c r="G906" s="8" t="str">
        <f>VLOOKUP($D906,설문!$C$2:$G$444,4,FALSE)</f>
        <v>금융회사</v>
      </c>
      <c r="H906" s="8" t="str">
        <f>VLOOKUP($D906,설문!$C$2:$G$444,5,FALSE)</f>
        <v>국고채/통안채</v>
      </c>
    </row>
    <row r="907" spans="1:8">
      <c r="A907" s="6" t="s">
        <v>73</v>
      </c>
      <c r="B907" s="7" t="s">
        <v>526</v>
      </c>
      <c r="C907" s="7" t="s">
        <v>527</v>
      </c>
      <c r="D907" s="7" t="s">
        <v>1856</v>
      </c>
      <c r="E907" s="6" t="s">
        <v>1857</v>
      </c>
      <c r="F907" s="8" t="e">
        <f>VLOOKUP($D907,설문!$C$2:$G$444,3,FALSE)</f>
        <v>#N/A</v>
      </c>
      <c r="G907" s="8" t="e">
        <f>VLOOKUP($D907,설문!$C$2:$G$444,4,FALSE)</f>
        <v>#N/A</v>
      </c>
      <c r="H907" s="8" t="e">
        <f>VLOOKUP($D907,설문!$C$2:$G$444,5,FALSE)</f>
        <v>#N/A</v>
      </c>
    </row>
    <row r="908" spans="1:8">
      <c r="A908" s="6" t="s">
        <v>73</v>
      </c>
      <c r="B908" s="7" t="s">
        <v>74</v>
      </c>
      <c r="C908" s="7" t="s">
        <v>74</v>
      </c>
      <c r="D908" s="7" t="s">
        <v>1992</v>
      </c>
      <c r="E908" s="6" t="s">
        <v>1993</v>
      </c>
      <c r="F908" s="8" t="e">
        <f>VLOOKUP($D908,설문!$C$2:$G$444,3,FALSE)</f>
        <v>#N/A</v>
      </c>
      <c r="G908" s="8" t="e">
        <f>VLOOKUP($D908,설문!$C$2:$G$444,4,FALSE)</f>
        <v>#N/A</v>
      </c>
      <c r="H908" s="8" t="e">
        <f>VLOOKUP($D908,설문!$C$2:$G$444,5,FALSE)</f>
        <v>#N/A</v>
      </c>
    </row>
    <row r="909" spans="1:8">
      <c r="A909" s="6" t="s">
        <v>73</v>
      </c>
      <c r="B909" s="7" t="s">
        <v>6439</v>
      </c>
      <c r="C909" s="7" t="s">
        <v>6439</v>
      </c>
      <c r="D909" s="7" t="s">
        <v>6440</v>
      </c>
      <c r="E909" s="6" t="s">
        <v>6441</v>
      </c>
      <c r="F909" s="8" t="e">
        <f>VLOOKUP($D909,설문!$C$2:$G$444,3,FALSE)</f>
        <v>#N/A</v>
      </c>
      <c r="G909" s="8" t="e">
        <f>VLOOKUP($D909,설문!$C$2:$G$444,4,FALSE)</f>
        <v>#N/A</v>
      </c>
      <c r="H909" s="8" t="e">
        <f>VLOOKUP($D909,설문!$C$2:$G$444,5,FALSE)</f>
        <v>#N/A</v>
      </c>
    </row>
    <row r="910" spans="1:8">
      <c r="A910" s="6" t="s">
        <v>73</v>
      </c>
      <c r="B910" s="7" t="s">
        <v>603</v>
      </c>
      <c r="C910" s="7" t="s">
        <v>603</v>
      </c>
      <c r="D910" s="7" t="s">
        <v>6442</v>
      </c>
      <c r="E910" s="6" t="s">
        <v>6443</v>
      </c>
      <c r="F910" s="8" t="e">
        <f>VLOOKUP($D910,설문!$C$2:$G$444,3,FALSE)</f>
        <v>#N/A</v>
      </c>
      <c r="G910" s="8" t="e">
        <f>VLOOKUP($D910,설문!$C$2:$G$444,4,FALSE)</f>
        <v>#N/A</v>
      </c>
      <c r="H910" s="8" t="e">
        <f>VLOOKUP($D910,설문!$C$2:$G$444,5,FALSE)</f>
        <v>#N/A</v>
      </c>
    </row>
    <row r="911" spans="1:8">
      <c r="A911" s="6" t="s">
        <v>73</v>
      </c>
      <c r="B911" s="7" t="s">
        <v>1029</v>
      </c>
      <c r="C911" s="7" t="s">
        <v>1029</v>
      </c>
      <c r="D911" s="7" t="s">
        <v>6444</v>
      </c>
      <c r="E911" s="6" t="s">
        <v>6445</v>
      </c>
      <c r="F911" s="8" t="e">
        <f>VLOOKUP($D911,설문!$C$2:$G$444,3,FALSE)</f>
        <v>#N/A</v>
      </c>
      <c r="G911" s="8" t="e">
        <f>VLOOKUP($D911,설문!$C$2:$G$444,4,FALSE)</f>
        <v>#N/A</v>
      </c>
      <c r="H911" s="8" t="e">
        <f>VLOOKUP($D911,설문!$C$2:$G$444,5,FALSE)</f>
        <v>#N/A</v>
      </c>
    </row>
    <row r="912" spans="1:8">
      <c r="A912" s="6" t="s">
        <v>73</v>
      </c>
      <c r="B912" s="7" t="s">
        <v>6446</v>
      </c>
      <c r="C912" s="7" t="s">
        <v>709</v>
      </c>
      <c r="D912" s="7" t="s">
        <v>6447</v>
      </c>
      <c r="E912" s="6" t="s">
        <v>6448</v>
      </c>
      <c r="F912" s="8" t="e">
        <f>VLOOKUP($D912,설문!$C$2:$G$444,3,FALSE)</f>
        <v>#N/A</v>
      </c>
      <c r="G912" s="8" t="e">
        <f>VLOOKUP($D912,설문!$C$2:$G$444,4,FALSE)</f>
        <v>#N/A</v>
      </c>
      <c r="H912" s="8" t="e">
        <f>VLOOKUP($D912,설문!$C$2:$G$444,5,FALSE)</f>
        <v>#N/A</v>
      </c>
    </row>
    <row r="913" spans="1:8">
      <c r="A913" s="6" t="s">
        <v>73</v>
      </c>
      <c r="B913" s="7" t="s">
        <v>4716</v>
      </c>
      <c r="C913" s="7" t="s">
        <v>4716</v>
      </c>
      <c r="D913" s="7" t="s">
        <v>6450</v>
      </c>
      <c r="E913" s="6" t="s">
        <v>6451</v>
      </c>
      <c r="F913" s="8" t="e">
        <f>VLOOKUP($D913,설문!$C$2:$G$444,3,FALSE)</f>
        <v>#N/A</v>
      </c>
      <c r="G913" s="8" t="e">
        <f>VLOOKUP($D913,설문!$C$2:$G$444,4,FALSE)</f>
        <v>#N/A</v>
      </c>
      <c r="H913" s="8" t="e">
        <f>VLOOKUP($D913,설문!$C$2:$G$444,5,FALSE)</f>
        <v>#N/A</v>
      </c>
    </row>
    <row r="914" spans="1:8">
      <c r="A914" s="6" t="s">
        <v>73</v>
      </c>
      <c r="B914" s="7" t="s">
        <v>162</v>
      </c>
      <c r="C914" s="7" t="s">
        <v>162</v>
      </c>
      <c r="D914" s="7" t="s">
        <v>6452</v>
      </c>
      <c r="E914" s="6" t="s">
        <v>6453</v>
      </c>
      <c r="F914" s="8" t="e">
        <f>VLOOKUP($D914,설문!$C$2:$G$444,3,FALSE)</f>
        <v>#N/A</v>
      </c>
      <c r="G914" s="8" t="e">
        <f>VLOOKUP($D914,설문!$C$2:$G$444,4,FALSE)</f>
        <v>#N/A</v>
      </c>
      <c r="H914" s="8" t="e">
        <f>VLOOKUP($D914,설문!$C$2:$G$444,5,FALSE)</f>
        <v>#N/A</v>
      </c>
    </row>
    <row r="915" spans="1:8">
      <c r="A915" s="6" t="s">
        <v>73</v>
      </c>
      <c r="B915" s="7" t="s">
        <v>1179</v>
      </c>
      <c r="C915" s="7" t="s">
        <v>1179</v>
      </c>
      <c r="D915" s="7" t="s">
        <v>6454</v>
      </c>
      <c r="E915" s="6" t="s">
        <v>1766</v>
      </c>
      <c r="F915" s="8" t="e">
        <f>VLOOKUP($D915,설문!$C$2:$G$444,3,FALSE)</f>
        <v>#N/A</v>
      </c>
      <c r="G915" s="8" t="e">
        <f>VLOOKUP($D915,설문!$C$2:$G$444,4,FALSE)</f>
        <v>#N/A</v>
      </c>
      <c r="H915" s="8" t="e">
        <f>VLOOKUP($D915,설문!$C$2:$G$444,5,FALSE)</f>
        <v>#N/A</v>
      </c>
    </row>
    <row r="916" spans="1:8">
      <c r="A916" s="6" t="s">
        <v>73</v>
      </c>
      <c r="B916" s="7" t="s">
        <v>1179</v>
      </c>
      <c r="C916" s="7" t="s">
        <v>1179</v>
      </c>
      <c r="D916" s="7" t="s">
        <v>6455</v>
      </c>
      <c r="E916" s="6" t="s">
        <v>1766</v>
      </c>
      <c r="F916" s="8" t="e">
        <f>VLOOKUP($D916,설문!$C$2:$G$444,3,FALSE)</f>
        <v>#N/A</v>
      </c>
      <c r="G916" s="8" t="e">
        <f>VLOOKUP($D916,설문!$C$2:$G$444,4,FALSE)</f>
        <v>#N/A</v>
      </c>
      <c r="H916" s="8" t="e">
        <f>VLOOKUP($D916,설문!$C$2:$G$444,5,FALSE)</f>
        <v>#N/A</v>
      </c>
    </row>
    <row r="917" spans="1:8">
      <c r="A917" s="6" t="s">
        <v>73</v>
      </c>
      <c r="B917" s="7" t="s">
        <v>1179</v>
      </c>
      <c r="C917" s="7" t="s">
        <v>1179</v>
      </c>
      <c r="D917" s="7" t="s">
        <v>6456</v>
      </c>
      <c r="E917" s="6" t="s">
        <v>6457</v>
      </c>
      <c r="F917" s="8" t="e">
        <f>VLOOKUP($D917,설문!$C$2:$G$444,3,FALSE)</f>
        <v>#N/A</v>
      </c>
      <c r="G917" s="8" t="e">
        <f>VLOOKUP($D917,설문!$C$2:$G$444,4,FALSE)</f>
        <v>#N/A</v>
      </c>
      <c r="H917" s="8" t="e">
        <f>VLOOKUP($D917,설문!$C$2:$G$444,5,FALSE)</f>
        <v>#N/A</v>
      </c>
    </row>
    <row r="918" spans="1:8">
      <c r="A918" s="6" t="s">
        <v>73</v>
      </c>
      <c r="B918" s="7" t="s">
        <v>1179</v>
      </c>
      <c r="C918" s="7" t="s">
        <v>1179</v>
      </c>
      <c r="D918" s="7" t="s">
        <v>6458</v>
      </c>
      <c r="E918" s="6" t="s">
        <v>6459</v>
      </c>
      <c r="F918" s="8" t="e">
        <f>VLOOKUP($D918,설문!$C$2:$G$444,3,FALSE)</f>
        <v>#N/A</v>
      </c>
      <c r="G918" s="8" t="e">
        <f>VLOOKUP($D918,설문!$C$2:$G$444,4,FALSE)</f>
        <v>#N/A</v>
      </c>
      <c r="H918" s="8" t="e">
        <f>VLOOKUP($D918,설문!$C$2:$G$444,5,FALSE)</f>
        <v>#N/A</v>
      </c>
    </row>
    <row r="919" spans="1:8">
      <c r="A919" s="6" t="s">
        <v>73</v>
      </c>
      <c r="B919" s="7" t="s">
        <v>1179</v>
      </c>
      <c r="C919" s="7" t="s">
        <v>1179</v>
      </c>
      <c r="D919" s="7" t="s">
        <v>6460</v>
      </c>
      <c r="E919" s="6" t="s">
        <v>6461</v>
      </c>
      <c r="F919" s="8" t="e">
        <f>VLOOKUP($D919,설문!$C$2:$G$444,3,FALSE)</f>
        <v>#N/A</v>
      </c>
      <c r="G919" s="8" t="e">
        <f>VLOOKUP($D919,설문!$C$2:$G$444,4,FALSE)</f>
        <v>#N/A</v>
      </c>
      <c r="H919" s="8" t="e">
        <f>VLOOKUP($D919,설문!$C$2:$G$444,5,FALSE)</f>
        <v>#N/A</v>
      </c>
    </row>
    <row r="920" spans="1:8">
      <c r="A920" s="6" t="s">
        <v>73</v>
      </c>
      <c r="B920" s="7" t="s">
        <v>6462</v>
      </c>
      <c r="C920" s="7" t="s">
        <v>6462</v>
      </c>
      <c r="D920" s="7" t="s">
        <v>6463</v>
      </c>
      <c r="E920" s="6" t="s">
        <v>5541</v>
      </c>
      <c r="F920" s="8" t="e">
        <f>VLOOKUP($D920,설문!$C$2:$G$444,3,FALSE)</f>
        <v>#N/A</v>
      </c>
      <c r="G920" s="8" t="e">
        <f>VLOOKUP($D920,설문!$C$2:$G$444,4,FALSE)</f>
        <v>#N/A</v>
      </c>
      <c r="H920" s="8" t="e">
        <f>VLOOKUP($D920,설문!$C$2:$G$444,5,FALSE)</f>
        <v>#N/A</v>
      </c>
    </row>
    <row r="921" spans="1:8">
      <c r="A921" s="6" t="s">
        <v>73</v>
      </c>
      <c r="B921" s="7" t="s">
        <v>6462</v>
      </c>
      <c r="C921" s="7" t="s">
        <v>6462</v>
      </c>
      <c r="D921" s="7" t="s">
        <v>6464</v>
      </c>
      <c r="E921" s="6" t="s">
        <v>6465</v>
      </c>
      <c r="F921" s="8" t="e">
        <f>VLOOKUP($D921,설문!$C$2:$G$444,3,FALSE)</f>
        <v>#N/A</v>
      </c>
      <c r="G921" s="8" t="e">
        <f>VLOOKUP($D921,설문!$C$2:$G$444,4,FALSE)</f>
        <v>#N/A</v>
      </c>
      <c r="H921" s="8" t="e">
        <f>VLOOKUP($D921,설문!$C$2:$G$444,5,FALSE)</f>
        <v>#N/A</v>
      </c>
    </row>
    <row r="922" spans="1:8">
      <c r="A922" s="6" t="s">
        <v>73</v>
      </c>
      <c r="B922" s="7" t="s">
        <v>6462</v>
      </c>
      <c r="C922" s="7" t="s">
        <v>6462</v>
      </c>
      <c r="D922" s="7" t="s">
        <v>6466</v>
      </c>
      <c r="E922" s="6" t="s">
        <v>6467</v>
      </c>
      <c r="F922" s="8" t="e">
        <f>VLOOKUP($D922,설문!$C$2:$G$444,3,FALSE)</f>
        <v>#N/A</v>
      </c>
      <c r="G922" s="8" t="e">
        <f>VLOOKUP($D922,설문!$C$2:$G$444,4,FALSE)</f>
        <v>#N/A</v>
      </c>
      <c r="H922" s="8" t="e">
        <f>VLOOKUP($D922,설문!$C$2:$G$444,5,FALSE)</f>
        <v>#N/A</v>
      </c>
    </row>
    <row r="923" spans="1:8">
      <c r="A923" s="6" t="s">
        <v>73</v>
      </c>
      <c r="B923" s="7" t="s">
        <v>6462</v>
      </c>
      <c r="C923" s="7" t="s">
        <v>6462</v>
      </c>
      <c r="D923" s="7" t="s">
        <v>6468</v>
      </c>
      <c r="E923" s="6" t="s">
        <v>6469</v>
      </c>
      <c r="F923" s="8" t="e">
        <f>VLOOKUP($D923,설문!$C$2:$G$444,3,FALSE)</f>
        <v>#N/A</v>
      </c>
      <c r="G923" s="8" t="e">
        <f>VLOOKUP($D923,설문!$C$2:$G$444,4,FALSE)</f>
        <v>#N/A</v>
      </c>
      <c r="H923" s="8" t="e">
        <f>VLOOKUP($D923,설문!$C$2:$G$444,5,FALSE)</f>
        <v>#N/A</v>
      </c>
    </row>
    <row r="924" spans="1:8">
      <c r="A924" s="6" t="s">
        <v>73</v>
      </c>
      <c r="B924" s="7" t="s">
        <v>365</v>
      </c>
      <c r="C924" s="7" t="s">
        <v>365</v>
      </c>
      <c r="D924" s="7" t="s">
        <v>6470</v>
      </c>
      <c r="E924" s="6" t="s">
        <v>6471</v>
      </c>
      <c r="F924" s="8" t="e">
        <f>VLOOKUP($D924,설문!$C$2:$G$444,3,FALSE)</f>
        <v>#N/A</v>
      </c>
      <c r="G924" s="8" t="e">
        <f>VLOOKUP($D924,설문!$C$2:$G$444,4,FALSE)</f>
        <v>#N/A</v>
      </c>
      <c r="H924" s="8" t="e">
        <f>VLOOKUP($D924,설문!$C$2:$G$444,5,FALSE)</f>
        <v>#N/A</v>
      </c>
    </row>
    <row r="925" spans="1:8">
      <c r="A925" s="6" t="s">
        <v>73</v>
      </c>
      <c r="B925" s="7" t="s">
        <v>6472</v>
      </c>
      <c r="C925" s="7" t="s">
        <v>6472</v>
      </c>
      <c r="D925" s="7" t="s">
        <v>6473</v>
      </c>
      <c r="E925" s="6" t="s">
        <v>6474</v>
      </c>
      <c r="F925" s="8" t="e">
        <f>VLOOKUP($D925,설문!$C$2:$G$444,3,FALSE)</f>
        <v>#N/A</v>
      </c>
      <c r="G925" s="8" t="e">
        <f>VLOOKUP($D925,설문!$C$2:$G$444,4,FALSE)</f>
        <v>#N/A</v>
      </c>
      <c r="H925" s="8" t="e">
        <f>VLOOKUP($D925,설문!$C$2:$G$444,5,FALSE)</f>
        <v>#N/A</v>
      </c>
    </row>
    <row r="926" spans="1:8">
      <c r="A926" s="6" t="s">
        <v>73</v>
      </c>
      <c r="B926" s="7" t="s">
        <v>365</v>
      </c>
      <c r="C926" s="7" t="s">
        <v>365</v>
      </c>
      <c r="D926" s="7" t="s">
        <v>6475</v>
      </c>
      <c r="E926" s="6" t="s">
        <v>6476</v>
      </c>
      <c r="F926" s="8" t="str">
        <f>VLOOKUP($D926,설문!$C$2:$G$444,3,FALSE)</f>
        <v>트레이더</v>
      </c>
      <c r="G926" s="8" t="str">
        <f>VLOOKUP($D926,설문!$C$2:$G$444,4,FALSE)</f>
        <v>금융회사</v>
      </c>
      <c r="H926" s="8" t="str">
        <f>VLOOKUP($D926,설문!$C$2:$G$444,5,FALSE)</f>
        <v>국고채/통안채,회사채,RP,단기자금,국채선물,외화채권(KP제외),외화채권선물,원화 이자율스왑,FX Spot &amp; FX Swap,ELS/DLS</v>
      </c>
    </row>
    <row r="927" spans="1:8">
      <c r="A927" s="6" t="s">
        <v>73</v>
      </c>
      <c r="B927" s="7" t="s">
        <v>709</v>
      </c>
      <c r="C927" s="7" t="s">
        <v>709</v>
      </c>
      <c r="D927" s="7" t="s">
        <v>6477</v>
      </c>
      <c r="E927" s="6" t="s">
        <v>6478</v>
      </c>
      <c r="F927" s="8" t="str">
        <f>VLOOKUP($D927,설문!$C$2:$G$444,3,FALSE)</f>
        <v>백오피스</v>
      </c>
      <c r="G927" s="8" t="str">
        <f>VLOOKUP($D927,설문!$C$2:$G$444,4,FALSE)</f>
        <v>금융회사</v>
      </c>
      <c r="H927" s="8" t="str">
        <f>VLOOKUP($D927,설문!$C$2:$G$444,5,FALSE)</f>
        <v>국고채/통안채,회사채,원화 구조화채권</v>
      </c>
    </row>
    <row r="928" spans="1:8">
      <c r="A928" s="6" t="s">
        <v>73</v>
      </c>
      <c r="B928" s="7" t="s">
        <v>709</v>
      </c>
      <c r="C928" s="7" t="s">
        <v>709</v>
      </c>
      <c r="D928" s="7" t="s">
        <v>6479</v>
      </c>
      <c r="E928" s="6" t="s">
        <v>6480</v>
      </c>
      <c r="F928" s="8" t="e">
        <f>VLOOKUP($D928,설문!$C$2:$G$444,3,FALSE)</f>
        <v>#N/A</v>
      </c>
      <c r="G928" s="8" t="e">
        <f>VLOOKUP($D928,설문!$C$2:$G$444,4,FALSE)</f>
        <v>#N/A</v>
      </c>
      <c r="H928" s="8" t="e">
        <f>VLOOKUP($D928,설문!$C$2:$G$444,5,FALSE)</f>
        <v>#N/A</v>
      </c>
    </row>
    <row r="929" spans="1:8">
      <c r="A929" s="6" t="s">
        <v>73</v>
      </c>
      <c r="B929" s="7" t="s">
        <v>709</v>
      </c>
      <c r="C929" s="7" t="s">
        <v>709</v>
      </c>
      <c r="D929" s="7" t="s">
        <v>6481</v>
      </c>
      <c r="E929" s="6" t="s">
        <v>283</v>
      </c>
      <c r="F929" s="8" t="e">
        <f>VLOOKUP($D929,설문!$C$2:$G$444,3,FALSE)</f>
        <v>#N/A</v>
      </c>
      <c r="G929" s="8" t="e">
        <f>VLOOKUP($D929,설문!$C$2:$G$444,4,FALSE)</f>
        <v>#N/A</v>
      </c>
      <c r="H929" s="8" t="e">
        <f>VLOOKUP($D929,설문!$C$2:$G$444,5,FALSE)</f>
        <v>#N/A</v>
      </c>
    </row>
    <row r="930" spans="1:8">
      <c r="A930" s="6" t="s">
        <v>73</v>
      </c>
      <c r="B930" s="7" t="s">
        <v>709</v>
      </c>
      <c r="C930" s="7" t="s">
        <v>709</v>
      </c>
      <c r="D930" s="7" t="s">
        <v>6482</v>
      </c>
      <c r="E930" s="6" t="s">
        <v>6483</v>
      </c>
      <c r="F930" s="8" t="e">
        <f>VLOOKUP($D930,설문!$C$2:$G$444,3,FALSE)</f>
        <v>#N/A</v>
      </c>
      <c r="G930" s="8" t="e">
        <f>VLOOKUP($D930,설문!$C$2:$G$444,4,FALSE)</f>
        <v>#N/A</v>
      </c>
      <c r="H930" s="8" t="e">
        <f>VLOOKUP($D930,설문!$C$2:$G$444,5,FALSE)</f>
        <v>#N/A</v>
      </c>
    </row>
    <row r="931" spans="1:8">
      <c r="A931" s="6" t="s">
        <v>73</v>
      </c>
      <c r="B931" s="7" t="s">
        <v>227</v>
      </c>
      <c r="C931" s="7" t="s">
        <v>227</v>
      </c>
      <c r="D931" s="7" t="s">
        <v>6484</v>
      </c>
      <c r="E931" s="6" t="s">
        <v>702</v>
      </c>
      <c r="F931" s="8" t="e">
        <f>VLOOKUP($D931,설문!$C$2:$G$444,3,FALSE)</f>
        <v>#N/A</v>
      </c>
      <c r="G931" s="8" t="e">
        <f>VLOOKUP($D931,설문!$C$2:$G$444,4,FALSE)</f>
        <v>#N/A</v>
      </c>
      <c r="H931" s="8" t="e">
        <f>VLOOKUP($D931,설문!$C$2:$G$444,5,FALSE)</f>
        <v>#N/A</v>
      </c>
    </row>
    <row r="932" spans="1:8">
      <c r="A932" s="6" t="s">
        <v>73</v>
      </c>
      <c r="B932" s="7" t="s">
        <v>227</v>
      </c>
      <c r="C932" s="7" t="s">
        <v>227</v>
      </c>
      <c r="D932" s="7" t="s">
        <v>6485</v>
      </c>
      <c r="E932" s="6" t="s">
        <v>6486</v>
      </c>
      <c r="F932" s="8" t="e">
        <f>VLOOKUP($D932,설문!$C$2:$G$444,3,FALSE)</f>
        <v>#N/A</v>
      </c>
      <c r="G932" s="8" t="e">
        <f>VLOOKUP($D932,설문!$C$2:$G$444,4,FALSE)</f>
        <v>#N/A</v>
      </c>
      <c r="H932" s="8" t="e">
        <f>VLOOKUP($D932,설문!$C$2:$G$444,5,FALSE)</f>
        <v>#N/A</v>
      </c>
    </row>
    <row r="933" spans="1:8">
      <c r="A933" s="6" t="s">
        <v>73</v>
      </c>
      <c r="B933" s="7" t="s">
        <v>898</v>
      </c>
      <c r="C933" s="7" t="s">
        <v>898</v>
      </c>
      <c r="D933" s="7" t="s">
        <v>6487</v>
      </c>
      <c r="E933" s="6" t="s">
        <v>3153</v>
      </c>
      <c r="F933" s="8" t="e">
        <f>VLOOKUP($D933,설문!$C$2:$G$444,3,FALSE)</f>
        <v>#N/A</v>
      </c>
      <c r="G933" s="8" t="e">
        <f>VLOOKUP($D933,설문!$C$2:$G$444,4,FALSE)</f>
        <v>#N/A</v>
      </c>
      <c r="H933" s="8" t="e">
        <f>VLOOKUP($D933,설문!$C$2:$G$444,5,FALSE)</f>
        <v>#N/A</v>
      </c>
    </row>
    <row r="934" spans="1:8">
      <c r="A934" s="6" t="s">
        <v>73</v>
      </c>
      <c r="B934" s="7" t="s">
        <v>898</v>
      </c>
      <c r="C934" s="7" t="s">
        <v>898</v>
      </c>
      <c r="D934" s="7" t="s">
        <v>6489</v>
      </c>
      <c r="E934" s="6" t="s">
        <v>6490</v>
      </c>
      <c r="F934" s="8" t="e">
        <f>VLOOKUP($D934,설문!$C$2:$G$444,3,FALSE)</f>
        <v>#N/A</v>
      </c>
      <c r="G934" s="8" t="e">
        <f>VLOOKUP($D934,설문!$C$2:$G$444,4,FALSE)</f>
        <v>#N/A</v>
      </c>
      <c r="H934" s="8" t="e">
        <f>VLOOKUP($D934,설문!$C$2:$G$444,5,FALSE)</f>
        <v>#N/A</v>
      </c>
    </row>
    <row r="935" spans="1:8">
      <c r="A935" s="6" t="s">
        <v>73</v>
      </c>
      <c r="B935" s="7" t="s">
        <v>898</v>
      </c>
      <c r="C935" s="7" t="s">
        <v>898</v>
      </c>
      <c r="D935" s="7" t="s">
        <v>6491</v>
      </c>
      <c r="E935" s="6" t="s">
        <v>1040</v>
      </c>
      <c r="F935" s="8" t="str">
        <f>VLOOKUP($D935,설문!$C$2:$G$444,3,FALSE)</f>
        <v>리스크관리(미들),백오피스</v>
      </c>
      <c r="G935" s="8" t="str">
        <f>VLOOKUP($D935,설문!$C$2:$G$444,4,FALSE)</f>
        <v>금융회사</v>
      </c>
      <c r="H935" s="8" t="str">
        <f>VLOOKUP($D935,설문!$C$2:$G$444,5,FALSE)</f>
        <v>국고채/통안채,회사채</v>
      </c>
    </row>
    <row r="936" spans="1:8">
      <c r="A936" s="6" t="s">
        <v>73</v>
      </c>
      <c r="B936" s="7" t="s">
        <v>898</v>
      </c>
      <c r="C936" s="7" t="s">
        <v>898</v>
      </c>
      <c r="D936" s="7" t="s">
        <v>6492</v>
      </c>
      <c r="E936" s="6" t="s">
        <v>6493</v>
      </c>
      <c r="F936" s="8" t="e">
        <f>VLOOKUP($D936,설문!$C$2:$G$444,3,FALSE)</f>
        <v>#N/A</v>
      </c>
      <c r="G936" s="8" t="e">
        <f>VLOOKUP($D936,설문!$C$2:$G$444,4,FALSE)</f>
        <v>#N/A</v>
      </c>
      <c r="H936" s="8" t="e">
        <f>VLOOKUP($D936,설문!$C$2:$G$444,5,FALSE)</f>
        <v>#N/A</v>
      </c>
    </row>
    <row r="937" spans="1:8">
      <c r="A937" s="6" t="s">
        <v>73</v>
      </c>
      <c r="B937" s="7" t="s">
        <v>898</v>
      </c>
      <c r="C937" s="7" t="s">
        <v>898</v>
      </c>
      <c r="D937" s="7" t="s">
        <v>6494</v>
      </c>
      <c r="E937" s="6" t="s">
        <v>6488</v>
      </c>
      <c r="F937" s="8" t="e">
        <f>VLOOKUP($D937,설문!$C$2:$G$444,3,FALSE)</f>
        <v>#N/A</v>
      </c>
      <c r="G937" s="8" t="e">
        <f>VLOOKUP($D937,설문!$C$2:$G$444,4,FALSE)</f>
        <v>#N/A</v>
      </c>
      <c r="H937" s="8" t="e">
        <f>VLOOKUP($D937,설문!$C$2:$G$444,5,FALSE)</f>
        <v>#N/A</v>
      </c>
    </row>
    <row r="938" spans="1:8">
      <c r="A938" s="6" t="s">
        <v>73</v>
      </c>
      <c r="B938" s="7" t="s">
        <v>6495</v>
      </c>
      <c r="C938" s="7" t="s">
        <v>6495</v>
      </c>
      <c r="D938" s="7" t="s">
        <v>6496</v>
      </c>
      <c r="E938" s="6" t="s">
        <v>6497</v>
      </c>
      <c r="F938" s="8" t="e">
        <f>VLOOKUP($D938,설문!$C$2:$G$444,3,FALSE)</f>
        <v>#N/A</v>
      </c>
      <c r="G938" s="8" t="e">
        <f>VLOOKUP($D938,설문!$C$2:$G$444,4,FALSE)</f>
        <v>#N/A</v>
      </c>
      <c r="H938" s="8" t="e">
        <f>VLOOKUP($D938,설문!$C$2:$G$444,5,FALSE)</f>
        <v>#N/A</v>
      </c>
    </row>
    <row r="939" spans="1:8">
      <c r="A939" s="6" t="s">
        <v>73</v>
      </c>
      <c r="B939" s="7" t="s">
        <v>2397</v>
      </c>
      <c r="C939" s="7" t="s">
        <v>2397</v>
      </c>
      <c r="D939" s="7" t="s">
        <v>6498</v>
      </c>
      <c r="E939" s="6" t="s">
        <v>2486</v>
      </c>
      <c r="F939" s="8" t="e">
        <f>VLOOKUP($D939,설문!$C$2:$G$444,3,FALSE)</f>
        <v>#N/A</v>
      </c>
      <c r="G939" s="8" t="e">
        <f>VLOOKUP($D939,설문!$C$2:$G$444,4,FALSE)</f>
        <v>#N/A</v>
      </c>
      <c r="H939" s="8" t="e">
        <f>VLOOKUP($D939,설문!$C$2:$G$444,5,FALSE)</f>
        <v>#N/A</v>
      </c>
    </row>
    <row r="940" spans="1:8">
      <c r="A940" s="6" t="s">
        <v>73</v>
      </c>
      <c r="B940" s="7" t="s">
        <v>709</v>
      </c>
      <c r="C940" s="7" t="s">
        <v>709</v>
      </c>
      <c r="D940" s="7" t="s">
        <v>6499</v>
      </c>
      <c r="E940" s="6" t="s">
        <v>6500</v>
      </c>
      <c r="F940" s="8" t="e">
        <f>VLOOKUP($D940,설문!$C$2:$G$444,3,FALSE)</f>
        <v>#N/A</v>
      </c>
      <c r="G940" s="8" t="e">
        <f>VLOOKUP($D940,설문!$C$2:$G$444,4,FALSE)</f>
        <v>#N/A</v>
      </c>
      <c r="H940" s="8" t="e">
        <f>VLOOKUP($D940,설문!$C$2:$G$444,5,FALSE)</f>
        <v>#N/A</v>
      </c>
    </row>
    <row r="941" spans="1:8">
      <c r="A941" s="6" t="s">
        <v>73</v>
      </c>
      <c r="B941" s="7" t="s">
        <v>2397</v>
      </c>
      <c r="C941" s="7" t="s">
        <v>2397</v>
      </c>
      <c r="D941" s="7" t="s">
        <v>6501</v>
      </c>
      <c r="E941" s="6" t="s">
        <v>6502</v>
      </c>
      <c r="F941" s="8" t="e">
        <f>VLOOKUP($D941,설문!$C$2:$G$444,3,FALSE)</f>
        <v>#N/A</v>
      </c>
      <c r="G941" s="8" t="e">
        <f>VLOOKUP($D941,설문!$C$2:$G$444,4,FALSE)</f>
        <v>#N/A</v>
      </c>
      <c r="H941" s="8" t="e">
        <f>VLOOKUP($D941,설문!$C$2:$G$444,5,FALSE)</f>
        <v>#N/A</v>
      </c>
    </row>
    <row r="942" spans="1:8">
      <c r="A942" s="6" t="s">
        <v>73</v>
      </c>
      <c r="B942" s="7" t="s">
        <v>2397</v>
      </c>
      <c r="C942" s="7" t="s">
        <v>2397</v>
      </c>
      <c r="D942" s="7" t="s">
        <v>6503</v>
      </c>
      <c r="E942" s="6" t="s">
        <v>6504</v>
      </c>
      <c r="F942" s="8" t="str">
        <f>VLOOKUP($D942,설문!$C$2:$G$444,3,FALSE)</f>
        <v>브로커</v>
      </c>
      <c r="G942" s="8" t="str">
        <f>VLOOKUP($D942,설문!$C$2:$G$444,4,FALSE)</f>
        <v>금융회사</v>
      </c>
      <c r="H942" s="8" t="str">
        <f>VLOOKUP($D942,설문!$C$2:$G$444,5,FALSE)</f>
        <v>국고채/통안채,원화 구조화채권</v>
      </c>
    </row>
    <row r="943" spans="1:8">
      <c r="A943" s="6" t="s">
        <v>73</v>
      </c>
      <c r="B943" s="7" t="s">
        <v>1079</v>
      </c>
      <c r="C943" s="7" t="s">
        <v>1079</v>
      </c>
      <c r="D943" s="7" t="s">
        <v>6505</v>
      </c>
      <c r="E943" s="6" t="s">
        <v>6506</v>
      </c>
      <c r="F943" s="8" t="e">
        <f>VLOOKUP($D943,설문!$C$2:$G$444,3,FALSE)</f>
        <v>#N/A</v>
      </c>
      <c r="G943" s="8" t="e">
        <f>VLOOKUP($D943,설문!$C$2:$G$444,4,FALSE)</f>
        <v>#N/A</v>
      </c>
      <c r="H943" s="8" t="e">
        <f>VLOOKUP($D943,설문!$C$2:$G$444,5,FALSE)</f>
        <v>#N/A</v>
      </c>
    </row>
    <row r="944" spans="1:8">
      <c r="A944" s="6" t="s">
        <v>73</v>
      </c>
      <c r="B944" s="7" t="s">
        <v>6507</v>
      </c>
      <c r="C944" s="7" t="s">
        <v>6507</v>
      </c>
      <c r="D944" s="7" t="s">
        <v>6508</v>
      </c>
      <c r="E944" s="6" t="s">
        <v>6457</v>
      </c>
      <c r="F944" s="8" t="e">
        <f>VLOOKUP($D944,설문!$C$2:$G$444,3,FALSE)</f>
        <v>#N/A</v>
      </c>
      <c r="G944" s="8" t="e">
        <f>VLOOKUP($D944,설문!$C$2:$G$444,4,FALSE)</f>
        <v>#N/A</v>
      </c>
      <c r="H944" s="8" t="e">
        <f>VLOOKUP($D944,설문!$C$2:$G$444,5,FALSE)</f>
        <v>#N/A</v>
      </c>
    </row>
    <row r="945" spans="1:8">
      <c r="A945" s="6" t="s">
        <v>73</v>
      </c>
      <c r="B945" s="7" t="s">
        <v>6507</v>
      </c>
      <c r="C945" s="7" t="s">
        <v>6507</v>
      </c>
      <c r="D945" s="7" t="s">
        <v>6509</v>
      </c>
      <c r="E945" s="6" t="s">
        <v>6510</v>
      </c>
      <c r="F945" s="8" t="e">
        <f>VLOOKUP($D945,설문!$C$2:$G$444,3,FALSE)</f>
        <v>#N/A</v>
      </c>
      <c r="G945" s="8" t="e">
        <f>VLOOKUP($D945,설문!$C$2:$G$444,4,FALSE)</f>
        <v>#N/A</v>
      </c>
      <c r="H945" s="8" t="e">
        <f>VLOOKUP($D945,설문!$C$2:$G$444,5,FALSE)</f>
        <v>#N/A</v>
      </c>
    </row>
    <row r="946" spans="1:8">
      <c r="A946" s="6" t="s">
        <v>73</v>
      </c>
      <c r="B946" s="7" t="s">
        <v>6016</v>
      </c>
      <c r="C946" s="7" t="s">
        <v>6016</v>
      </c>
      <c r="D946" s="7" t="s">
        <v>6511</v>
      </c>
      <c r="E946" s="6" t="s">
        <v>6512</v>
      </c>
      <c r="F946" s="8" t="e">
        <f>VLOOKUP($D946,설문!$C$2:$G$444,3,FALSE)</f>
        <v>#N/A</v>
      </c>
      <c r="G946" s="8" t="e">
        <f>VLOOKUP($D946,설문!$C$2:$G$444,4,FALSE)</f>
        <v>#N/A</v>
      </c>
      <c r="H946" s="8" t="e">
        <f>VLOOKUP($D946,설문!$C$2:$G$444,5,FALSE)</f>
        <v>#N/A</v>
      </c>
    </row>
    <row r="947" spans="1:8">
      <c r="A947" s="6" t="s">
        <v>2470</v>
      </c>
      <c r="B947" s="7" t="s">
        <v>1411</v>
      </c>
      <c r="C947" s="7" t="s">
        <v>1411</v>
      </c>
      <c r="D947" s="7" t="s">
        <v>2471</v>
      </c>
      <c r="E947" s="6" t="s">
        <v>2472</v>
      </c>
      <c r="F947" s="8" t="str">
        <f>VLOOKUP($D947,설문!$C$2:$G$444,3,FALSE)</f>
        <v>펀드매니저</v>
      </c>
      <c r="G947" s="8" t="str">
        <f>VLOOKUP($D947,설문!$C$2:$G$444,4,FALSE)</f>
        <v>금융회사</v>
      </c>
      <c r="H947" s="8" t="str">
        <f>VLOOKUP($D947,설문!$C$2:$G$444,5,FALSE)</f>
        <v>국고채/통안채,회사채,원화 구조화채권</v>
      </c>
    </row>
    <row r="948" spans="1:8">
      <c r="A948" s="6" t="s">
        <v>2470</v>
      </c>
      <c r="B948" s="7" t="s">
        <v>2473</v>
      </c>
      <c r="C948" s="7" t="s">
        <v>2473</v>
      </c>
      <c r="D948" s="7" t="s">
        <v>2474</v>
      </c>
      <c r="E948" s="6" t="s">
        <v>2475</v>
      </c>
      <c r="F948" s="8" t="e">
        <f>VLOOKUP($D948,설문!$C$2:$G$444,3,FALSE)</f>
        <v>#N/A</v>
      </c>
      <c r="G948" s="8" t="e">
        <f>VLOOKUP($D948,설문!$C$2:$G$444,4,FALSE)</f>
        <v>#N/A</v>
      </c>
      <c r="H948" s="8" t="e">
        <f>VLOOKUP($D948,설문!$C$2:$G$444,5,FALSE)</f>
        <v>#N/A</v>
      </c>
    </row>
    <row r="949" spans="1:8">
      <c r="A949" s="6" t="s">
        <v>2470</v>
      </c>
      <c r="B949" s="7" t="s">
        <v>1411</v>
      </c>
      <c r="C949" s="7" t="s">
        <v>1411</v>
      </c>
      <c r="D949" s="7" t="s">
        <v>2476</v>
      </c>
      <c r="E949" s="6" t="s">
        <v>1618</v>
      </c>
      <c r="F949" s="8" t="e">
        <f>VLOOKUP($D949,설문!$C$2:$G$444,3,FALSE)</f>
        <v>#N/A</v>
      </c>
      <c r="G949" s="8" t="e">
        <f>VLOOKUP($D949,설문!$C$2:$G$444,4,FALSE)</f>
        <v>#N/A</v>
      </c>
      <c r="H949" s="8" t="e">
        <f>VLOOKUP($D949,설문!$C$2:$G$444,5,FALSE)</f>
        <v>#N/A</v>
      </c>
    </row>
    <row r="950" spans="1:8">
      <c r="A950" s="6" t="s">
        <v>1543</v>
      </c>
      <c r="B950" s="7" t="s">
        <v>1544</v>
      </c>
      <c r="C950" s="7" t="s">
        <v>1544</v>
      </c>
      <c r="D950" s="7" t="s">
        <v>1545</v>
      </c>
      <c r="E950" s="6" t="s">
        <v>1546</v>
      </c>
      <c r="F950" s="8" t="e">
        <f>VLOOKUP($D950,설문!$C$2:$G$444,3,FALSE)</f>
        <v>#N/A</v>
      </c>
      <c r="G950" s="8" t="e">
        <f>VLOOKUP($D950,설문!$C$2:$G$444,4,FALSE)</f>
        <v>#N/A</v>
      </c>
      <c r="H950" s="8" t="e">
        <f>VLOOKUP($D950,설문!$C$2:$G$444,5,FALSE)</f>
        <v>#N/A</v>
      </c>
    </row>
    <row r="951" spans="1:8">
      <c r="A951" s="6" t="s">
        <v>1543</v>
      </c>
      <c r="B951" s="7" t="s">
        <v>1544</v>
      </c>
      <c r="C951" s="7" t="s">
        <v>1544</v>
      </c>
      <c r="D951" s="7" t="s">
        <v>5054</v>
      </c>
      <c r="E951" s="6" t="s">
        <v>5055</v>
      </c>
      <c r="F951" s="8" t="e">
        <f>VLOOKUP($D951,설문!$C$2:$G$444,3,FALSE)</f>
        <v>#N/A</v>
      </c>
      <c r="G951" s="8" t="e">
        <f>VLOOKUP($D951,설문!$C$2:$G$444,4,FALSE)</f>
        <v>#N/A</v>
      </c>
      <c r="H951" s="8" t="e">
        <f>VLOOKUP($D951,설문!$C$2:$G$444,5,FALSE)</f>
        <v>#N/A</v>
      </c>
    </row>
    <row r="952" spans="1:8">
      <c r="A952" s="6" t="s">
        <v>1543</v>
      </c>
      <c r="B952" s="7" t="s">
        <v>5056</v>
      </c>
      <c r="C952" s="7" t="s">
        <v>5056</v>
      </c>
      <c r="D952" s="7" t="s">
        <v>5057</v>
      </c>
      <c r="E952" s="6" t="s">
        <v>5058</v>
      </c>
      <c r="F952" s="8" t="e">
        <f>VLOOKUP($D952,설문!$C$2:$G$444,3,FALSE)</f>
        <v>#N/A</v>
      </c>
      <c r="G952" s="8" t="e">
        <f>VLOOKUP($D952,설문!$C$2:$G$444,4,FALSE)</f>
        <v>#N/A</v>
      </c>
      <c r="H952" s="8" t="e">
        <f>VLOOKUP($D952,설문!$C$2:$G$444,5,FALSE)</f>
        <v>#N/A</v>
      </c>
    </row>
    <row r="953" spans="1:8">
      <c r="A953" s="6" t="s">
        <v>1543</v>
      </c>
      <c r="B953" s="7" t="s">
        <v>5056</v>
      </c>
      <c r="C953" s="7" t="s">
        <v>5056</v>
      </c>
      <c r="D953" s="7" t="s">
        <v>5059</v>
      </c>
      <c r="E953" s="6" t="s">
        <v>5058</v>
      </c>
      <c r="F953" s="8" t="e">
        <f>VLOOKUP($D953,설문!$C$2:$G$444,3,FALSE)</f>
        <v>#N/A</v>
      </c>
      <c r="G953" s="8" t="e">
        <f>VLOOKUP($D953,설문!$C$2:$G$444,4,FALSE)</f>
        <v>#N/A</v>
      </c>
      <c r="H953" s="8" t="e">
        <f>VLOOKUP($D953,설문!$C$2:$G$444,5,FALSE)</f>
        <v>#N/A</v>
      </c>
    </row>
    <row r="954" spans="1:8">
      <c r="A954" s="6" t="s">
        <v>1543</v>
      </c>
      <c r="B954" s="7" t="s">
        <v>5060</v>
      </c>
      <c r="C954" s="7" t="s">
        <v>5061</v>
      </c>
      <c r="D954" s="7" t="s">
        <v>5062</v>
      </c>
      <c r="E954" s="6" t="s">
        <v>5063</v>
      </c>
      <c r="F954" s="8" t="e">
        <f>VLOOKUP($D954,설문!$C$2:$G$444,3,FALSE)</f>
        <v>#N/A</v>
      </c>
      <c r="G954" s="8" t="e">
        <f>VLOOKUP($D954,설문!$C$2:$G$444,4,FALSE)</f>
        <v>#N/A</v>
      </c>
      <c r="H954" s="8" t="e">
        <f>VLOOKUP($D954,설문!$C$2:$G$444,5,FALSE)</f>
        <v>#N/A</v>
      </c>
    </row>
    <row r="955" spans="1:8">
      <c r="A955" s="6" t="s">
        <v>1543</v>
      </c>
      <c r="B955" s="7" t="s">
        <v>5060</v>
      </c>
      <c r="C955" s="7" t="s">
        <v>5061</v>
      </c>
      <c r="D955" s="7" t="s">
        <v>5064</v>
      </c>
      <c r="E955" s="6" t="s">
        <v>5065</v>
      </c>
      <c r="F955" s="8" t="e">
        <f>VLOOKUP($D955,설문!$C$2:$G$444,3,FALSE)</f>
        <v>#N/A</v>
      </c>
      <c r="G955" s="8" t="e">
        <f>VLOOKUP($D955,설문!$C$2:$G$444,4,FALSE)</f>
        <v>#N/A</v>
      </c>
      <c r="H955" s="8" t="e">
        <f>VLOOKUP($D955,설문!$C$2:$G$444,5,FALSE)</f>
        <v>#N/A</v>
      </c>
    </row>
    <row r="956" spans="1:8">
      <c r="A956" s="6" t="s">
        <v>1543</v>
      </c>
      <c r="B956" s="7" t="s">
        <v>4829</v>
      </c>
      <c r="C956" s="7" t="s">
        <v>5066</v>
      </c>
      <c r="D956" s="7" t="s">
        <v>5067</v>
      </c>
      <c r="E956" s="6" t="s">
        <v>5068</v>
      </c>
      <c r="F956" s="8" t="e">
        <f>VLOOKUP($D956,설문!$C$2:$G$444,3,FALSE)</f>
        <v>#N/A</v>
      </c>
      <c r="G956" s="8" t="e">
        <f>VLOOKUP($D956,설문!$C$2:$G$444,4,FALSE)</f>
        <v>#N/A</v>
      </c>
      <c r="H956" s="8" t="e">
        <f>VLOOKUP($D956,설문!$C$2:$G$444,5,FALSE)</f>
        <v>#N/A</v>
      </c>
    </row>
    <row r="957" spans="1:8">
      <c r="A957" s="6" t="s">
        <v>1543</v>
      </c>
      <c r="B957" s="7" t="s">
        <v>4829</v>
      </c>
      <c r="C957" s="7" t="s">
        <v>1118</v>
      </c>
      <c r="D957" s="7" t="s">
        <v>5069</v>
      </c>
      <c r="E957" s="6" t="s">
        <v>5070</v>
      </c>
      <c r="F957" s="8" t="e">
        <f>VLOOKUP($D957,설문!$C$2:$G$444,3,FALSE)</f>
        <v>#N/A</v>
      </c>
      <c r="G957" s="8" t="e">
        <f>VLOOKUP($D957,설문!$C$2:$G$444,4,FALSE)</f>
        <v>#N/A</v>
      </c>
      <c r="H957" s="8" t="e">
        <f>VLOOKUP($D957,설문!$C$2:$G$444,5,FALSE)</f>
        <v>#N/A</v>
      </c>
    </row>
    <row r="958" spans="1:8">
      <c r="A958" s="6" t="s">
        <v>1543</v>
      </c>
      <c r="B958" s="7" t="s">
        <v>5071</v>
      </c>
      <c r="C958" s="7" t="s">
        <v>5071</v>
      </c>
      <c r="D958" s="7" t="s">
        <v>5072</v>
      </c>
      <c r="E958" s="6" t="s">
        <v>5073</v>
      </c>
      <c r="F958" s="8" t="e">
        <f>VLOOKUP($D958,설문!$C$2:$G$444,3,FALSE)</f>
        <v>#N/A</v>
      </c>
      <c r="G958" s="8" t="e">
        <f>VLOOKUP($D958,설문!$C$2:$G$444,4,FALSE)</f>
        <v>#N/A</v>
      </c>
      <c r="H958" s="8" t="e">
        <f>VLOOKUP($D958,설문!$C$2:$G$444,5,FALSE)</f>
        <v>#N/A</v>
      </c>
    </row>
    <row r="959" spans="1:8">
      <c r="A959" s="6" t="s">
        <v>1543</v>
      </c>
      <c r="B959" s="7" t="s">
        <v>5061</v>
      </c>
      <c r="C959" s="7" t="s">
        <v>5061</v>
      </c>
      <c r="D959" s="7" t="s">
        <v>5074</v>
      </c>
      <c r="E959" s="6" t="s">
        <v>5075</v>
      </c>
      <c r="F959" s="8" t="e">
        <f>VLOOKUP($D959,설문!$C$2:$G$444,3,FALSE)</f>
        <v>#N/A</v>
      </c>
      <c r="G959" s="8" t="e">
        <f>VLOOKUP($D959,설문!$C$2:$G$444,4,FALSE)</f>
        <v>#N/A</v>
      </c>
      <c r="H959" s="8" t="e">
        <f>VLOOKUP($D959,설문!$C$2:$G$444,5,FALSE)</f>
        <v>#N/A</v>
      </c>
    </row>
    <row r="960" spans="1:8">
      <c r="A960" s="6" t="s">
        <v>1543</v>
      </c>
      <c r="B960" s="7" t="s">
        <v>5061</v>
      </c>
      <c r="C960" s="7" t="s">
        <v>5076</v>
      </c>
      <c r="D960" s="7" t="s">
        <v>5077</v>
      </c>
      <c r="E960" s="6" t="s">
        <v>5078</v>
      </c>
      <c r="F960" s="8" t="e">
        <f>VLOOKUP($D960,설문!$C$2:$G$444,3,FALSE)</f>
        <v>#N/A</v>
      </c>
      <c r="G960" s="8" t="e">
        <f>VLOOKUP($D960,설문!$C$2:$G$444,4,FALSE)</f>
        <v>#N/A</v>
      </c>
      <c r="H960" s="8" t="e">
        <f>VLOOKUP($D960,설문!$C$2:$G$444,5,FALSE)</f>
        <v>#N/A</v>
      </c>
    </row>
    <row r="961" spans="1:8">
      <c r="A961" s="6" t="s">
        <v>1543</v>
      </c>
      <c r="B961" s="7" t="s">
        <v>5079</v>
      </c>
      <c r="C961" s="7" t="s">
        <v>429</v>
      </c>
      <c r="D961" s="7" t="s">
        <v>5080</v>
      </c>
      <c r="E961" s="6" t="s">
        <v>5081</v>
      </c>
      <c r="F961" s="8" t="e">
        <f>VLOOKUP($D961,설문!$C$2:$G$444,3,FALSE)</f>
        <v>#N/A</v>
      </c>
      <c r="G961" s="8" t="e">
        <f>VLOOKUP($D961,설문!$C$2:$G$444,4,FALSE)</f>
        <v>#N/A</v>
      </c>
      <c r="H961" s="8" t="e">
        <f>VLOOKUP($D961,설문!$C$2:$G$444,5,FALSE)</f>
        <v>#N/A</v>
      </c>
    </row>
    <row r="962" spans="1:8">
      <c r="A962" s="6" t="s">
        <v>1543</v>
      </c>
      <c r="B962" s="7" t="s">
        <v>5079</v>
      </c>
      <c r="C962" s="7" t="s">
        <v>429</v>
      </c>
      <c r="D962" s="7" t="s">
        <v>5082</v>
      </c>
      <c r="E962" s="6" t="s">
        <v>5083</v>
      </c>
      <c r="F962" s="8" t="e">
        <f>VLOOKUP($D962,설문!$C$2:$G$444,3,FALSE)</f>
        <v>#N/A</v>
      </c>
      <c r="G962" s="8" t="e">
        <f>VLOOKUP($D962,설문!$C$2:$G$444,4,FALSE)</f>
        <v>#N/A</v>
      </c>
      <c r="H962" s="8" t="e">
        <f>VLOOKUP($D962,설문!$C$2:$G$444,5,FALSE)</f>
        <v>#N/A</v>
      </c>
    </row>
    <row r="963" spans="1:8">
      <c r="A963" s="6" t="s">
        <v>1543</v>
      </c>
      <c r="B963" s="7" t="s">
        <v>5079</v>
      </c>
      <c r="C963" s="7" t="s">
        <v>429</v>
      </c>
      <c r="D963" s="7" t="s">
        <v>5084</v>
      </c>
      <c r="E963" s="6" t="s">
        <v>5085</v>
      </c>
      <c r="F963" s="8" t="e">
        <f>VLOOKUP($D963,설문!$C$2:$G$444,3,FALSE)</f>
        <v>#N/A</v>
      </c>
      <c r="G963" s="8" t="e">
        <f>VLOOKUP($D963,설문!$C$2:$G$444,4,FALSE)</f>
        <v>#N/A</v>
      </c>
      <c r="H963" s="8" t="e">
        <f>VLOOKUP($D963,설문!$C$2:$G$444,5,FALSE)</f>
        <v>#N/A</v>
      </c>
    </row>
    <row r="964" spans="1:8">
      <c r="A964" s="6" t="s">
        <v>2632</v>
      </c>
      <c r="B964" s="7" t="s">
        <v>1411</v>
      </c>
      <c r="C964" s="7" t="s">
        <v>1411</v>
      </c>
      <c r="D964" s="7" t="s">
        <v>2633</v>
      </c>
      <c r="E964" s="6" t="s">
        <v>2634</v>
      </c>
      <c r="F964" s="8" t="str">
        <f>VLOOKUP($D964,설문!$C$2:$G$444,3,FALSE)</f>
        <v>분석 및 전략</v>
      </c>
      <c r="G964" s="8" t="str">
        <f>VLOOKUP($D964,설문!$C$2:$G$444,4,FALSE)</f>
        <v>금융회사,기타</v>
      </c>
      <c r="H964" s="8" t="str">
        <f>VLOOKUP($D964,설문!$C$2:$G$444,5,FALSE)</f>
        <v>국고채/통안채,회사채,원화 구조화채권,원화 이자율스왑,외화 이자율스왑</v>
      </c>
    </row>
    <row r="965" spans="1:8">
      <c r="A965" s="6" t="s">
        <v>2632</v>
      </c>
      <c r="B965" s="7" t="s">
        <v>1411</v>
      </c>
      <c r="C965" s="7" t="s">
        <v>1411</v>
      </c>
      <c r="D965" s="7" t="s">
        <v>2635</v>
      </c>
      <c r="E965" s="6" t="s">
        <v>2636</v>
      </c>
      <c r="F965" s="8" t="e">
        <f>VLOOKUP($D965,설문!$C$2:$G$444,3,FALSE)</f>
        <v>#N/A</v>
      </c>
      <c r="G965" s="8" t="e">
        <f>VLOOKUP($D965,설문!$C$2:$G$444,4,FALSE)</f>
        <v>#N/A</v>
      </c>
      <c r="H965" s="8" t="e">
        <f>VLOOKUP($D965,설문!$C$2:$G$444,5,FALSE)</f>
        <v>#N/A</v>
      </c>
    </row>
    <row r="966" spans="1:8">
      <c r="A966" s="6" t="s">
        <v>2632</v>
      </c>
      <c r="B966" s="7" t="s">
        <v>1411</v>
      </c>
      <c r="C966" s="7" t="s">
        <v>1411</v>
      </c>
      <c r="D966" s="7" t="s">
        <v>2637</v>
      </c>
      <c r="E966" s="6" t="s">
        <v>2638</v>
      </c>
      <c r="F966" s="8" t="str">
        <f>VLOOKUP($D966,설문!$C$2:$G$444,3,FALSE)</f>
        <v>트레이더</v>
      </c>
      <c r="G966" s="8" t="str">
        <f>VLOOKUP($D966,설문!$C$2:$G$444,4,FALSE)</f>
        <v>금융회사</v>
      </c>
      <c r="H966" s="8" t="str">
        <f>VLOOKUP($D966,설문!$C$2:$G$444,5,FALSE)</f>
        <v>국고채/통안채,회사채,원화 구조화채권</v>
      </c>
    </row>
    <row r="967" spans="1:8">
      <c r="A967" s="6" t="s">
        <v>1239</v>
      </c>
      <c r="B967" s="7" t="s">
        <v>1240</v>
      </c>
      <c r="C967" s="7" t="s">
        <v>9</v>
      </c>
      <c r="D967" s="7" t="s">
        <v>1241</v>
      </c>
      <c r="E967" s="6" t="s">
        <v>1242</v>
      </c>
      <c r="F967" s="8" t="e">
        <f>VLOOKUP($D967,설문!$C$2:$G$444,3,FALSE)</f>
        <v>#N/A</v>
      </c>
      <c r="G967" s="8" t="e">
        <f>VLOOKUP($D967,설문!$C$2:$G$444,4,FALSE)</f>
        <v>#N/A</v>
      </c>
      <c r="H967" s="8" t="e">
        <f>VLOOKUP($D967,설문!$C$2:$G$444,5,FALSE)</f>
        <v>#N/A</v>
      </c>
    </row>
    <row r="968" spans="1:8">
      <c r="A968" s="6" t="s">
        <v>1239</v>
      </c>
      <c r="B968" s="7" t="s">
        <v>202</v>
      </c>
      <c r="C968" s="7" t="s">
        <v>1305</v>
      </c>
      <c r="D968" s="7" t="s">
        <v>1306</v>
      </c>
      <c r="E968" s="6" t="s">
        <v>1307</v>
      </c>
      <c r="F968" s="8" t="e">
        <f>VLOOKUP($D968,설문!$C$2:$G$444,3,FALSE)</f>
        <v>#N/A</v>
      </c>
      <c r="G968" s="8" t="e">
        <f>VLOOKUP($D968,설문!$C$2:$G$444,4,FALSE)</f>
        <v>#N/A</v>
      </c>
      <c r="H968" s="8" t="e">
        <f>VLOOKUP($D968,설문!$C$2:$G$444,5,FALSE)</f>
        <v>#N/A</v>
      </c>
    </row>
    <row r="969" spans="1:8">
      <c r="A969" s="6" t="s">
        <v>1239</v>
      </c>
      <c r="B969" s="7" t="s">
        <v>202</v>
      </c>
      <c r="C969" s="7" t="s">
        <v>1305</v>
      </c>
      <c r="D969" s="7" t="s">
        <v>1961</v>
      </c>
      <c r="E969" s="6" t="s">
        <v>1962</v>
      </c>
      <c r="F969" s="8" t="e">
        <f>VLOOKUP($D969,설문!$C$2:$G$444,3,FALSE)</f>
        <v>#N/A</v>
      </c>
      <c r="G969" s="8" t="e">
        <f>VLOOKUP($D969,설문!$C$2:$G$444,4,FALSE)</f>
        <v>#N/A</v>
      </c>
      <c r="H969" s="8" t="e">
        <f>VLOOKUP($D969,설문!$C$2:$G$444,5,FALSE)</f>
        <v>#N/A</v>
      </c>
    </row>
    <row r="970" spans="1:8">
      <c r="A970" s="6" t="s">
        <v>1239</v>
      </c>
      <c r="B970" s="7" t="s">
        <v>9</v>
      </c>
      <c r="C970" s="7" t="s">
        <v>202</v>
      </c>
      <c r="D970" s="7" t="s">
        <v>3812</v>
      </c>
      <c r="E970" s="6" t="s">
        <v>3813</v>
      </c>
      <c r="F970" s="8" t="e">
        <f>VLOOKUP($D970,설문!$C$2:$G$444,3,FALSE)</f>
        <v>#N/A</v>
      </c>
      <c r="G970" s="8" t="e">
        <f>VLOOKUP($D970,설문!$C$2:$G$444,4,FALSE)</f>
        <v>#N/A</v>
      </c>
      <c r="H970" s="8" t="e">
        <f>VLOOKUP($D970,설문!$C$2:$G$444,5,FALSE)</f>
        <v>#N/A</v>
      </c>
    </row>
    <row r="971" spans="1:8">
      <c r="A971" s="6" t="s">
        <v>1239</v>
      </c>
      <c r="B971" s="7" t="s">
        <v>5172</v>
      </c>
      <c r="C971" s="7" t="s">
        <v>9</v>
      </c>
      <c r="D971" s="7" t="s">
        <v>5229</v>
      </c>
      <c r="E971" s="6" t="s">
        <v>5230</v>
      </c>
      <c r="F971" s="8" t="e">
        <f>VLOOKUP($D971,설문!$C$2:$G$444,3,FALSE)</f>
        <v>#N/A</v>
      </c>
      <c r="G971" s="8" t="e">
        <f>VLOOKUP($D971,설문!$C$2:$G$444,4,FALSE)</f>
        <v>#N/A</v>
      </c>
      <c r="H971" s="8" t="e">
        <f>VLOOKUP($D971,설문!$C$2:$G$444,5,FALSE)</f>
        <v>#N/A</v>
      </c>
    </row>
    <row r="972" spans="1:8">
      <c r="A972" s="6" t="s">
        <v>1239</v>
      </c>
      <c r="B972" s="7" t="s">
        <v>5172</v>
      </c>
      <c r="C972" s="7" t="s">
        <v>9</v>
      </c>
      <c r="D972" s="7" t="s">
        <v>5231</v>
      </c>
      <c r="E972" s="6" t="s">
        <v>5230</v>
      </c>
      <c r="F972" s="8" t="e">
        <f>VLOOKUP($D972,설문!$C$2:$G$444,3,FALSE)</f>
        <v>#N/A</v>
      </c>
      <c r="G972" s="8" t="e">
        <f>VLOOKUP($D972,설문!$C$2:$G$444,4,FALSE)</f>
        <v>#N/A</v>
      </c>
      <c r="H972" s="8" t="e">
        <f>VLOOKUP($D972,설문!$C$2:$G$444,5,FALSE)</f>
        <v>#N/A</v>
      </c>
    </row>
    <row r="973" spans="1:8">
      <c r="A973" s="6" t="s">
        <v>1239</v>
      </c>
      <c r="B973" s="7" t="s">
        <v>5172</v>
      </c>
      <c r="C973" s="7" t="s">
        <v>9</v>
      </c>
      <c r="D973" s="7" t="s">
        <v>5232</v>
      </c>
      <c r="E973" s="6" t="s">
        <v>5230</v>
      </c>
      <c r="F973" s="8" t="e">
        <f>VLOOKUP($D973,설문!$C$2:$G$444,3,FALSE)</f>
        <v>#N/A</v>
      </c>
      <c r="G973" s="8" t="e">
        <f>VLOOKUP($D973,설문!$C$2:$G$444,4,FALSE)</f>
        <v>#N/A</v>
      </c>
      <c r="H973" s="8" t="e">
        <f>VLOOKUP($D973,설문!$C$2:$G$444,5,FALSE)</f>
        <v>#N/A</v>
      </c>
    </row>
    <row r="974" spans="1:8">
      <c r="A974" s="6" t="s">
        <v>1239</v>
      </c>
      <c r="B974" s="7" t="s">
        <v>5172</v>
      </c>
      <c r="C974" s="7" t="s">
        <v>9</v>
      </c>
      <c r="D974" s="7" t="s">
        <v>5233</v>
      </c>
      <c r="E974" s="6" t="s">
        <v>5230</v>
      </c>
      <c r="F974" s="8" t="e">
        <f>VLOOKUP($D974,설문!$C$2:$G$444,3,FALSE)</f>
        <v>#N/A</v>
      </c>
      <c r="G974" s="8" t="e">
        <f>VLOOKUP($D974,설문!$C$2:$G$444,4,FALSE)</f>
        <v>#N/A</v>
      </c>
      <c r="H974" s="8" t="e">
        <f>VLOOKUP($D974,설문!$C$2:$G$444,5,FALSE)</f>
        <v>#N/A</v>
      </c>
    </row>
    <row r="975" spans="1:8">
      <c r="A975" s="6" t="s">
        <v>1239</v>
      </c>
      <c r="B975" s="7" t="s">
        <v>202</v>
      </c>
      <c r="C975" s="7" t="s">
        <v>1305</v>
      </c>
      <c r="D975" s="7" t="s">
        <v>5234</v>
      </c>
      <c r="E975" s="6" t="s">
        <v>5235</v>
      </c>
      <c r="F975" s="8" t="e">
        <f>VLOOKUP($D975,설문!$C$2:$G$444,3,FALSE)</f>
        <v>#N/A</v>
      </c>
      <c r="G975" s="8" t="e">
        <f>VLOOKUP($D975,설문!$C$2:$G$444,4,FALSE)</f>
        <v>#N/A</v>
      </c>
      <c r="H975" s="8" t="e">
        <f>VLOOKUP($D975,설문!$C$2:$G$444,5,FALSE)</f>
        <v>#N/A</v>
      </c>
    </row>
    <row r="976" spans="1:8">
      <c r="A976" s="6" t="s">
        <v>1239</v>
      </c>
      <c r="B976" s="7" t="s">
        <v>202</v>
      </c>
      <c r="C976" s="7" t="s">
        <v>1305</v>
      </c>
      <c r="D976" s="7" t="s">
        <v>5236</v>
      </c>
      <c r="E976" s="6" t="s">
        <v>5237</v>
      </c>
      <c r="F976" s="8" t="e">
        <f>VLOOKUP($D976,설문!$C$2:$G$444,3,FALSE)</f>
        <v>#N/A</v>
      </c>
      <c r="G976" s="8" t="e">
        <f>VLOOKUP($D976,설문!$C$2:$G$444,4,FALSE)</f>
        <v>#N/A</v>
      </c>
      <c r="H976" s="8" t="e">
        <f>VLOOKUP($D976,설문!$C$2:$G$444,5,FALSE)</f>
        <v>#N/A</v>
      </c>
    </row>
    <row r="977" spans="1:8">
      <c r="A977" s="6" t="s">
        <v>1239</v>
      </c>
      <c r="B977" s="7" t="s">
        <v>202</v>
      </c>
      <c r="C977" s="7" t="s">
        <v>1305</v>
      </c>
      <c r="D977" s="7" t="s">
        <v>5238</v>
      </c>
      <c r="E977" s="6" t="s">
        <v>4980</v>
      </c>
      <c r="F977" s="8" t="e">
        <f>VLOOKUP($D977,설문!$C$2:$G$444,3,FALSE)</f>
        <v>#N/A</v>
      </c>
      <c r="G977" s="8" t="e">
        <f>VLOOKUP($D977,설문!$C$2:$G$444,4,FALSE)</f>
        <v>#N/A</v>
      </c>
      <c r="H977" s="8" t="e">
        <f>VLOOKUP($D977,설문!$C$2:$G$444,5,FALSE)</f>
        <v>#N/A</v>
      </c>
    </row>
    <row r="978" spans="1:8">
      <c r="A978" s="6" t="s">
        <v>1239</v>
      </c>
      <c r="B978" s="7" t="s">
        <v>202</v>
      </c>
      <c r="C978" s="7" t="s">
        <v>1305</v>
      </c>
      <c r="D978" s="7" t="s">
        <v>5239</v>
      </c>
      <c r="E978" s="6" t="s">
        <v>5240</v>
      </c>
      <c r="F978" s="8" t="e">
        <f>VLOOKUP($D978,설문!$C$2:$G$444,3,FALSE)</f>
        <v>#N/A</v>
      </c>
      <c r="G978" s="8" t="e">
        <f>VLOOKUP($D978,설문!$C$2:$G$444,4,FALSE)</f>
        <v>#N/A</v>
      </c>
      <c r="H978" s="8" t="e">
        <f>VLOOKUP($D978,설문!$C$2:$G$444,5,FALSE)</f>
        <v>#N/A</v>
      </c>
    </row>
    <row r="979" spans="1:8">
      <c r="A979" s="6" t="s">
        <v>1239</v>
      </c>
      <c r="B979" s="7" t="s">
        <v>202</v>
      </c>
      <c r="C979" s="7" t="s">
        <v>1305</v>
      </c>
      <c r="D979" s="7" t="s">
        <v>5241</v>
      </c>
      <c r="E979" s="6" t="s">
        <v>5242</v>
      </c>
      <c r="F979" s="8" t="e">
        <f>VLOOKUP($D979,설문!$C$2:$G$444,3,FALSE)</f>
        <v>#N/A</v>
      </c>
      <c r="G979" s="8" t="e">
        <f>VLOOKUP($D979,설문!$C$2:$G$444,4,FALSE)</f>
        <v>#N/A</v>
      </c>
      <c r="H979" s="8" t="e">
        <f>VLOOKUP($D979,설문!$C$2:$G$444,5,FALSE)</f>
        <v>#N/A</v>
      </c>
    </row>
    <row r="980" spans="1:8">
      <c r="A980" s="6" t="s">
        <v>1239</v>
      </c>
      <c r="B980" s="7" t="s">
        <v>202</v>
      </c>
      <c r="C980" s="7" t="s">
        <v>1305</v>
      </c>
      <c r="D980" s="7" t="s">
        <v>5243</v>
      </c>
      <c r="E980" s="6" t="s">
        <v>5244</v>
      </c>
      <c r="F980" s="8" t="e">
        <f>VLOOKUP($D980,설문!$C$2:$G$444,3,FALSE)</f>
        <v>#N/A</v>
      </c>
      <c r="G980" s="8" t="e">
        <f>VLOOKUP($D980,설문!$C$2:$G$444,4,FALSE)</f>
        <v>#N/A</v>
      </c>
      <c r="H980" s="8" t="e">
        <f>VLOOKUP($D980,설문!$C$2:$G$444,5,FALSE)</f>
        <v>#N/A</v>
      </c>
    </row>
    <row r="981" spans="1:8">
      <c r="A981" s="6" t="s">
        <v>1239</v>
      </c>
      <c r="B981" s="7" t="s">
        <v>202</v>
      </c>
      <c r="C981" s="7" t="s">
        <v>1305</v>
      </c>
      <c r="D981" s="7" t="s">
        <v>5245</v>
      </c>
      <c r="E981" s="6" t="s">
        <v>5246</v>
      </c>
      <c r="F981" s="8" t="e">
        <f>VLOOKUP($D981,설문!$C$2:$G$444,3,FALSE)</f>
        <v>#N/A</v>
      </c>
      <c r="G981" s="8" t="e">
        <f>VLOOKUP($D981,설문!$C$2:$G$444,4,FALSE)</f>
        <v>#N/A</v>
      </c>
      <c r="H981" s="8" t="e">
        <f>VLOOKUP($D981,설문!$C$2:$G$444,5,FALSE)</f>
        <v>#N/A</v>
      </c>
    </row>
    <row r="982" spans="1:8">
      <c r="A982" s="6" t="s">
        <v>1239</v>
      </c>
      <c r="B982" s="7" t="s">
        <v>4889</v>
      </c>
      <c r="C982" s="7" t="s">
        <v>4889</v>
      </c>
      <c r="D982" s="7" t="s">
        <v>5247</v>
      </c>
      <c r="E982" s="6" t="s">
        <v>2331</v>
      </c>
      <c r="F982" s="8" t="e">
        <f>VLOOKUP($D982,설문!$C$2:$G$444,3,FALSE)</f>
        <v>#N/A</v>
      </c>
      <c r="G982" s="8" t="e">
        <f>VLOOKUP($D982,설문!$C$2:$G$444,4,FALSE)</f>
        <v>#N/A</v>
      </c>
      <c r="H982" s="8" t="e">
        <f>VLOOKUP($D982,설문!$C$2:$G$444,5,FALSE)</f>
        <v>#N/A</v>
      </c>
    </row>
    <row r="983" spans="1:8">
      <c r="A983" s="6" t="s">
        <v>1239</v>
      </c>
      <c r="B983" s="7" t="s">
        <v>202</v>
      </c>
      <c r="C983" s="7" t="s">
        <v>1305</v>
      </c>
      <c r="D983" s="7" t="s">
        <v>5248</v>
      </c>
      <c r="E983" s="6" t="s">
        <v>5249</v>
      </c>
      <c r="F983" s="8" t="e">
        <f>VLOOKUP($D983,설문!$C$2:$G$444,3,FALSE)</f>
        <v>#N/A</v>
      </c>
      <c r="G983" s="8" t="e">
        <f>VLOOKUP($D983,설문!$C$2:$G$444,4,FALSE)</f>
        <v>#N/A</v>
      </c>
      <c r="H983" s="8" t="e">
        <f>VLOOKUP($D983,설문!$C$2:$G$444,5,FALSE)</f>
        <v>#N/A</v>
      </c>
    </row>
    <row r="984" spans="1:8">
      <c r="A984" s="6" t="s">
        <v>1239</v>
      </c>
      <c r="B984" s="7" t="s">
        <v>202</v>
      </c>
      <c r="C984" s="7" t="s">
        <v>1305</v>
      </c>
      <c r="D984" s="7" t="s">
        <v>5250</v>
      </c>
      <c r="E984" s="6" t="s">
        <v>5251</v>
      </c>
      <c r="F984" s="8" t="e">
        <f>VLOOKUP($D984,설문!$C$2:$G$444,3,FALSE)</f>
        <v>#N/A</v>
      </c>
      <c r="G984" s="8" t="e">
        <f>VLOOKUP($D984,설문!$C$2:$G$444,4,FALSE)</f>
        <v>#N/A</v>
      </c>
      <c r="H984" s="8" t="e">
        <f>VLOOKUP($D984,설문!$C$2:$G$444,5,FALSE)</f>
        <v>#N/A</v>
      </c>
    </row>
    <row r="985" spans="1:8">
      <c r="A985" s="6" t="s">
        <v>1239</v>
      </c>
      <c r="B985" s="7" t="s">
        <v>5252</v>
      </c>
      <c r="C985" s="7" t="s">
        <v>5252</v>
      </c>
      <c r="D985" s="7" t="s">
        <v>5253</v>
      </c>
      <c r="E985" s="6" t="s">
        <v>2331</v>
      </c>
      <c r="F985" s="8" t="e">
        <f>VLOOKUP($D985,설문!$C$2:$G$444,3,FALSE)</f>
        <v>#N/A</v>
      </c>
      <c r="G985" s="8" t="e">
        <f>VLOOKUP($D985,설문!$C$2:$G$444,4,FALSE)</f>
        <v>#N/A</v>
      </c>
      <c r="H985" s="8" t="e">
        <f>VLOOKUP($D985,설문!$C$2:$G$444,5,FALSE)</f>
        <v>#N/A</v>
      </c>
    </row>
    <row r="986" spans="1:8">
      <c r="A986" s="6" t="s">
        <v>1239</v>
      </c>
      <c r="B986" s="7" t="s">
        <v>202</v>
      </c>
      <c r="C986" s="7" t="s">
        <v>5126</v>
      </c>
      <c r="D986" s="7" t="s">
        <v>5254</v>
      </c>
      <c r="E986" s="6" t="s">
        <v>5255</v>
      </c>
      <c r="F986" s="8" t="e">
        <f>VLOOKUP($D986,설문!$C$2:$G$444,3,FALSE)</f>
        <v>#N/A</v>
      </c>
      <c r="G986" s="8" t="e">
        <f>VLOOKUP($D986,설문!$C$2:$G$444,4,FALSE)</f>
        <v>#N/A</v>
      </c>
      <c r="H986" s="8" t="e">
        <f>VLOOKUP($D986,설문!$C$2:$G$444,5,FALSE)</f>
        <v>#N/A</v>
      </c>
    </row>
    <row r="987" spans="1:8">
      <c r="A987" s="6" t="s">
        <v>1239</v>
      </c>
      <c r="B987" s="7" t="s">
        <v>202</v>
      </c>
      <c r="C987" s="7" t="s">
        <v>1305</v>
      </c>
      <c r="D987" s="7" t="s">
        <v>5256</v>
      </c>
      <c r="E987" s="6" t="s">
        <v>5257</v>
      </c>
      <c r="F987" s="8" t="e">
        <f>VLOOKUP($D987,설문!$C$2:$G$444,3,FALSE)</f>
        <v>#N/A</v>
      </c>
      <c r="G987" s="8" t="e">
        <f>VLOOKUP($D987,설문!$C$2:$G$444,4,FALSE)</f>
        <v>#N/A</v>
      </c>
      <c r="H987" s="8" t="e">
        <f>VLOOKUP($D987,설문!$C$2:$G$444,5,FALSE)</f>
        <v>#N/A</v>
      </c>
    </row>
    <row r="988" spans="1:8">
      <c r="A988" s="6" t="s">
        <v>3814</v>
      </c>
      <c r="B988" s="7" t="s">
        <v>9</v>
      </c>
      <c r="C988" s="7" t="s">
        <v>9</v>
      </c>
      <c r="D988" s="7" t="s">
        <v>3815</v>
      </c>
      <c r="E988" s="6" t="s">
        <v>3816</v>
      </c>
      <c r="F988" s="8" t="e">
        <f>VLOOKUP($D988,설문!$C$2:$G$444,3,FALSE)</f>
        <v>#N/A</v>
      </c>
      <c r="G988" s="8" t="e">
        <f>VLOOKUP($D988,설문!$C$2:$G$444,4,FALSE)</f>
        <v>#N/A</v>
      </c>
      <c r="H988" s="8" t="e">
        <f>VLOOKUP($D988,설문!$C$2:$G$444,5,FALSE)</f>
        <v>#N/A</v>
      </c>
    </row>
    <row r="989" spans="1:8">
      <c r="A989" s="6" t="s">
        <v>5223</v>
      </c>
      <c r="B989" s="7" t="s">
        <v>9</v>
      </c>
      <c r="C989" s="7" t="s">
        <v>5224</v>
      </c>
      <c r="D989" s="7" t="s">
        <v>5225</v>
      </c>
      <c r="E989" s="6" t="s">
        <v>2331</v>
      </c>
      <c r="F989" s="8" t="e">
        <f>VLOOKUP($D989,설문!$C$2:$G$444,3,FALSE)</f>
        <v>#N/A</v>
      </c>
      <c r="G989" s="8" t="e">
        <f>VLOOKUP($D989,설문!$C$2:$G$444,4,FALSE)</f>
        <v>#N/A</v>
      </c>
      <c r="H989" s="8" t="e">
        <f>VLOOKUP($D989,설문!$C$2:$G$444,5,FALSE)</f>
        <v>#N/A</v>
      </c>
    </row>
    <row r="990" spans="1:8">
      <c r="A990" s="6" t="s">
        <v>5223</v>
      </c>
      <c r="B990" s="7" t="s">
        <v>9</v>
      </c>
      <c r="C990" s="7" t="s">
        <v>5226</v>
      </c>
      <c r="D990" s="7" t="s">
        <v>5227</v>
      </c>
      <c r="E990" s="6" t="s">
        <v>5228</v>
      </c>
      <c r="F990" s="8" t="e">
        <f>VLOOKUP($D990,설문!$C$2:$G$444,3,FALSE)</f>
        <v>#N/A</v>
      </c>
      <c r="G990" s="8" t="e">
        <f>VLOOKUP($D990,설문!$C$2:$G$444,4,FALSE)</f>
        <v>#N/A</v>
      </c>
      <c r="H990" s="8" t="e">
        <f>VLOOKUP($D990,설문!$C$2:$G$444,5,FALSE)</f>
        <v>#N/A</v>
      </c>
    </row>
    <row r="991" spans="1:8">
      <c r="A991" s="6" t="s">
        <v>142</v>
      </c>
      <c r="B991" s="7" t="s">
        <v>143</v>
      </c>
      <c r="C991" s="7" t="s">
        <v>143</v>
      </c>
      <c r="D991" s="7" t="s">
        <v>144</v>
      </c>
      <c r="E991" s="6" t="s">
        <v>145</v>
      </c>
      <c r="F991" s="8" t="e">
        <f>VLOOKUP($D991,설문!$C$2:$G$444,3,FALSE)</f>
        <v>#N/A</v>
      </c>
      <c r="G991" s="8" t="e">
        <f>VLOOKUP($D991,설문!$C$2:$G$444,4,FALSE)</f>
        <v>#N/A</v>
      </c>
      <c r="H991" s="8" t="e">
        <f>VLOOKUP($D991,설문!$C$2:$G$444,5,FALSE)</f>
        <v>#N/A</v>
      </c>
    </row>
    <row r="992" spans="1:8">
      <c r="A992" s="6" t="s">
        <v>142</v>
      </c>
      <c r="B992" s="7" t="s">
        <v>146</v>
      </c>
      <c r="C992" s="7" t="s">
        <v>146</v>
      </c>
      <c r="D992" s="7" t="s">
        <v>147</v>
      </c>
      <c r="E992" s="6" t="s">
        <v>148</v>
      </c>
      <c r="F992" s="8" t="e">
        <f>VLOOKUP($D992,설문!$C$2:$G$444,3,FALSE)</f>
        <v>#N/A</v>
      </c>
      <c r="G992" s="8" t="e">
        <f>VLOOKUP($D992,설문!$C$2:$G$444,4,FALSE)</f>
        <v>#N/A</v>
      </c>
      <c r="H992" s="8" t="e">
        <f>VLOOKUP($D992,설문!$C$2:$G$444,5,FALSE)</f>
        <v>#N/A</v>
      </c>
    </row>
    <row r="993" spans="1:8">
      <c r="A993" s="6" t="s">
        <v>142</v>
      </c>
      <c r="B993" s="7" t="s">
        <v>165</v>
      </c>
      <c r="C993" s="7" t="s">
        <v>165</v>
      </c>
      <c r="D993" s="7" t="s">
        <v>166</v>
      </c>
      <c r="E993" s="6" t="s">
        <v>167</v>
      </c>
      <c r="F993" s="8" t="e">
        <f>VLOOKUP($D993,설문!$C$2:$G$444,3,FALSE)</f>
        <v>#N/A</v>
      </c>
      <c r="G993" s="8" t="e">
        <f>VLOOKUP($D993,설문!$C$2:$G$444,4,FALSE)</f>
        <v>#N/A</v>
      </c>
      <c r="H993" s="8" t="e">
        <f>VLOOKUP($D993,설문!$C$2:$G$444,5,FALSE)</f>
        <v>#N/A</v>
      </c>
    </row>
    <row r="994" spans="1:8">
      <c r="A994" s="6" t="s">
        <v>142</v>
      </c>
      <c r="B994" s="7" t="s">
        <v>223</v>
      </c>
      <c r="C994" s="7" t="s">
        <v>223</v>
      </c>
      <c r="D994" s="7" t="s">
        <v>224</v>
      </c>
      <c r="E994" s="6" t="s">
        <v>225</v>
      </c>
      <c r="F994" s="8" t="e">
        <f>VLOOKUP($D994,설문!$C$2:$G$444,3,FALSE)</f>
        <v>#N/A</v>
      </c>
      <c r="G994" s="8" t="e">
        <f>VLOOKUP($D994,설문!$C$2:$G$444,4,FALSE)</f>
        <v>#N/A</v>
      </c>
      <c r="H994" s="8" t="e">
        <f>VLOOKUP($D994,설문!$C$2:$G$444,5,FALSE)</f>
        <v>#N/A</v>
      </c>
    </row>
    <row r="995" spans="1:8">
      <c r="A995" s="6" t="s">
        <v>142</v>
      </c>
      <c r="B995" s="7" t="s">
        <v>561</v>
      </c>
      <c r="C995" s="7" t="s">
        <v>561</v>
      </c>
      <c r="D995" s="7" t="s">
        <v>562</v>
      </c>
      <c r="E995" s="6" t="s">
        <v>563</v>
      </c>
      <c r="F995" s="8" t="e">
        <f>VLOOKUP($D995,설문!$C$2:$G$444,3,FALSE)</f>
        <v>#N/A</v>
      </c>
      <c r="G995" s="8" t="e">
        <f>VLOOKUP($D995,설문!$C$2:$G$444,4,FALSE)</f>
        <v>#N/A</v>
      </c>
      <c r="H995" s="8" t="e">
        <f>VLOOKUP($D995,설문!$C$2:$G$444,5,FALSE)</f>
        <v>#N/A</v>
      </c>
    </row>
    <row r="996" spans="1:8">
      <c r="A996" s="6" t="s">
        <v>142</v>
      </c>
      <c r="B996" s="7" t="s">
        <v>216</v>
      </c>
      <c r="C996" s="7" t="s">
        <v>216</v>
      </c>
      <c r="D996" s="7" t="s">
        <v>1087</v>
      </c>
      <c r="E996" s="6" t="s">
        <v>1088</v>
      </c>
      <c r="F996" s="8" t="e">
        <f>VLOOKUP($D996,설문!$C$2:$G$444,3,FALSE)</f>
        <v>#N/A</v>
      </c>
      <c r="G996" s="8" t="e">
        <f>VLOOKUP($D996,설문!$C$2:$G$444,4,FALSE)</f>
        <v>#N/A</v>
      </c>
      <c r="H996" s="8" t="e">
        <f>VLOOKUP($D996,설문!$C$2:$G$444,5,FALSE)</f>
        <v>#N/A</v>
      </c>
    </row>
    <row r="997" spans="1:8">
      <c r="A997" s="6" t="s">
        <v>142</v>
      </c>
      <c r="B997" s="7" t="s">
        <v>1255</v>
      </c>
      <c r="C997" s="7" t="s">
        <v>1255</v>
      </c>
      <c r="D997" s="7" t="s">
        <v>1256</v>
      </c>
      <c r="E997" s="6" t="s">
        <v>1257</v>
      </c>
      <c r="F997" s="8" t="e">
        <f>VLOOKUP($D997,설문!$C$2:$G$444,3,FALSE)</f>
        <v>#N/A</v>
      </c>
      <c r="G997" s="8" t="e">
        <f>VLOOKUP($D997,설문!$C$2:$G$444,4,FALSE)</f>
        <v>#N/A</v>
      </c>
      <c r="H997" s="8" t="e">
        <f>VLOOKUP($D997,설문!$C$2:$G$444,5,FALSE)</f>
        <v>#N/A</v>
      </c>
    </row>
    <row r="998" spans="1:8">
      <c r="A998" s="6" t="s">
        <v>142</v>
      </c>
      <c r="B998" s="7" t="s">
        <v>1280</v>
      </c>
      <c r="C998" s="7" t="s">
        <v>1280</v>
      </c>
      <c r="D998" s="7" t="s">
        <v>1281</v>
      </c>
      <c r="E998" s="6" t="s">
        <v>1282</v>
      </c>
      <c r="F998" s="8" t="str">
        <f>VLOOKUP($D998,설문!$C$2:$G$444,3,FALSE)</f>
        <v>트레이더</v>
      </c>
      <c r="G998" s="8" t="str">
        <f>VLOOKUP($D998,설문!$C$2:$G$444,4,FALSE)</f>
        <v>금융회사</v>
      </c>
      <c r="H998" s="8" t="str">
        <f>VLOOKUP($D998,설문!$C$2:$G$444,5,FALSE)</f>
        <v>국내주식/지수,국채선물,국내주식/지수관련파생,해외주식/지수,ETF/ETN</v>
      </c>
    </row>
    <row r="999" spans="1:8">
      <c r="A999" s="6" t="s">
        <v>142</v>
      </c>
      <c r="B999" s="7" t="s">
        <v>1357</v>
      </c>
      <c r="C999" s="7" t="s">
        <v>1357</v>
      </c>
      <c r="D999" s="7" t="s">
        <v>1358</v>
      </c>
      <c r="E999" s="6" t="s">
        <v>1359</v>
      </c>
      <c r="F999" s="8" t="e">
        <f>VLOOKUP($D999,설문!$C$2:$G$444,3,FALSE)</f>
        <v>#N/A</v>
      </c>
      <c r="G999" s="8" t="e">
        <f>VLOOKUP($D999,설문!$C$2:$G$444,4,FALSE)</f>
        <v>#N/A</v>
      </c>
      <c r="H999" s="8" t="e">
        <f>VLOOKUP($D999,설문!$C$2:$G$444,5,FALSE)</f>
        <v>#N/A</v>
      </c>
    </row>
    <row r="1000" spans="1:8">
      <c r="A1000" s="6" t="s">
        <v>142</v>
      </c>
      <c r="B1000" s="7" t="s">
        <v>216</v>
      </c>
      <c r="C1000" s="7" t="s">
        <v>216</v>
      </c>
      <c r="D1000" s="7" t="s">
        <v>1422</v>
      </c>
      <c r="E1000" s="6" t="s">
        <v>1423</v>
      </c>
      <c r="F1000" s="8" t="e">
        <f>VLOOKUP($D1000,설문!$C$2:$G$444,3,FALSE)</f>
        <v>#N/A</v>
      </c>
      <c r="G1000" s="8" t="e">
        <f>VLOOKUP($D1000,설문!$C$2:$G$444,4,FALSE)</f>
        <v>#N/A</v>
      </c>
      <c r="H1000" s="8" t="e">
        <f>VLOOKUP($D1000,설문!$C$2:$G$444,5,FALSE)</f>
        <v>#N/A</v>
      </c>
    </row>
    <row r="1001" spans="1:8">
      <c r="A1001" s="6" t="s">
        <v>142</v>
      </c>
      <c r="B1001" s="7" t="s">
        <v>1438</v>
      </c>
      <c r="C1001" s="7" t="s">
        <v>1438</v>
      </c>
      <c r="D1001" s="7" t="s">
        <v>1439</v>
      </c>
      <c r="E1001" s="6" t="s">
        <v>1440</v>
      </c>
      <c r="F1001" s="8" t="e">
        <f>VLOOKUP($D1001,설문!$C$2:$G$444,3,FALSE)</f>
        <v>#N/A</v>
      </c>
      <c r="G1001" s="8" t="e">
        <f>VLOOKUP($D1001,설문!$C$2:$G$444,4,FALSE)</f>
        <v>#N/A</v>
      </c>
      <c r="H1001" s="8" t="e">
        <f>VLOOKUP($D1001,설문!$C$2:$G$444,5,FALSE)</f>
        <v>#N/A</v>
      </c>
    </row>
    <row r="1002" spans="1:8">
      <c r="A1002" s="6" t="s">
        <v>142</v>
      </c>
      <c r="B1002" s="7" t="s">
        <v>1438</v>
      </c>
      <c r="C1002" s="7" t="s">
        <v>1438</v>
      </c>
      <c r="D1002" s="7" t="s">
        <v>1441</v>
      </c>
      <c r="E1002" s="6" t="s">
        <v>1442</v>
      </c>
      <c r="F1002" s="8" t="e">
        <f>VLOOKUP($D1002,설문!$C$2:$G$444,3,FALSE)</f>
        <v>#N/A</v>
      </c>
      <c r="G1002" s="8" t="e">
        <f>VLOOKUP($D1002,설문!$C$2:$G$444,4,FALSE)</f>
        <v>#N/A</v>
      </c>
      <c r="H1002" s="8" t="e">
        <f>VLOOKUP($D1002,설문!$C$2:$G$444,5,FALSE)</f>
        <v>#N/A</v>
      </c>
    </row>
    <row r="1003" spans="1:8">
      <c r="A1003" s="6" t="s">
        <v>142</v>
      </c>
      <c r="B1003" s="7" t="s">
        <v>1451</v>
      </c>
      <c r="C1003" s="7" t="s">
        <v>1451</v>
      </c>
      <c r="D1003" s="7" t="s">
        <v>1452</v>
      </c>
      <c r="E1003" s="6" t="s">
        <v>1453</v>
      </c>
      <c r="F1003" s="8" t="e">
        <f>VLOOKUP($D1003,설문!$C$2:$G$444,3,FALSE)</f>
        <v>#N/A</v>
      </c>
      <c r="G1003" s="8" t="e">
        <f>VLOOKUP($D1003,설문!$C$2:$G$444,4,FALSE)</f>
        <v>#N/A</v>
      </c>
      <c r="H1003" s="8" t="e">
        <f>VLOOKUP($D1003,설문!$C$2:$G$444,5,FALSE)</f>
        <v>#N/A</v>
      </c>
    </row>
    <row r="1004" spans="1:8">
      <c r="A1004" s="6" t="s">
        <v>142</v>
      </c>
      <c r="B1004" s="7" t="s">
        <v>1100</v>
      </c>
      <c r="C1004" s="7" t="s">
        <v>1100</v>
      </c>
      <c r="D1004" s="7" t="s">
        <v>1537</v>
      </c>
      <c r="E1004" s="6" t="s">
        <v>1538</v>
      </c>
      <c r="F1004" s="8" t="e">
        <f>VLOOKUP($D1004,설문!$C$2:$G$444,3,FALSE)</f>
        <v>#N/A</v>
      </c>
      <c r="G1004" s="8" t="e">
        <f>VLOOKUP($D1004,설문!$C$2:$G$444,4,FALSE)</f>
        <v>#N/A</v>
      </c>
      <c r="H1004" s="8" t="e">
        <f>VLOOKUP($D1004,설문!$C$2:$G$444,5,FALSE)</f>
        <v>#N/A</v>
      </c>
    </row>
    <row r="1005" spans="1:8">
      <c r="A1005" s="6" t="s">
        <v>142</v>
      </c>
      <c r="B1005" s="7" t="s">
        <v>1100</v>
      </c>
      <c r="C1005" s="7" t="s">
        <v>1100</v>
      </c>
      <c r="D1005" s="7" t="s">
        <v>1539</v>
      </c>
      <c r="E1005" s="6" t="s">
        <v>1540</v>
      </c>
      <c r="F1005" s="8" t="e">
        <f>VLOOKUP($D1005,설문!$C$2:$G$444,3,FALSE)</f>
        <v>#N/A</v>
      </c>
      <c r="G1005" s="8" t="e">
        <f>VLOOKUP($D1005,설문!$C$2:$G$444,4,FALSE)</f>
        <v>#N/A</v>
      </c>
      <c r="H1005" s="8" t="e">
        <f>VLOOKUP($D1005,설문!$C$2:$G$444,5,FALSE)</f>
        <v>#N/A</v>
      </c>
    </row>
    <row r="1006" spans="1:8">
      <c r="A1006" s="6" t="s">
        <v>142</v>
      </c>
      <c r="B1006" s="7" t="s">
        <v>1604</v>
      </c>
      <c r="C1006" s="7" t="s">
        <v>1604</v>
      </c>
      <c r="D1006" s="7" t="s">
        <v>1605</v>
      </c>
      <c r="E1006" s="6" t="s">
        <v>1606</v>
      </c>
      <c r="F1006" s="8" t="e">
        <f>VLOOKUP($D1006,설문!$C$2:$G$444,3,FALSE)</f>
        <v>#N/A</v>
      </c>
      <c r="G1006" s="8" t="e">
        <f>VLOOKUP($D1006,설문!$C$2:$G$444,4,FALSE)</f>
        <v>#N/A</v>
      </c>
      <c r="H1006" s="8" t="e">
        <f>VLOOKUP($D1006,설문!$C$2:$G$444,5,FALSE)</f>
        <v>#N/A</v>
      </c>
    </row>
    <row r="1007" spans="1:8">
      <c r="A1007" s="6" t="s">
        <v>142</v>
      </c>
      <c r="B1007" s="7" t="s">
        <v>1791</v>
      </c>
      <c r="C1007" s="7" t="s">
        <v>1791</v>
      </c>
      <c r="D1007" s="7" t="s">
        <v>1792</v>
      </c>
      <c r="E1007" s="6" t="s">
        <v>1793</v>
      </c>
      <c r="F1007" s="8" t="str">
        <f>VLOOKUP($D1007,설문!$C$2:$G$444,3,FALSE)</f>
        <v>트레이더,세일즈</v>
      </c>
      <c r="G1007" s="8" t="str">
        <f>VLOOKUP($D1007,설문!$C$2:$G$444,4,FALSE)</f>
        <v>금융회사</v>
      </c>
      <c r="H1007" s="8" t="str">
        <f>VLOOKUP($D1007,설문!$C$2:$G$444,5,FALSE)</f>
        <v>국내주식/지수,국내주식/지수관련파생,원화 이자율스왑,외화 이자율스왑,FX Spot &amp; FX Swap,해외주식/지수,해외주식/지수관련파생,ETF/ETN,IB(발행, M&amp;A 등),대체투자(부동산/인프라)</v>
      </c>
    </row>
    <row r="1008" spans="1:8">
      <c r="A1008" s="6" t="s">
        <v>142</v>
      </c>
      <c r="B1008" s="7" t="s">
        <v>1438</v>
      </c>
      <c r="C1008" s="7" t="s">
        <v>1438</v>
      </c>
      <c r="D1008" s="7" t="s">
        <v>1801</v>
      </c>
      <c r="E1008" s="6" t="s">
        <v>1802</v>
      </c>
      <c r="F1008" s="8" t="e">
        <f>VLOOKUP($D1008,설문!$C$2:$G$444,3,FALSE)</f>
        <v>#N/A</v>
      </c>
      <c r="G1008" s="8" t="e">
        <f>VLOOKUP($D1008,설문!$C$2:$G$444,4,FALSE)</f>
        <v>#N/A</v>
      </c>
      <c r="H1008" s="8" t="e">
        <f>VLOOKUP($D1008,설문!$C$2:$G$444,5,FALSE)</f>
        <v>#N/A</v>
      </c>
    </row>
    <row r="1009" spans="1:8">
      <c r="A1009" s="6" t="s">
        <v>142</v>
      </c>
      <c r="B1009" s="7" t="s">
        <v>1858</v>
      </c>
      <c r="C1009" s="7" t="s">
        <v>1858</v>
      </c>
      <c r="D1009" s="7" t="s">
        <v>1859</v>
      </c>
      <c r="E1009" s="6" t="s">
        <v>1860</v>
      </c>
      <c r="F1009" s="8" t="str">
        <f>VLOOKUP($D1009,설문!$C$2:$G$444,3,FALSE)</f>
        <v>트레이더</v>
      </c>
      <c r="G1009" s="8" t="str">
        <f>VLOOKUP($D1009,설문!$C$2:$G$444,4,FALSE)</f>
        <v>기타</v>
      </c>
      <c r="H1009" s="8" t="str">
        <f>VLOOKUP($D1009,설문!$C$2:$G$444,5,FALSE)</f>
        <v>국내주식/지수,국내주식/지수관련파생,ETF/ETN</v>
      </c>
    </row>
    <row r="1010" spans="1:8">
      <c r="A1010" s="6" t="s">
        <v>142</v>
      </c>
      <c r="B1010" s="7" t="s">
        <v>216</v>
      </c>
      <c r="C1010" s="7" t="s">
        <v>216</v>
      </c>
      <c r="D1010" s="7" t="s">
        <v>1877</v>
      </c>
      <c r="E1010" s="6" t="s">
        <v>1878</v>
      </c>
      <c r="F1010" s="8" t="e">
        <f>VLOOKUP($D1010,설문!$C$2:$G$444,3,FALSE)</f>
        <v>#N/A</v>
      </c>
      <c r="G1010" s="8" t="e">
        <f>VLOOKUP($D1010,설문!$C$2:$G$444,4,FALSE)</f>
        <v>#N/A</v>
      </c>
      <c r="H1010" s="8" t="e">
        <f>VLOOKUP($D1010,설문!$C$2:$G$444,5,FALSE)</f>
        <v>#N/A</v>
      </c>
    </row>
    <row r="1011" spans="1:8">
      <c r="A1011" s="6" t="s">
        <v>142</v>
      </c>
      <c r="B1011" s="7" t="s">
        <v>806</v>
      </c>
      <c r="C1011" s="7" t="s">
        <v>806</v>
      </c>
      <c r="D1011" s="7" t="s">
        <v>5508</v>
      </c>
      <c r="E1011" s="6" t="s">
        <v>5509</v>
      </c>
      <c r="F1011" s="8" t="e">
        <f>VLOOKUP($D1011,설문!$C$2:$G$444,3,FALSE)</f>
        <v>#N/A</v>
      </c>
      <c r="G1011" s="8" t="e">
        <f>VLOOKUP($D1011,설문!$C$2:$G$444,4,FALSE)</f>
        <v>#N/A</v>
      </c>
      <c r="H1011" s="8" t="e">
        <f>VLOOKUP($D1011,설문!$C$2:$G$444,5,FALSE)</f>
        <v>#N/A</v>
      </c>
    </row>
    <row r="1012" spans="1:8">
      <c r="A1012" s="6" t="s">
        <v>142</v>
      </c>
      <c r="B1012" s="7" t="s">
        <v>5510</v>
      </c>
      <c r="C1012" s="7" t="s">
        <v>5510</v>
      </c>
      <c r="D1012" s="7" t="s">
        <v>5511</v>
      </c>
      <c r="E1012" s="6" t="s">
        <v>5512</v>
      </c>
      <c r="F1012" s="8" t="e">
        <f>VLOOKUP($D1012,설문!$C$2:$G$444,3,FALSE)</f>
        <v>#N/A</v>
      </c>
      <c r="G1012" s="8" t="e">
        <f>VLOOKUP($D1012,설문!$C$2:$G$444,4,FALSE)</f>
        <v>#N/A</v>
      </c>
      <c r="H1012" s="8" t="e">
        <f>VLOOKUP($D1012,설문!$C$2:$G$444,5,FALSE)</f>
        <v>#N/A</v>
      </c>
    </row>
    <row r="1013" spans="1:8">
      <c r="A1013" s="6" t="s">
        <v>142</v>
      </c>
      <c r="B1013" s="7" t="s">
        <v>5510</v>
      </c>
      <c r="C1013" s="7" t="s">
        <v>5510</v>
      </c>
      <c r="D1013" s="7" t="s">
        <v>5513</v>
      </c>
      <c r="E1013" s="6" t="s">
        <v>5514</v>
      </c>
      <c r="F1013" s="8" t="str">
        <f>VLOOKUP($D1013,설문!$C$2:$G$444,3,FALSE)</f>
        <v>딜러</v>
      </c>
      <c r="G1013" s="8" t="str">
        <f>VLOOKUP($D1013,설문!$C$2:$G$444,4,FALSE)</f>
        <v>금융회사,일반기업고객,개인고객</v>
      </c>
      <c r="H1013" s="8" t="str">
        <f>VLOOKUP($D1013,설문!$C$2:$G$444,5,FALSE)</f>
        <v>국고채/통안채,회사채,소액채권,단기자금</v>
      </c>
    </row>
    <row r="1014" spans="1:8">
      <c r="A1014" s="6" t="s">
        <v>142</v>
      </c>
      <c r="B1014" s="7" t="s">
        <v>5515</v>
      </c>
      <c r="C1014" s="7" t="s">
        <v>5515</v>
      </c>
      <c r="D1014" s="7" t="s">
        <v>5516</v>
      </c>
      <c r="E1014" s="6" t="s">
        <v>5517</v>
      </c>
      <c r="F1014" s="8" t="e">
        <f>VLOOKUP($D1014,설문!$C$2:$G$444,3,FALSE)</f>
        <v>#N/A</v>
      </c>
      <c r="G1014" s="8" t="e">
        <f>VLOOKUP($D1014,설문!$C$2:$G$444,4,FALSE)</f>
        <v>#N/A</v>
      </c>
      <c r="H1014" s="8" t="e">
        <f>VLOOKUP($D1014,설문!$C$2:$G$444,5,FALSE)</f>
        <v>#N/A</v>
      </c>
    </row>
    <row r="1015" spans="1:8">
      <c r="A1015" s="6" t="s">
        <v>142</v>
      </c>
      <c r="B1015" s="7" t="s">
        <v>1100</v>
      </c>
      <c r="C1015" s="7" t="s">
        <v>1100</v>
      </c>
      <c r="D1015" s="7" t="s">
        <v>5518</v>
      </c>
      <c r="E1015" s="6" t="s">
        <v>5519</v>
      </c>
      <c r="F1015" s="8" t="str">
        <f>VLOOKUP($D1015,설문!$C$2:$G$444,3,FALSE)</f>
        <v>펀드매니저</v>
      </c>
      <c r="G1015" s="8" t="str">
        <f>VLOOKUP($D1015,설문!$C$2:$G$444,4,FALSE)</f>
        <v>금융회사,금융 유관기관,일반기업고객,개인고객</v>
      </c>
      <c r="H1015" s="8" t="str">
        <f>VLOOKUP($D1015,설문!$C$2:$G$444,5,FALSE)</f>
        <v>외화채권(KP제외),외화 구조화채권,FX Spot &amp; FX Swap,해외주식/지수</v>
      </c>
    </row>
    <row r="1016" spans="1:8">
      <c r="A1016" s="6" t="s">
        <v>142</v>
      </c>
      <c r="B1016" s="7" t="s">
        <v>5515</v>
      </c>
      <c r="C1016" s="7" t="s">
        <v>5515</v>
      </c>
      <c r="D1016" s="7" t="s">
        <v>5520</v>
      </c>
      <c r="E1016" s="6" t="s">
        <v>5521</v>
      </c>
      <c r="F1016" s="8" t="e">
        <f>VLOOKUP($D1016,설문!$C$2:$G$444,3,FALSE)</f>
        <v>#N/A</v>
      </c>
      <c r="G1016" s="8" t="e">
        <f>VLOOKUP($D1016,설문!$C$2:$G$444,4,FALSE)</f>
        <v>#N/A</v>
      </c>
      <c r="H1016" s="8" t="e">
        <f>VLOOKUP($D1016,설문!$C$2:$G$444,5,FALSE)</f>
        <v>#N/A</v>
      </c>
    </row>
    <row r="1017" spans="1:8">
      <c r="A1017" s="6" t="s">
        <v>142</v>
      </c>
      <c r="B1017" s="7" t="s">
        <v>5515</v>
      </c>
      <c r="C1017" s="7" t="s">
        <v>5515</v>
      </c>
      <c r="D1017" s="7" t="s">
        <v>5522</v>
      </c>
      <c r="E1017" s="6" t="s">
        <v>5523</v>
      </c>
      <c r="F1017" s="8" t="e">
        <f>VLOOKUP($D1017,설문!$C$2:$G$444,3,FALSE)</f>
        <v>#N/A</v>
      </c>
      <c r="G1017" s="8" t="e">
        <f>VLOOKUP($D1017,설문!$C$2:$G$444,4,FALSE)</f>
        <v>#N/A</v>
      </c>
      <c r="H1017" s="8" t="e">
        <f>VLOOKUP($D1017,설문!$C$2:$G$444,5,FALSE)</f>
        <v>#N/A</v>
      </c>
    </row>
    <row r="1018" spans="1:8">
      <c r="A1018" s="6" t="s">
        <v>142</v>
      </c>
      <c r="B1018" s="7" t="s">
        <v>5515</v>
      </c>
      <c r="C1018" s="7" t="s">
        <v>5515</v>
      </c>
      <c r="D1018" s="7" t="s">
        <v>5524</v>
      </c>
      <c r="E1018" s="6" t="s">
        <v>5525</v>
      </c>
      <c r="F1018" s="8" t="e">
        <f>VLOOKUP($D1018,설문!$C$2:$G$444,3,FALSE)</f>
        <v>#N/A</v>
      </c>
      <c r="G1018" s="8" t="e">
        <f>VLOOKUP($D1018,설문!$C$2:$G$444,4,FALSE)</f>
        <v>#N/A</v>
      </c>
      <c r="H1018" s="8" t="e">
        <f>VLOOKUP($D1018,설문!$C$2:$G$444,5,FALSE)</f>
        <v>#N/A</v>
      </c>
    </row>
    <row r="1019" spans="1:8">
      <c r="A1019" s="6" t="s">
        <v>142</v>
      </c>
      <c r="B1019" s="7" t="s">
        <v>5526</v>
      </c>
      <c r="C1019" s="7" t="s">
        <v>5526</v>
      </c>
      <c r="D1019" s="7" t="s">
        <v>5527</v>
      </c>
      <c r="E1019" s="6" t="s">
        <v>5528</v>
      </c>
      <c r="F1019" s="8" t="e">
        <f>VLOOKUP($D1019,설문!$C$2:$G$444,3,FALSE)</f>
        <v>#N/A</v>
      </c>
      <c r="G1019" s="8" t="e">
        <f>VLOOKUP($D1019,설문!$C$2:$G$444,4,FALSE)</f>
        <v>#N/A</v>
      </c>
      <c r="H1019" s="8" t="e">
        <f>VLOOKUP($D1019,설문!$C$2:$G$444,5,FALSE)</f>
        <v>#N/A</v>
      </c>
    </row>
    <row r="1020" spans="1:8">
      <c r="A1020" s="6" t="s">
        <v>142</v>
      </c>
      <c r="B1020" s="7" t="s">
        <v>5529</v>
      </c>
      <c r="C1020" s="7" t="s">
        <v>5530</v>
      </c>
      <c r="D1020" s="7" t="s">
        <v>5531</v>
      </c>
      <c r="E1020" s="6" t="s">
        <v>5532</v>
      </c>
      <c r="F1020" s="8" t="e">
        <f>VLOOKUP($D1020,설문!$C$2:$G$444,3,FALSE)</f>
        <v>#N/A</v>
      </c>
      <c r="G1020" s="8" t="e">
        <f>VLOOKUP($D1020,설문!$C$2:$G$444,4,FALSE)</f>
        <v>#N/A</v>
      </c>
      <c r="H1020" s="8" t="e">
        <f>VLOOKUP($D1020,설문!$C$2:$G$444,5,FALSE)</f>
        <v>#N/A</v>
      </c>
    </row>
    <row r="1021" spans="1:8">
      <c r="A1021" s="6" t="s">
        <v>142</v>
      </c>
      <c r="B1021" s="7" t="s">
        <v>1057</v>
      </c>
      <c r="C1021" s="7" t="s">
        <v>1057</v>
      </c>
      <c r="D1021" s="7" t="s">
        <v>5533</v>
      </c>
      <c r="E1021" s="6" t="s">
        <v>5534</v>
      </c>
      <c r="F1021" s="8" t="e">
        <f>VLOOKUP($D1021,설문!$C$2:$G$444,3,FALSE)</f>
        <v>#N/A</v>
      </c>
      <c r="G1021" s="8" t="e">
        <f>VLOOKUP($D1021,설문!$C$2:$G$444,4,FALSE)</f>
        <v>#N/A</v>
      </c>
      <c r="H1021" s="8" t="e">
        <f>VLOOKUP($D1021,설문!$C$2:$G$444,5,FALSE)</f>
        <v>#N/A</v>
      </c>
    </row>
    <row r="1022" spans="1:8">
      <c r="A1022" s="6" t="s">
        <v>142</v>
      </c>
      <c r="B1022" s="7" t="s">
        <v>362</v>
      </c>
      <c r="C1022" s="7" t="s">
        <v>5535</v>
      </c>
      <c r="D1022" s="7" t="s">
        <v>5536</v>
      </c>
      <c r="E1022" s="6" t="s">
        <v>5537</v>
      </c>
      <c r="F1022" s="8" t="e">
        <f>VLOOKUP($D1022,설문!$C$2:$G$444,3,FALSE)</f>
        <v>#N/A</v>
      </c>
      <c r="G1022" s="8" t="e">
        <f>VLOOKUP($D1022,설문!$C$2:$G$444,4,FALSE)</f>
        <v>#N/A</v>
      </c>
      <c r="H1022" s="8" t="e">
        <f>VLOOKUP($D1022,설문!$C$2:$G$444,5,FALSE)</f>
        <v>#N/A</v>
      </c>
    </row>
    <row r="1023" spans="1:8">
      <c r="A1023" s="6" t="s">
        <v>142</v>
      </c>
      <c r="B1023" s="7" t="s">
        <v>1057</v>
      </c>
      <c r="C1023" s="7" t="s">
        <v>1057</v>
      </c>
      <c r="D1023" s="7" t="s">
        <v>5538</v>
      </c>
      <c r="E1023" s="6" t="s">
        <v>5539</v>
      </c>
      <c r="F1023" s="8" t="e">
        <f>VLOOKUP($D1023,설문!$C$2:$G$444,3,FALSE)</f>
        <v>#N/A</v>
      </c>
      <c r="G1023" s="8" t="e">
        <f>VLOOKUP($D1023,설문!$C$2:$G$444,4,FALSE)</f>
        <v>#N/A</v>
      </c>
      <c r="H1023" s="8" t="e">
        <f>VLOOKUP($D1023,설문!$C$2:$G$444,5,FALSE)</f>
        <v>#N/A</v>
      </c>
    </row>
    <row r="1024" spans="1:8">
      <c r="A1024" s="6" t="s">
        <v>142</v>
      </c>
      <c r="B1024" s="7" t="s">
        <v>1438</v>
      </c>
      <c r="C1024" s="7" t="s">
        <v>1438</v>
      </c>
      <c r="D1024" s="7" t="s">
        <v>5540</v>
      </c>
      <c r="E1024" s="6" t="s">
        <v>5541</v>
      </c>
      <c r="F1024" s="8" t="e">
        <f>VLOOKUP($D1024,설문!$C$2:$G$444,3,FALSE)</f>
        <v>#N/A</v>
      </c>
      <c r="G1024" s="8" t="e">
        <f>VLOOKUP($D1024,설문!$C$2:$G$444,4,FALSE)</f>
        <v>#N/A</v>
      </c>
      <c r="H1024" s="8" t="e">
        <f>VLOOKUP($D1024,설문!$C$2:$G$444,5,FALSE)</f>
        <v>#N/A</v>
      </c>
    </row>
    <row r="1025" spans="1:8">
      <c r="A1025" s="6" t="s">
        <v>142</v>
      </c>
      <c r="B1025" s="7" t="s">
        <v>188</v>
      </c>
      <c r="C1025" s="7" t="s">
        <v>188</v>
      </c>
      <c r="D1025" s="7" t="s">
        <v>6631</v>
      </c>
      <c r="E1025" s="6" t="s">
        <v>6632</v>
      </c>
      <c r="F1025" s="8" t="str">
        <f>VLOOKUP($D1025,설문!$C$2:$G$444,3,FALSE)</f>
        <v>딜러</v>
      </c>
      <c r="G1025" s="8" t="str">
        <f>VLOOKUP($D1025,설문!$C$2:$G$444,4,FALSE)</f>
        <v>금융회사</v>
      </c>
      <c r="H1025" s="8" t="str">
        <f>VLOOKUP($D1025,설문!$C$2:$G$444,5,FALSE)</f>
        <v>국고채/통안채,회사채,단기자금,국채선물,Korean Paper,외화채권(KP제외),외화채권선물,원화 구조화채권,국내주식/지수관련파생,외화 구조화채권,원화 이자율스왑,외화 이자율스왑,FX Spot &amp; FX Swap,CRS &amp; FX Option,신용파생,원자재파생,해외주식/지수관련파생,ELS/DLS,대체투자(부동산/인프라)</v>
      </c>
    </row>
    <row r="1026" spans="1:8">
      <c r="A1026" s="6" t="s">
        <v>142</v>
      </c>
      <c r="B1026" s="7" t="s">
        <v>6633</v>
      </c>
      <c r="C1026" s="7" t="s">
        <v>6633</v>
      </c>
      <c r="D1026" s="7" t="s">
        <v>6634</v>
      </c>
      <c r="E1026" s="6" t="s">
        <v>6635</v>
      </c>
      <c r="F1026" s="8" t="str">
        <f>VLOOKUP($D1026,설문!$C$2:$G$444,3,FALSE)</f>
        <v>펀드매니저,세일즈</v>
      </c>
      <c r="G1026" s="8" t="str">
        <f>VLOOKUP($D1026,설문!$C$2:$G$444,4,FALSE)</f>
        <v>금융회사,금융 유관기관</v>
      </c>
      <c r="H1026" s="8" t="str">
        <f>VLOOKUP($D1026,설문!$C$2:$G$444,5,FALSE)</f>
        <v>회사채,원화 구조화채권</v>
      </c>
    </row>
    <row r="1027" spans="1:8">
      <c r="A1027" s="6" t="s">
        <v>142</v>
      </c>
      <c r="B1027" s="7" t="s">
        <v>216</v>
      </c>
      <c r="C1027" s="7" t="s">
        <v>216</v>
      </c>
      <c r="D1027" s="7" t="s">
        <v>6636</v>
      </c>
      <c r="E1027" s="6" t="s">
        <v>6637</v>
      </c>
      <c r="F1027" s="8" t="e">
        <f>VLOOKUP($D1027,설문!$C$2:$G$444,3,FALSE)</f>
        <v>#N/A</v>
      </c>
      <c r="G1027" s="8" t="e">
        <f>VLOOKUP($D1027,설문!$C$2:$G$444,4,FALSE)</f>
        <v>#N/A</v>
      </c>
      <c r="H1027" s="8" t="e">
        <f>VLOOKUP($D1027,설문!$C$2:$G$444,5,FALSE)</f>
        <v>#N/A</v>
      </c>
    </row>
    <row r="1028" spans="1:8">
      <c r="A1028" s="6" t="s">
        <v>142</v>
      </c>
      <c r="B1028" s="7" t="s">
        <v>216</v>
      </c>
      <c r="C1028" s="7" t="s">
        <v>216</v>
      </c>
      <c r="D1028" s="7" t="s">
        <v>6638</v>
      </c>
      <c r="E1028" s="6" t="s">
        <v>6639</v>
      </c>
      <c r="F1028" s="8" t="str">
        <f>VLOOKUP($D1028,설문!$C$2:$G$444,3,FALSE)</f>
        <v>펀드매니저</v>
      </c>
      <c r="G1028" s="8" t="str">
        <f>VLOOKUP($D1028,설문!$C$2:$G$444,4,FALSE)</f>
        <v>금융회사,일반기업고객</v>
      </c>
      <c r="H1028" s="8" t="str">
        <f>VLOOKUP($D1028,설문!$C$2:$G$444,5,FALSE)</f>
        <v>국고채/통안채,소액채권,국채선물,원화 구조화채권</v>
      </c>
    </row>
    <row r="1029" spans="1:8">
      <c r="A1029" s="6" t="s">
        <v>142</v>
      </c>
      <c r="B1029" s="7" t="s">
        <v>216</v>
      </c>
      <c r="C1029" s="7" t="s">
        <v>216</v>
      </c>
      <c r="D1029" s="7" t="s">
        <v>6640</v>
      </c>
      <c r="E1029" s="6" t="s">
        <v>6641</v>
      </c>
      <c r="F1029" s="8" t="e">
        <f>VLOOKUP($D1029,설문!$C$2:$G$444,3,FALSE)</f>
        <v>#N/A</v>
      </c>
      <c r="G1029" s="8" t="e">
        <f>VLOOKUP($D1029,설문!$C$2:$G$444,4,FALSE)</f>
        <v>#N/A</v>
      </c>
      <c r="H1029" s="8" t="e">
        <f>VLOOKUP($D1029,설문!$C$2:$G$444,5,FALSE)</f>
        <v>#N/A</v>
      </c>
    </row>
    <row r="1030" spans="1:8">
      <c r="A1030" s="6" t="s">
        <v>142</v>
      </c>
      <c r="B1030" s="7" t="s">
        <v>6642</v>
      </c>
      <c r="C1030" s="7" t="s">
        <v>6642</v>
      </c>
      <c r="D1030" s="7" t="s">
        <v>6643</v>
      </c>
      <c r="E1030" s="6" t="s">
        <v>2331</v>
      </c>
      <c r="F1030" s="8" t="e">
        <f>VLOOKUP($D1030,설문!$C$2:$G$444,3,FALSE)</f>
        <v>#N/A</v>
      </c>
      <c r="G1030" s="8" t="e">
        <f>VLOOKUP($D1030,설문!$C$2:$G$444,4,FALSE)</f>
        <v>#N/A</v>
      </c>
      <c r="H1030" s="8" t="e">
        <f>VLOOKUP($D1030,설문!$C$2:$G$444,5,FALSE)</f>
        <v>#N/A</v>
      </c>
    </row>
    <row r="1031" spans="1:8">
      <c r="A1031" s="6" t="s">
        <v>142</v>
      </c>
      <c r="B1031" s="7" t="s">
        <v>6644</v>
      </c>
      <c r="C1031" s="7" t="s">
        <v>6645</v>
      </c>
      <c r="D1031" s="7" t="s">
        <v>6646</v>
      </c>
      <c r="E1031" s="6" t="s">
        <v>6647</v>
      </c>
      <c r="F1031" s="8" t="e">
        <f>VLOOKUP($D1031,설문!$C$2:$G$444,3,FALSE)</f>
        <v>#N/A</v>
      </c>
      <c r="G1031" s="8" t="e">
        <f>VLOOKUP($D1031,설문!$C$2:$G$444,4,FALSE)</f>
        <v>#N/A</v>
      </c>
      <c r="H1031" s="8" t="e">
        <f>VLOOKUP($D1031,설문!$C$2:$G$444,5,FALSE)</f>
        <v>#N/A</v>
      </c>
    </row>
    <row r="1032" spans="1:8">
      <c r="A1032" s="6" t="s">
        <v>142</v>
      </c>
      <c r="B1032" s="7" t="s">
        <v>6644</v>
      </c>
      <c r="C1032" s="7" t="s">
        <v>6648</v>
      </c>
      <c r="D1032" s="7" t="s">
        <v>6649</v>
      </c>
      <c r="E1032" s="6" t="s">
        <v>6650</v>
      </c>
      <c r="F1032" s="8" t="e">
        <f>VLOOKUP($D1032,설문!$C$2:$G$444,3,FALSE)</f>
        <v>#N/A</v>
      </c>
      <c r="G1032" s="8" t="e">
        <f>VLOOKUP($D1032,설문!$C$2:$G$444,4,FALSE)</f>
        <v>#N/A</v>
      </c>
      <c r="H1032" s="8" t="e">
        <f>VLOOKUP($D1032,설문!$C$2:$G$444,5,FALSE)</f>
        <v>#N/A</v>
      </c>
    </row>
    <row r="1033" spans="1:8">
      <c r="A1033" s="6" t="s">
        <v>142</v>
      </c>
      <c r="B1033" s="7" t="s">
        <v>5510</v>
      </c>
      <c r="C1033" s="7" t="s">
        <v>5510</v>
      </c>
      <c r="D1033" s="7" t="s">
        <v>6651</v>
      </c>
      <c r="E1033" s="6" t="s">
        <v>6652</v>
      </c>
      <c r="F1033" s="8" t="e">
        <f>VLOOKUP($D1033,설문!$C$2:$G$444,3,FALSE)</f>
        <v>#N/A</v>
      </c>
      <c r="G1033" s="8" t="e">
        <f>VLOOKUP($D1033,설문!$C$2:$G$444,4,FALSE)</f>
        <v>#N/A</v>
      </c>
      <c r="H1033" s="8" t="e">
        <f>VLOOKUP($D1033,설문!$C$2:$G$444,5,FALSE)</f>
        <v>#N/A</v>
      </c>
    </row>
    <row r="1034" spans="1:8">
      <c r="A1034" s="6" t="s">
        <v>142</v>
      </c>
      <c r="B1034" s="7" t="s">
        <v>6644</v>
      </c>
      <c r="C1034" s="7" t="s">
        <v>6645</v>
      </c>
      <c r="D1034" s="7" t="s">
        <v>6653</v>
      </c>
      <c r="E1034" s="6" t="s">
        <v>6654</v>
      </c>
      <c r="F1034" s="8" t="e">
        <f>VLOOKUP($D1034,설문!$C$2:$G$444,3,FALSE)</f>
        <v>#N/A</v>
      </c>
      <c r="G1034" s="8" t="e">
        <f>VLOOKUP($D1034,설문!$C$2:$G$444,4,FALSE)</f>
        <v>#N/A</v>
      </c>
      <c r="H1034" s="8" t="e">
        <f>VLOOKUP($D1034,설문!$C$2:$G$444,5,FALSE)</f>
        <v>#N/A</v>
      </c>
    </row>
    <row r="1035" spans="1:8">
      <c r="A1035" s="6" t="s">
        <v>142</v>
      </c>
      <c r="B1035" s="7" t="s">
        <v>1481</v>
      </c>
      <c r="C1035" s="7" t="s">
        <v>1481</v>
      </c>
      <c r="D1035" s="7" t="s">
        <v>6655</v>
      </c>
      <c r="E1035" s="6" t="s">
        <v>2066</v>
      </c>
      <c r="F1035" s="8" t="e">
        <f>VLOOKUP($D1035,설문!$C$2:$G$444,3,FALSE)</f>
        <v>#N/A</v>
      </c>
      <c r="G1035" s="8" t="e">
        <f>VLOOKUP($D1035,설문!$C$2:$G$444,4,FALSE)</f>
        <v>#N/A</v>
      </c>
      <c r="H1035" s="8" t="e">
        <f>VLOOKUP($D1035,설문!$C$2:$G$444,5,FALSE)</f>
        <v>#N/A</v>
      </c>
    </row>
    <row r="1036" spans="1:8">
      <c r="A1036" s="6" t="s">
        <v>142</v>
      </c>
      <c r="B1036" s="7" t="s">
        <v>1858</v>
      </c>
      <c r="C1036" s="7" t="s">
        <v>1858</v>
      </c>
      <c r="D1036" s="7" t="s">
        <v>6656</v>
      </c>
      <c r="E1036" s="6" t="s">
        <v>6657</v>
      </c>
      <c r="F1036" s="8" t="e">
        <f>VLOOKUP($D1036,설문!$C$2:$G$444,3,FALSE)</f>
        <v>#N/A</v>
      </c>
      <c r="G1036" s="8" t="e">
        <f>VLOOKUP($D1036,설문!$C$2:$G$444,4,FALSE)</f>
        <v>#N/A</v>
      </c>
      <c r="H1036" s="8" t="e">
        <f>VLOOKUP($D1036,설문!$C$2:$G$444,5,FALSE)</f>
        <v>#N/A</v>
      </c>
    </row>
    <row r="1037" spans="1:8">
      <c r="A1037" s="6" t="s">
        <v>142</v>
      </c>
      <c r="B1037" s="7" t="s">
        <v>6658</v>
      </c>
      <c r="C1037" s="7" t="s">
        <v>6658</v>
      </c>
      <c r="D1037" s="7" t="s">
        <v>6659</v>
      </c>
      <c r="E1037" s="6" t="s">
        <v>6660</v>
      </c>
      <c r="F1037" s="8" t="e">
        <f>VLOOKUP($D1037,설문!$C$2:$G$444,3,FALSE)</f>
        <v>#N/A</v>
      </c>
      <c r="G1037" s="8" t="e">
        <f>VLOOKUP($D1037,설문!$C$2:$G$444,4,FALSE)</f>
        <v>#N/A</v>
      </c>
      <c r="H1037" s="8" t="e">
        <f>VLOOKUP($D1037,설문!$C$2:$G$444,5,FALSE)</f>
        <v>#N/A</v>
      </c>
    </row>
    <row r="1038" spans="1:8">
      <c r="A1038" s="6" t="s">
        <v>142</v>
      </c>
      <c r="B1038" s="7" t="s">
        <v>6661</v>
      </c>
      <c r="C1038" s="7" t="s">
        <v>6661</v>
      </c>
      <c r="D1038" s="7" t="s">
        <v>6662</v>
      </c>
      <c r="E1038" s="6" t="s">
        <v>6663</v>
      </c>
      <c r="F1038" s="8" t="e">
        <f>VLOOKUP($D1038,설문!$C$2:$G$444,3,FALSE)</f>
        <v>#N/A</v>
      </c>
      <c r="G1038" s="8" t="e">
        <f>VLOOKUP($D1038,설문!$C$2:$G$444,4,FALSE)</f>
        <v>#N/A</v>
      </c>
      <c r="H1038" s="8" t="e">
        <f>VLOOKUP($D1038,설문!$C$2:$G$444,5,FALSE)</f>
        <v>#N/A</v>
      </c>
    </row>
    <row r="1039" spans="1:8">
      <c r="A1039" s="6" t="s">
        <v>142</v>
      </c>
      <c r="B1039" s="7" t="s">
        <v>6664</v>
      </c>
      <c r="C1039" s="7" t="s">
        <v>6664</v>
      </c>
      <c r="D1039" s="7" t="s">
        <v>6665</v>
      </c>
      <c r="E1039" s="6" t="s">
        <v>6666</v>
      </c>
      <c r="F1039" s="8" t="e">
        <f>VLOOKUP($D1039,설문!$C$2:$G$444,3,FALSE)</f>
        <v>#N/A</v>
      </c>
      <c r="G1039" s="8" t="e">
        <f>VLOOKUP($D1039,설문!$C$2:$G$444,4,FALSE)</f>
        <v>#N/A</v>
      </c>
      <c r="H1039" s="8" t="e">
        <f>VLOOKUP($D1039,설문!$C$2:$G$444,5,FALSE)</f>
        <v>#N/A</v>
      </c>
    </row>
    <row r="1040" spans="1:8">
      <c r="A1040" s="6" t="s">
        <v>142</v>
      </c>
      <c r="B1040" s="7" t="s">
        <v>188</v>
      </c>
      <c r="C1040" s="7" t="s">
        <v>188</v>
      </c>
      <c r="D1040" s="7" t="s">
        <v>6667</v>
      </c>
      <c r="E1040" s="6" t="s">
        <v>6668</v>
      </c>
      <c r="F1040" s="8" t="e">
        <f>VLOOKUP($D1040,설문!$C$2:$G$444,3,FALSE)</f>
        <v>#N/A</v>
      </c>
      <c r="G1040" s="8" t="e">
        <f>VLOOKUP($D1040,설문!$C$2:$G$444,4,FALSE)</f>
        <v>#N/A</v>
      </c>
      <c r="H1040" s="8" t="e">
        <f>VLOOKUP($D1040,설문!$C$2:$G$444,5,FALSE)</f>
        <v>#N/A</v>
      </c>
    </row>
    <row r="1041" spans="1:8">
      <c r="A1041" s="6" t="s">
        <v>142</v>
      </c>
      <c r="B1041" s="7" t="s">
        <v>188</v>
      </c>
      <c r="C1041" s="7" t="s">
        <v>188</v>
      </c>
      <c r="D1041" s="7" t="s">
        <v>6669</v>
      </c>
      <c r="E1041" s="6" t="s">
        <v>6670</v>
      </c>
      <c r="F1041" s="8" t="e">
        <f>VLOOKUP($D1041,설문!$C$2:$G$444,3,FALSE)</f>
        <v>#N/A</v>
      </c>
      <c r="G1041" s="8" t="e">
        <f>VLOOKUP($D1041,설문!$C$2:$G$444,4,FALSE)</f>
        <v>#N/A</v>
      </c>
      <c r="H1041" s="8" t="e">
        <f>VLOOKUP($D1041,설문!$C$2:$G$444,5,FALSE)</f>
        <v>#N/A</v>
      </c>
    </row>
    <row r="1042" spans="1:8">
      <c r="A1042" s="6" t="s">
        <v>142</v>
      </c>
      <c r="B1042" s="7" t="s">
        <v>6661</v>
      </c>
      <c r="C1042" s="7" t="s">
        <v>6661</v>
      </c>
      <c r="D1042" s="7" t="s">
        <v>6671</v>
      </c>
      <c r="E1042" s="6" t="s">
        <v>6672</v>
      </c>
      <c r="F1042" s="8" t="e">
        <f>VLOOKUP($D1042,설문!$C$2:$G$444,3,FALSE)</f>
        <v>#N/A</v>
      </c>
      <c r="G1042" s="8" t="e">
        <f>VLOOKUP($D1042,설문!$C$2:$G$444,4,FALSE)</f>
        <v>#N/A</v>
      </c>
      <c r="H1042" s="8" t="e">
        <f>VLOOKUP($D1042,설문!$C$2:$G$444,5,FALSE)</f>
        <v>#N/A</v>
      </c>
    </row>
    <row r="1043" spans="1:8">
      <c r="A1043" s="6" t="s">
        <v>142</v>
      </c>
      <c r="B1043" s="7" t="s">
        <v>188</v>
      </c>
      <c r="C1043" s="7" t="s">
        <v>188</v>
      </c>
      <c r="D1043" s="7" t="s">
        <v>6673</v>
      </c>
      <c r="E1043" s="6" t="s">
        <v>6674</v>
      </c>
      <c r="F1043" s="8" t="e">
        <f>VLOOKUP($D1043,설문!$C$2:$G$444,3,FALSE)</f>
        <v>#N/A</v>
      </c>
      <c r="G1043" s="8" t="e">
        <f>VLOOKUP($D1043,설문!$C$2:$G$444,4,FALSE)</f>
        <v>#N/A</v>
      </c>
      <c r="H1043" s="8" t="e">
        <f>VLOOKUP($D1043,설문!$C$2:$G$444,5,FALSE)</f>
        <v>#N/A</v>
      </c>
    </row>
    <row r="1044" spans="1:8">
      <c r="A1044" s="6" t="s">
        <v>142</v>
      </c>
      <c r="B1044" s="7" t="s">
        <v>188</v>
      </c>
      <c r="C1044" s="7" t="s">
        <v>188</v>
      </c>
      <c r="D1044" s="7" t="s">
        <v>6675</v>
      </c>
      <c r="E1044" s="6" t="s">
        <v>6676</v>
      </c>
      <c r="F1044" s="8" t="e">
        <f>VLOOKUP($D1044,설문!$C$2:$G$444,3,FALSE)</f>
        <v>#N/A</v>
      </c>
      <c r="G1044" s="8" t="e">
        <f>VLOOKUP($D1044,설문!$C$2:$G$444,4,FALSE)</f>
        <v>#N/A</v>
      </c>
      <c r="H1044" s="8" t="e">
        <f>VLOOKUP($D1044,설문!$C$2:$G$444,5,FALSE)</f>
        <v>#N/A</v>
      </c>
    </row>
    <row r="1045" spans="1:8">
      <c r="A1045" s="6" t="s">
        <v>142</v>
      </c>
      <c r="B1045" s="7" t="s">
        <v>1791</v>
      </c>
      <c r="C1045" s="7" t="s">
        <v>1791</v>
      </c>
      <c r="D1045" s="7" t="s">
        <v>6677</v>
      </c>
      <c r="E1045" s="6" t="s">
        <v>6678</v>
      </c>
      <c r="F1045" s="8" t="e">
        <f>VLOOKUP($D1045,설문!$C$2:$G$444,3,FALSE)</f>
        <v>#N/A</v>
      </c>
      <c r="G1045" s="8" t="e">
        <f>VLOOKUP($D1045,설문!$C$2:$G$444,4,FALSE)</f>
        <v>#N/A</v>
      </c>
      <c r="H1045" s="8" t="e">
        <f>VLOOKUP($D1045,설문!$C$2:$G$444,5,FALSE)</f>
        <v>#N/A</v>
      </c>
    </row>
    <row r="1046" spans="1:8">
      <c r="A1046" s="6" t="s">
        <v>142</v>
      </c>
      <c r="B1046" s="7" t="s">
        <v>188</v>
      </c>
      <c r="C1046" s="7" t="s">
        <v>188</v>
      </c>
      <c r="D1046" s="7" t="s">
        <v>6679</v>
      </c>
      <c r="E1046" s="6" t="s">
        <v>2233</v>
      </c>
      <c r="F1046" s="8" t="e">
        <f>VLOOKUP($D1046,설문!$C$2:$G$444,3,FALSE)</f>
        <v>#N/A</v>
      </c>
      <c r="G1046" s="8" t="e">
        <f>VLOOKUP($D1046,설문!$C$2:$G$444,4,FALSE)</f>
        <v>#N/A</v>
      </c>
      <c r="H1046" s="8" t="e">
        <f>VLOOKUP($D1046,설문!$C$2:$G$444,5,FALSE)</f>
        <v>#N/A</v>
      </c>
    </row>
    <row r="1047" spans="1:8">
      <c r="A1047" s="6" t="s">
        <v>142</v>
      </c>
      <c r="B1047" s="7" t="s">
        <v>188</v>
      </c>
      <c r="C1047" s="7" t="s">
        <v>188</v>
      </c>
      <c r="D1047" s="7" t="s">
        <v>6680</v>
      </c>
      <c r="E1047" s="6" t="s">
        <v>6681</v>
      </c>
      <c r="F1047" s="8" t="e">
        <f>VLOOKUP($D1047,설문!$C$2:$G$444,3,FALSE)</f>
        <v>#N/A</v>
      </c>
      <c r="G1047" s="8" t="e">
        <f>VLOOKUP($D1047,설문!$C$2:$G$444,4,FALSE)</f>
        <v>#N/A</v>
      </c>
      <c r="H1047" s="8" t="e">
        <f>VLOOKUP($D1047,설문!$C$2:$G$444,5,FALSE)</f>
        <v>#N/A</v>
      </c>
    </row>
    <row r="1048" spans="1:8">
      <c r="A1048" s="6" t="s">
        <v>142</v>
      </c>
      <c r="B1048" s="7" t="s">
        <v>6682</v>
      </c>
      <c r="C1048" s="7" t="s">
        <v>6682</v>
      </c>
      <c r="D1048" s="7" t="s">
        <v>6683</v>
      </c>
      <c r="E1048" s="6" t="s">
        <v>6684</v>
      </c>
      <c r="F1048" s="8" t="e">
        <f>VLOOKUP($D1048,설문!$C$2:$G$444,3,FALSE)</f>
        <v>#N/A</v>
      </c>
      <c r="G1048" s="8" t="e">
        <f>VLOOKUP($D1048,설문!$C$2:$G$444,4,FALSE)</f>
        <v>#N/A</v>
      </c>
      <c r="H1048" s="8" t="e">
        <f>VLOOKUP($D1048,설문!$C$2:$G$444,5,FALSE)</f>
        <v>#N/A</v>
      </c>
    </row>
    <row r="1049" spans="1:8">
      <c r="A1049" s="6" t="s">
        <v>142</v>
      </c>
      <c r="B1049" s="7" t="s">
        <v>6685</v>
      </c>
      <c r="C1049" s="7" t="s">
        <v>6685</v>
      </c>
      <c r="D1049" s="7" t="s">
        <v>6686</v>
      </c>
      <c r="E1049" s="6" t="s">
        <v>6687</v>
      </c>
      <c r="F1049" s="8" t="str">
        <f>VLOOKUP($D1049,설문!$C$2:$G$444,3,FALSE)</f>
        <v>트레이더</v>
      </c>
      <c r="G1049" s="8" t="str">
        <f>VLOOKUP($D1049,설문!$C$2:$G$444,4,FALSE)</f>
        <v>금융회사</v>
      </c>
      <c r="H1049" s="8" t="str">
        <f>VLOOKUP($D1049,설문!$C$2:$G$444,5,FALSE)</f>
        <v>국내주식/지수</v>
      </c>
    </row>
    <row r="1050" spans="1:8">
      <c r="A1050" s="6" t="s">
        <v>142</v>
      </c>
      <c r="B1050" s="7" t="s">
        <v>285</v>
      </c>
      <c r="C1050" s="7" t="s">
        <v>6688</v>
      </c>
      <c r="D1050" s="7" t="s">
        <v>6689</v>
      </c>
      <c r="E1050" s="6" t="s">
        <v>6690</v>
      </c>
      <c r="F1050" s="8" t="e">
        <f>VLOOKUP($D1050,설문!$C$2:$G$444,3,FALSE)</f>
        <v>#N/A</v>
      </c>
      <c r="G1050" s="8" t="e">
        <f>VLOOKUP($D1050,설문!$C$2:$G$444,4,FALSE)</f>
        <v>#N/A</v>
      </c>
      <c r="H1050" s="8" t="e">
        <f>VLOOKUP($D1050,설문!$C$2:$G$444,5,FALSE)</f>
        <v>#N/A</v>
      </c>
    </row>
    <row r="1051" spans="1:8">
      <c r="A1051" s="6" t="s">
        <v>142</v>
      </c>
      <c r="B1051" s="7" t="s">
        <v>188</v>
      </c>
      <c r="C1051" s="7" t="s">
        <v>188</v>
      </c>
      <c r="D1051" s="7" t="s">
        <v>6691</v>
      </c>
      <c r="E1051" s="6" t="s">
        <v>6692</v>
      </c>
      <c r="F1051" s="8" t="e">
        <f>VLOOKUP($D1051,설문!$C$2:$G$444,3,FALSE)</f>
        <v>#N/A</v>
      </c>
      <c r="G1051" s="8" t="e">
        <f>VLOOKUP($D1051,설문!$C$2:$G$444,4,FALSE)</f>
        <v>#N/A</v>
      </c>
      <c r="H1051" s="8" t="e">
        <f>VLOOKUP($D1051,설문!$C$2:$G$444,5,FALSE)</f>
        <v>#N/A</v>
      </c>
    </row>
    <row r="1052" spans="1:8">
      <c r="A1052" s="6" t="s">
        <v>142</v>
      </c>
      <c r="B1052" s="7" t="s">
        <v>285</v>
      </c>
      <c r="C1052" s="7" t="s">
        <v>6693</v>
      </c>
      <c r="D1052" s="7" t="s">
        <v>6694</v>
      </c>
      <c r="E1052" s="6" t="s">
        <v>6695</v>
      </c>
      <c r="F1052" s="8" t="e">
        <f>VLOOKUP($D1052,설문!$C$2:$G$444,3,FALSE)</f>
        <v>#N/A</v>
      </c>
      <c r="G1052" s="8" t="e">
        <f>VLOOKUP($D1052,설문!$C$2:$G$444,4,FALSE)</f>
        <v>#N/A</v>
      </c>
      <c r="H1052" s="8" t="e">
        <f>VLOOKUP($D1052,설문!$C$2:$G$444,5,FALSE)</f>
        <v>#N/A</v>
      </c>
    </row>
    <row r="1053" spans="1:8">
      <c r="A1053" s="6" t="s">
        <v>142</v>
      </c>
      <c r="B1053" s="7" t="s">
        <v>6696</v>
      </c>
      <c r="C1053" s="7" t="s">
        <v>6696</v>
      </c>
      <c r="D1053" s="7" t="s">
        <v>6697</v>
      </c>
      <c r="E1053" s="6" t="s">
        <v>6698</v>
      </c>
      <c r="F1053" s="8" t="e">
        <f>VLOOKUP($D1053,설문!$C$2:$G$444,3,FALSE)</f>
        <v>#N/A</v>
      </c>
      <c r="G1053" s="8" t="e">
        <f>VLOOKUP($D1053,설문!$C$2:$G$444,4,FALSE)</f>
        <v>#N/A</v>
      </c>
      <c r="H1053" s="8" t="e">
        <f>VLOOKUP($D1053,설문!$C$2:$G$444,5,FALSE)</f>
        <v>#N/A</v>
      </c>
    </row>
    <row r="1054" spans="1:8">
      <c r="A1054" s="6" t="s">
        <v>142</v>
      </c>
      <c r="B1054" s="7" t="s">
        <v>6699</v>
      </c>
      <c r="C1054" s="7" t="s">
        <v>6699</v>
      </c>
      <c r="D1054" s="7" t="s">
        <v>6700</v>
      </c>
      <c r="E1054" s="6" t="s">
        <v>6701</v>
      </c>
      <c r="F1054" s="8" t="e">
        <f>VLOOKUP($D1054,설문!$C$2:$G$444,3,FALSE)</f>
        <v>#N/A</v>
      </c>
      <c r="G1054" s="8" t="e">
        <f>VLOOKUP($D1054,설문!$C$2:$G$444,4,FALSE)</f>
        <v>#N/A</v>
      </c>
      <c r="H1054" s="8" t="e">
        <f>VLOOKUP($D1054,설문!$C$2:$G$444,5,FALSE)</f>
        <v>#N/A</v>
      </c>
    </row>
    <row r="1055" spans="1:8">
      <c r="A1055" s="6" t="s">
        <v>142</v>
      </c>
      <c r="B1055" s="7" t="s">
        <v>6699</v>
      </c>
      <c r="C1055" s="7" t="s">
        <v>6699</v>
      </c>
      <c r="D1055" s="7" t="s">
        <v>6702</v>
      </c>
      <c r="E1055" s="6" t="s">
        <v>6703</v>
      </c>
      <c r="F1055" s="8" t="e">
        <f>VLOOKUP($D1055,설문!$C$2:$G$444,3,FALSE)</f>
        <v>#N/A</v>
      </c>
      <c r="G1055" s="8" t="e">
        <f>VLOOKUP($D1055,설문!$C$2:$G$444,4,FALSE)</f>
        <v>#N/A</v>
      </c>
      <c r="H1055" s="8" t="e">
        <f>VLOOKUP($D1055,설문!$C$2:$G$444,5,FALSE)</f>
        <v>#N/A</v>
      </c>
    </row>
    <row r="1056" spans="1:8">
      <c r="A1056" s="6" t="s">
        <v>142</v>
      </c>
      <c r="B1056" s="7" t="s">
        <v>6699</v>
      </c>
      <c r="C1056" s="7" t="s">
        <v>6699</v>
      </c>
      <c r="D1056" s="7" t="s">
        <v>6704</v>
      </c>
      <c r="E1056" s="6" t="s">
        <v>6705</v>
      </c>
      <c r="F1056" s="8" t="e">
        <f>VLOOKUP($D1056,설문!$C$2:$G$444,3,FALSE)</f>
        <v>#N/A</v>
      </c>
      <c r="G1056" s="8" t="e">
        <f>VLOOKUP($D1056,설문!$C$2:$G$444,4,FALSE)</f>
        <v>#N/A</v>
      </c>
      <c r="H1056" s="8" t="e">
        <f>VLOOKUP($D1056,설문!$C$2:$G$444,5,FALSE)</f>
        <v>#N/A</v>
      </c>
    </row>
    <row r="1057" spans="1:8">
      <c r="A1057" s="6" t="s">
        <v>142</v>
      </c>
      <c r="B1057" s="7" t="s">
        <v>6706</v>
      </c>
      <c r="C1057" s="7" t="s">
        <v>6706</v>
      </c>
      <c r="D1057" s="7" t="s">
        <v>6707</v>
      </c>
      <c r="E1057" s="6" t="s">
        <v>6708</v>
      </c>
      <c r="F1057" s="8" t="e">
        <f>VLOOKUP($D1057,설문!$C$2:$G$444,3,FALSE)</f>
        <v>#N/A</v>
      </c>
      <c r="G1057" s="8" t="e">
        <f>VLOOKUP($D1057,설문!$C$2:$G$444,4,FALSE)</f>
        <v>#N/A</v>
      </c>
      <c r="H1057" s="8" t="e">
        <f>VLOOKUP($D1057,설문!$C$2:$G$444,5,FALSE)</f>
        <v>#N/A</v>
      </c>
    </row>
    <row r="1058" spans="1:8">
      <c r="A1058" s="6" t="s">
        <v>142</v>
      </c>
      <c r="B1058" s="7" t="s">
        <v>6706</v>
      </c>
      <c r="C1058" s="7" t="s">
        <v>6706</v>
      </c>
      <c r="D1058" s="7" t="s">
        <v>6709</v>
      </c>
      <c r="E1058" s="6" t="s">
        <v>6708</v>
      </c>
      <c r="F1058" s="8" t="str">
        <f>VLOOKUP($D1058,설문!$C$2:$G$444,3,FALSE)</f>
        <v>펀드매니저</v>
      </c>
      <c r="G1058" s="8" t="str">
        <f>VLOOKUP($D1058,설문!$C$2:$G$444,4,FALSE)</f>
        <v>금융회사</v>
      </c>
      <c r="H1058" s="8" t="str">
        <f>VLOOKUP($D1058,설문!$C$2:$G$444,5,FALSE)</f>
        <v>국내주식/지수</v>
      </c>
    </row>
    <row r="1059" spans="1:8">
      <c r="A1059" s="6" t="s">
        <v>142</v>
      </c>
      <c r="B1059" s="7" t="s">
        <v>6710</v>
      </c>
      <c r="C1059" s="7" t="s">
        <v>6710</v>
      </c>
      <c r="D1059" s="7" t="s">
        <v>6711</v>
      </c>
      <c r="E1059" s="6" t="s">
        <v>6712</v>
      </c>
      <c r="F1059" s="8" t="e">
        <f>VLOOKUP($D1059,설문!$C$2:$G$444,3,FALSE)</f>
        <v>#N/A</v>
      </c>
      <c r="G1059" s="8" t="e">
        <f>VLOOKUP($D1059,설문!$C$2:$G$444,4,FALSE)</f>
        <v>#N/A</v>
      </c>
      <c r="H1059" s="8" t="e">
        <f>VLOOKUP($D1059,설문!$C$2:$G$444,5,FALSE)</f>
        <v>#N/A</v>
      </c>
    </row>
    <row r="1060" spans="1:8">
      <c r="A1060" s="6" t="s">
        <v>142</v>
      </c>
      <c r="B1060" s="7" t="s">
        <v>6713</v>
      </c>
      <c r="C1060" s="7" t="s">
        <v>6713</v>
      </c>
      <c r="D1060" s="7" t="s">
        <v>6714</v>
      </c>
      <c r="E1060" s="6" t="s">
        <v>6715</v>
      </c>
      <c r="F1060" s="8" t="e">
        <f>VLOOKUP($D1060,설문!$C$2:$G$444,3,FALSE)</f>
        <v>#N/A</v>
      </c>
      <c r="G1060" s="8" t="e">
        <f>VLOOKUP($D1060,설문!$C$2:$G$444,4,FALSE)</f>
        <v>#N/A</v>
      </c>
      <c r="H1060" s="8" t="e">
        <f>VLOOKUP($D1060,설문!$C$2:$G$444,5,FALSE)</f>
        <v>#N/A</v>
      </c>
    </row>
    <row r="1061" spans="1:8">
      <c r="A1061" s="6" t="s">
        <v>142</v>
      </c>
      <c r="B1061" s="7" t="s">
        <v>6716</v>
      </c>
      <c r="C1061" s="7" t="s">
        <v>6716</v>
      </c>
      <c r="D1061" s="7" t="s">
        <v>6717</v>
      </c>
      <c r="E1061" s="6" t="s">
        <v>1585</v>
      </c>
      <c r="F1061" s="8" t="e">
        <f>VLOOKUP($D1061,설문!$C$2:$G$444,3,FALSE)</f>
        <v>#N/A</v>
      </c>
      <c r="G1061" s="8" t="e">
        <f>VLOOKUP($D1061,설문!$C$2:$G$444,4,FALSE)</f>
        <v>#N/A</v>
      </c>
      <c r="H1061" s="8" t="e">
        <f>VLOOKUP($D1061,설문!$C$2:$G$444,5,FALSE)</f>
        <v>#N/A</v>
      </c>
    </row>
    <row r="1062" spans="1:8">
      <c r="A1062" s="6" t="s">
        <v>142</v>
      </c>
      <c r="B1062" s="7" t="s">
        <v>6718</v>
      </c>
      <c r="C1062" s="7" t="s">
        <v>6718</v>
      </c>
      <c r="D1062" s="7" t="s">
        <v>6719</v>
      </c>
      <c r="E1062" s="6" t="s">
        <v>4355</v>
      </c>
      <c r="F1062" s="8" t="e">
        <f>VLOOKUP($D1062,설문!$C$2:$G$444,3,FALSE)</f>
        <v>#N/A</v>
      </c>
      <c r="G1062" s="8" t="e">
        <f>VLOOKUP($D1062,설문!$C$2:$G$444,4,FALSE)</f>
        <v>#N/A</v>
      </c>
      <c r="H1062" s="8" t="e">
        <f>VLOOKUP($D1062,설문!$C$2:$G$444,5,FALSE)</f>
        <v>#N/A</v>
      </c>
    </row>
    <row r="1063" spans="1:8">
      <c r="A1063" s="6" t="s">
        <v>142</v>
      </c>
      <c r="B1063" s="7" t="s">
        <v>6664</v>
      </c>
      <c r="C1063" s="7" t="s">
        <v>6664</v>
      </c>
      <c r="D1063" s="7" t="s">
        <v>6720</v>
      </c>
      <c r="E1063" s="6" t="s">
        <v>6721</v>
      </c>
      <c r="F1063" s="8" t="str">
        <f>VLOOKUP($D1063,설문!$C$2:$G$444,3,FALSE)</f>
        <v>브로커</v>
      </c>
      <c r="G1063" s="8" t="str">
        <f>VLOOKUP($D1063,설문!$C$2:$G$444,4,FALSE)</f>
        <v>금융회사</v>
      </c>
      <c r="H1063" s="8" t="str">
        <f>VLOOKUP($D1063,설문!$C$2:$G$444,5,FALSE)</f>
        <v>국내주식/지수,국내주식/지수관련파생</v>
      </c>
    </row>
    <row r="1064" spans="1:8">
      <c r="A1064" s="6" t="s">
        <v>142</v>
      </c>
      <c r="B1064" s="7" t="s">
        <v>3326</v>
      </c>
      <c r="C1064" s="7" t="s">
        <v>3326</v>
      </c>
      <c r="D1064" s="7" t="s">
        <v>6722</v>
      </c>
      <c r="E1064" s="6" t="s">
        <v>913</v>
      </c>
      <c r="F1064" s="8" t="e">
        <f>VLOOKUP($D1064,설문!$C$2:$G$444,3,FALSE)</f>
        <v>#N/A</v>
      </c>
      <c r="G1064" s="8" t="e">
        <f>VLOOKUP($D1064,설문!$C$2:$G$444,4,FALSE)</f>
        <v>#N/A</v>
      </c>
      <c r="H1064" s="8" t="e">
        <f>VLOOKUP($D1064,설문!$C$2:$G$444,5,FALSE)</f>
        <v>#N/A</v>
      </c>
    </row>
    <row r="1065" spans="1:8">
      <c r="A1065" s="6" t="s">
        <v>142</v>
      </c>
      <c r="B1065" s="7" t="s">
        <v>3326</v>
      </c>
      <c r="C1065" s="7" t="s">
        <v>3326</v>
      </c>
      <c r="D1065" s="7" t="s">
        <v>6723</v>
      </c>
      <c r="E1065" s="6" t="s">
        <v>6724</v>
      </c>
      <c r="F1065" s="8" t="e">
        <f>VLOOKUP($D1065,설문!$C$2:$G$444,3,FALSE)</f>
        <v>#N/A</v>
      </c>
      <c r="G1065" s="8" t="e">
        <f>VLOOKUP($D1065,설문!$C$2:$G$444,4,FALSE)</f>
        <v>#N/A</v>
      </c>
      <c r="H1065" s="8" t="e">
        <f>VLOOKUP($D1065,설문!$C$2:$G$444,5,FALSE)</f>
        <v>#N/A</v>
      </c>
    </row>
    <row r="1066" spans="1:8">
      <c r="A1066" s="6" t="s">
        <v>142</v>
      </c>
      <c r="B1066" s="7" t="s">
        <v>3326</v>
      </c>
      <c r="C1066" s="7" t="s">
        <v>3326</v>
      </c>
      <c r="D1066" s="7" t="s">
        <v>6725</v>
      </c>
      <c r="E1066" s="6" t="s">
        <v>6726</v>
      </c>
      <c r="F1066" s="8" t="e">
        <f>VLOOKUP($D1066,설문!$C$2:$G$444,3,FALSE)</f>
        <v>#N/A</v>
      </c>
      <c r="G1066" s="8" t="e">
        <f>VLOOKUP($D1066,설문!$C$2:$G$444,4,FALSE)</f>
        <v>#N/A</v>
      </c>
      <c r="H1066" s="8" t="e">
        <f>VLOOKUP($D1066,설문!$C$2:$G$444,5,FALSE)</f>
        <v>#N/A</v>
      </c>
    </row>
    <row r="1067" spans="1:8">
      <c r="A1067" s="6" t="s">
        <v>142</v>
      </c>
      <c r="B1067" s="7" t="s">
        <v>1100</v>
      </c>
      <c r="C1067" s="7" t="s">
        <v>1100</v>
      </c>
      <c r="D1067" s="7" t="s">
        <v>6727</v>
      </c>
      <c r="E1067" s="6" t="s">
        <v>6728</v>
      </c>
      <c r="F1067" s="8" t="e">
        <f>VLOOKUP($D1067,설문!$C$2:$G$444,3,FALSE)</f>
        <v>#N/A</v>
      </c>
      <c r="G1067" s="8" t="e">
        <f>VLOOKUP($D1067,설문!$C$2:$G$444,4,FALSE)</f>
        <v>#N/A</v>
      </c>
      <c r="H1067" s="8" t="e">
        <f>VLOOKUP($D1067,설문!$C$2:$G$444,5,FALSE)</f>
        <v>#N/A</v>
      </c>
    </row>
    <row r="1068" spans="1:8">
      <c r="A1068" s="6" t="s">
        <v>142</v>
      </c>
      <c r="B1068" s="7" t="s">
        <v>1100</v>
      </c>
      <c r="C1068" s="7" t="s">
        <v>1100</v>
      </c>
      <c r="D1068" s="7" t="s">
        <v>6729</v>
      </c>
      <c r="E1068" s="6" t="s">
        <v>6730</v>
      </c>
      <c r="F1068" s="8" t="e">
        <f>VLOOKUP($D1068,설문!$C$2:$G$444,3,FALSE)</f>
        <v>#N/A</v>
      </c>
      <c r="G1068" s="8" t="e">
        <f>VLOOKUP($D1068,설문!$C$2:$G$444,4,FALSE)</f>
        <v>#N/A</v>
      </c>
      <c r="H1068" s="8" t="e">
        <f>VLOOKUP($D1068,설문!$C$2:$G$444,5,FALSE)</f>
        <v>#N/A</v>
      </c>
    </row>
    <row r="1069" spans="1:8">
      <c r="A1069" s="6" t="s">
        <v>142</v>
      </c>
      <c r="B1069" s="7" t="s">
        <v>1100</v>
      </c>
      <c r="C1069" s="7" t="s">
        <v>1100</v>
      </c>
      <c r="D1069" s="7" t="s">
        <v>6731</v>
      </c>
      <c r="E1069" s="6" t="s">
        <v>6732</v>
      </c>
      <c r="F1069" s="8" t="e">
        <f>VLOOKUP($D1069,설문!$C$2:$G$444,3,FALSE)</f>
        <v>#N/A</v>
      </c>
      <c r="G1069" s="8" t="e">
        <f>VLOOKUP($D1069,설문!$C$2:$G$444,4,FALSE)</f>
        <v>#N/A</v>
      </c>
      <c r="H1069" s="8" t="e">
        <f>VLOOKUP($D1069,설문!$C$2:$G$444,5,FALSE)</f>
        <v>#N/A</v>
      </c>
    </row>
    <row r="1070" spans="1:8">
      <c r="A1070" s="6" t="s">
        <v>142</v>
      </c>
      <c r="B1070" s="7" t="s">
        <v>1100</v>
      </c>
      <c r="C1070" s="7" t="s">
        <v>1100</v>
      </c>
      <c r="D1070" s="7" t="s">
        <v>6733</v>
      </c>
      <c r="E1070" s="6" t="s">
        <v>6734</v>
      </c>
      <c r="F1070" s="8" t="e">
        <f>VLOOKUP($D1070,설문!$C$2:$G$444,3,FALSE)</f>
        <v>#N/A</v>
      </c>
      <c r="G1070" s="8" t="e">
        <f>VLOOKUP($D1070,설문!$C$2:$G$444,4,FALSE)</f>
        <v>#N/A</v>
      </c>
      <c r="H1070" s="8" t="e">
        <f>VLOOKUP($D1070,설문!$C$2:$G$444,5,FALSE)</f>
        <v>#N/A</v>
      </c>
    </row>
    <row r="1071" spans="1:8">
      <c r="A1071" s="6" t="s">
        <v>142</v>
      </c>
      <c r="B1071" s="7" t="s">
        <v>1100</v>
      </c>
      <c r="C1071" s="7" t="s">
        <v>1100</v>
      </c>
      <c r="D1071" s="7" t="s">
        <v>6735</v>
      </c>
      <c r="E1071" s="6" t="s">
        <v>277</v>
      </c>
      <c r="F1071" s="8" t="e">
        <f>VLOOKUP($D1071,설문!$C$2:$G$444,3,FALSE)</f>
        <v>#N/A</v>
      </c>
      <c r="G1071" s="8" t="e">
        <f>VLOOKUP($D1071,설문!$C$2:$G$444,4,FALSE)</f>
        <v>#N/A</v>
      </c>
      <c r="H1071" s="8" t="e">
        <f>VLOOKUP($D1071,설문!$C$2:$G$444,5,FALSE)</f>
        <v>#N/A</v>
      </c>
    </row>
    <row r="1072" spans="1:8">
      <c r="A1072" s="6" t="s">
        <v>142</v>
      </c>
      <c r="B1072" s="7" t="s">
        <v>6736</v>
      </c>
      <c r="C1072" s="7" t="s">
        <v>6736</v>
      </c>
      <c r="D1072" s="7" t="s">
        <v>6737</v>
      </c>
      <c r="E1072" s="6" t="s">
        <v>6738</v>
      </c>
      <c r="F1072" s="8" t="e">
        <f>VLOOKUP($D1072,설문!$C$2:$G$444,3,FALSE)</f>
        <v>#N/A</v>
      </c>
      <c r="G1072" s="8" t="e">
        <f>VLOOKUP($D1072,설문!$C$2:$G$444,4,FALSE)</f>
        <v>#N/A</v>
      </c>
      <c r="H1072" s="8" t="e">
        <f>VLOOKUP($D1072,설문!$C$2:$G$444,5,FALSE)</f>
        <v>#N/A</v>
      </c>
    </row>
    <row r="1073" spans="1:8">
      <c r="A1073" s="6" t="s">
        <v>142</v>
      </c>
      <c r="B1073" s="7" t="s">
        <v>6736</v>
      </c>
      <c r="C1073" s="7" t="s">
        <v>6736</v>
      </c>
      <c r="D1073" s="7" t="s">
        <v>6739</v>
      </c>
      <c r="E1073" s="6" t="s">
        <v>6740</v>
      </c>
      <c r="F1073" s="8" t="e">
        <f>VLOOKUP($D1073,설문!$C$2:$G$444,3,FALSE)</f>
        <v>#N/A</v>
      </c>
      <c r="G1073" s="8" t="e">
        <f>VLOOKUP($D1073,설문!$C$2:$G$444,4,FALSE)</f>
        <v>#N/A</v>
      </c>
      <c r="H1073" s="8" t="e">
        <f>VLOOKUP($D1073,설문!$C$2:$G$444,5,FALSE)</f>
        <v>#N/A</v>
      </c>
    </row>
    <row r="1074" spans="1:8">
      <c r="A1074" s="6" t="s">
        <v>142</v>
      </c>
      <c r="B1074" s="7" t="s">
        <v>1438</v>
      </c>
      <c r="C1074" s="7" t="s">
        <v>1438</v>
      </c>
      <c r="D1074" s="7" t="s">
        <v>6741</v>
      </c>
      <c r="E1074" s="6" t="s">
        <v>6742</v>
      </c>
      <c r="F1074" s="8" t="e">
        <f>VLOOKUP($D1074,설문!$C$2:$G$444,3,FALSE)</f>
        <v>#N/A</v>
      </c>
      <c r="G1074" s="8" t="e">
        <f>VLOOKUP($D1074,설문!$C$2:$G$444,4,FALSE)</f>
        <v>#N/A</v>
      </c>
      <c r="H1074" s="8" t="e">
        <f>VLOOKUP($D1074,설문!$C$2:$G$444,5,FALSE)</f>
        <v>#N/A</v>
      </c>
    </row>
    <row r="1075" spans="1:8">
      <c r="A1075" s="6" t="s">
        <v>142</v>
      </c>
      <c r="B1075" s="7" t="s">
        <v>1438</v>
      </c>
      <c r="C1075" s="7" t="s">
        <v>1438</v>
      </c>
      <c r="D1075" s="7" t="s">
        <v>6743</v>
      </c>
      <c r="E1075" s="6" t="s">
        <v>6744</v>
      </c>
      <c r="F1075" s="8" t="e">
        <f>VLOOKUP($D1075,설문!$C$2:$G$444,3,FALSE)</f>
        <v>#N/A</v>
      </c>
      <c r="G1075" s="8" t="e">
        <f>VLOOKUP($D1075,설문!$C$2:$G$444,4,FALSE)</f>
        <v>#N/A</v>
      </c>
      <c r="H1075" s="8" t="e">
        <f>VLOOKUP($D1075,설문!$C$2:$G$444,5,FALSE)</f>
        <v>#N/A</v>
      </c>
    </row>
    <row r="1076" spans="1:8">
      <c r="A1076" s="6" t="s">
        <v>142</v>
      </c>
      <c r="B1076" s="7" t="s">
        <v>1438</v>
      </c>
      <c r="C1076" s="7" t="s">
        <v>1438</v>
      </c>
      <c r="D1076" s="7" t="s">
        <v>6745</v>
      </c>
      <c r="E1076" s="6" t="s">
        <v>6746</v>
      </c>
      <c r="F1076" s="8" t="str">
        <f>VLOOKUP($D1076,설문!$C$2:$G$444,3,FALSE)</f>
        <v>세일즈</v>
      </c>
      <c r="G1076" s="8" t="str">
        <f>VLOOKUP($D1076,설문!$C$2:$G$444,4,FALSE)</f>
        <v>기타</v>
      </c>
      <c r="H1076" s="8" t="str">
        <f>VLOOKUP($D1076,설문!$C$2:$G$444,5,FALSE)</f>
        <v>국내주식/지수</v>
      </c>
    </row>
    <row r="1077" spans="1:8">
      <c r="A1077" s="6" t="s">
        <v>142</v>
      </c>
      <c r="B1077" s="7" t="s">
        <v>1438</v>
      </c>
      <c r="C1077" s="7" t="s">
        <v>1438</v>
      </c>
      <c r="D1077" s="7" t="s">
        <v>6747</v>
      </c>
      <c r="E1077" s="6" t="s">
        <v>6748</v>
      </c>
      <c r="F1077" s="8" t="e">
        <f>VLOOKUP($D1077,설문!$C$2:$G$444,3,FALSE)</f>
        <v>#N/A</v>
      </c>
      <c r="G1077" s="8" t="e">
        <f>VLOOKUP($D1077,설문!$C$2:$G$444,4,FALSE)</f>
        <v>#N/A</v>
      </c>
      <c r="H1077" s="8" t="e">
        <f>VLOOKUP($D1077,설문!$C$2:$G$444,5,FALSE)</f>
        <v>#N/A</v>
      </c>
    </row>
    <row r="1078" spans="1:8">
      <c r="A1078" s="6" t="s">
        <v>142</v>
      </c>
      <c r="B1078" s="7" t="s">
        <v>1438</v>
      </c>
      <c r="C1078" s="7" t="s">
        <v>1438</v>
      </c>
      <c r="D1078" s="7" t="s">
        <v>6749</v>
      </c>
      <c r="E1078" s="6" t="s">
        <v>6750</v>
      </c>
      <c r="F1078" s="8" t="e">
        <f>VLOOKUP($D1078,설문!$C$2:$G$444,3,FALSE)</f>
        <v>#N/A</v>
      </c>
      <c r="G1078" s="8" t="e">
        <f>VLOOKUP($D1078,설문!$C$2:$G$444,4,FALSE)</f>
        <v>#N/A</v>
      </c>
      <c r="H1078" s="8" t="e">
        <f>VLOOKUP($D1078,설문!$C$2:$G$444,5,FALSE)</f>
        <v>#N/A</v>
      </c>
    </row>
    <row r="1079" spans="1:8">
      <c r="A1079" s="6" t="s">
        <v>142</v>
      </c>
      <c r="B1079" s="7" t="s">
        <v>1438</v>
      </c>
      <c r="C1079" s="7" t="s">
        <v>1438</v>
      </c>
      <c r="D1079" s="7" t="s">
        <v>6751</v>
      </c>
      <c r="E1079" s="6" t="s">
        <v>6752</v>
      </c>
      <c r="F1079" s="8" t="e">
        <f>VLOOKUP($D1079,설문!$C$2:$G$444,3,FALSE)</f>
        <v>#N/A</v>
      </c>
      <c r="G1079" s="8" t="e">
        <f>VLOOKUP($D1079,설문!$C$2:$G$444,4,FALSE)</f>
        <v>#N/A</v>
      </c>
      <c r="H1079" s="8" t="e">
        <f>VLOOKUP($D1079,설문!$C$2:$G$444,5,FALSE)</f>
        <v>#N/A</v>
      </c>
    </row>
    <row r="1080" spans="1:8">
      <c r="A1080" s="6" t="s">
        <v>142</v>
      </c>
      <c r="B1080" s="7" t="s">
        <v>1438</v>
      </c>
      <c r="C1080" s="7" t="s">
        <v>1438</v>
      </c>
      <c r="D1080" s="7" t="s">
        <v>6753</v>
      </c>
      <c r="E1080" s="6" t="s">
        <v>6754</v>
      </c>
      <c r="F1080" s="8" t="e">
        <f>VLOOKUP($D1080,설문!$C$2:$G$444,3,FALSE)</f>
        <v>#N/A</v>
      </c>
      <c r="G1080" s="8" t="e">
        <f>VLOOKUP($D1080,설문!$C$2:$G$444,4,FALSE)</f>
        <v>#N/A</v>
      </c>
      <c r="H1080" s="8" t="e">
        <f>VLOOKUP($D1080,설문!$C$2:$G$444,5,FALSE)</f>
        <v>#N/A</v>
      </c>
    </row>
    <row r="1081" spans="1:8">
      <c r="A1081" s="6" t="s">
        <v>142</v>
      </c>
      <c r="B1081" s="7" t="s">
        <v>1438</v>
      </c>
      <c r="C1081" s="7" t="s">
        <v>1438</v>
      </c>
      <c r="D1081" s="7" t="s">
        <v>6755</v>
      </c>
      <c r="E1081" s="6" t="s">
        <v>6756</v>
      </c>
      <c r="F1081" s="8" t="str">
        <f>VLOOKUP($D1081,설문!$C$2:$G$444,3,FALSE)</f>
        <v>트레이더,세일즈</v>
      </c>
      <c r="G1081" s="8" t="str">
        <f>VLOOKUP($D1081,설문!$C$2:$G$444,4,FALSE)</f>
        <v>금융회사,금융 유관기관</v>
      </c>
      <c r="H1081" s="8" t="str">
        <f>VLOOKUP($D1081,설문!$C$2:$G$444,5,FALSE)</f>
        <v>국내주식/지수,국내주식/지수관련파생,ETF/ETN</v>
      </c>
    </row>
    <row r="1082" spans="1:8">
      <c r="A1082" s="6" t="s">
        <v>142</v>
      </c>
      <c r="B1082" s="7" t="s">
        <v>1791</v>
      </c>
      <c r="C1082" s="7" t="s">
        <v>1791</v>
      </c>
      <c r="D1082" s="7" t="s">
        <v>6757</v>
      </c>
      <c r="E1082" s="6" t="s">
        <v>575</v>
      </c>
      <c r="F1082" s="8" t="e">
        <f>VLOOKUP($D1082,설문!$C$2:$G$444,3,FALSE)</f>
        <v>#N/A</v>
      </c>
      <c r="G1082" s="8" t="e">
        <f>VLOOKUP($D1082,설문!$C$2:$G$444,4,FALSE)</f>
        <v>#N/A</v>
      </c>
      <c r="H1082" s="8" t="e">
        <f>VLOOKUP($D1082,설문!$C$2:$G$444,5,FALSE)</f>
        <v>#N/A</v>
      </c>
    </row>
    <row r="1083" spans="1:8">
      <c r="A1083" s="6" t="s">
        <v>142</v>
      </c>
      <c r="B1083" s="7" t="s">
        <v>1357</v>
      </c>
      <c r="C1083" s="7" t="s">
        <v>1357</v>
      </c>
      <c r="D1083" s="7" t="s">
        <v>6758</v>
      </c>
      <c r="E1083" s="6" t="s">
        <v>2022</v>
      </c>
      <c r="F1083" s="8" t="e">
        <f>VLOOKUP($D1083,설문!$C$2:$G$444,3,FALSE)</f>
        <v>#N/A</v>
      </c>
      <c r="G1083" s="8" t="e">
        <f>VLOOKUP($D1083,설문!$C$2:$G$444,4,FALSE)</f>
        <v>#N/A</v>
      </c>
      <c r="H1083" s="8" t="e">
        <f>VLOOKUP($D1083,설문!$C$2:$G$444,5,FALSE)</f>
        <v>#N/A</v>
      </c>
    </row>
    <row r="1084" spans="1:8">
      <c r="A1084" s="6" t="s">
        <v>142</v>
      </c>
      <c r="B1084" s="7" t="s">
        <v>1791</v>
      </c>
      <c r="C1084" s="7" t="s">
        <v>1791</v>
      </c>
      <c r="D1084" s="7" t="s">
        <v>6759</v>
      </c>
      <c r="E1084" s="6" t="s">
        <v>6760</v>
      </c>
      <c r="F1084" s="8" t="e">
        <f>VLOOKUP($D1084,설문!$C$2:$G$444,3,FALSE)</f>
        <v>#N/A</v>
      </c>
      <c r="G1084" s="8" t="e">
        <f>VLOOKUP($D1084,설문!$C$2:$G$444,4,FALSE)</f>
        <v>#N/A</v>
      </c>
      <c r="H1084" s="8" t="e">
        <f>VLOOKUP($D1084,설문!$C$2:$G$444,5,FALSE)</f>
        <v>#N/A</v>
      </c>
    </row>
    <row r="1085" spans="1:8">
      <c r="A1085" s="6" t="s">
        <v>142</v>
      </c>
      <c r="B1085" s="7" t="s">
        <v>1357</v>
      </c>
      <c r="C1085" s="7" t="s">
        <v>1357</v>
      </c>
      <c r="D1085" s="7" t="s">
        <v>6761</v>
      </c>
      <c r="E1085" s="6" t="s">
        <v>6762</v>
      </c>
      <c r="F1085" s="8" t="e">
        <f>VLOOKUP($D1085,설문!$C$2:$G$444,3,FALSE)</f>
        <v>#N/A</v>
      </c>
      <c r="G1085" s="8" t="e">
        <f>VLOOKUP($D1085,설문!$C$2:$G$444,4,FALSE)</f>
        <v>#N/A</v>
      </c>
      <c r="H1085" s="8" t="e">
        <f>VLOOKUP($D1085,설문!$C$2:$G$444,5,FALSE)</f>
        <v>#N/A</v>
      </c>
    </row>
    <row r="1086" spans="1:8">
      <c r="A1086" s="6" t="s">
        <v>142</v>
      </c>
      <c r="B1086" s="7" t="s">
        <v>1357</v>
      </c>
      <c r="C1086" s="7" t="s">
        <v>1357</v>
      </c>
      <c r="D1086" s="7" t="s">
        <v>6763</v>
      </c>
      <c r="E1086" s="6" t="s">
        <v>782</v>
      </c>
      <c r="F1086" s="8" t="e">
        <f>VLOOKUP($D1086,설문!$C$2:$G$444,3,FALSE)</f>
        <v>#N/A</v>
      </c>
      <c r="G1086" s="8" t="e">
        <f>VLOOKUP($D1086,설문!$C$2:$G$444,4,FALSE)</f>
        <v>#N/A</v>
      </c>
      <c r="H1086" s="8" t="e">
        <f>VLOOKUP($D1086,설문!$C$2:$G$444,5,FALSE)</f>
        <v>#N/A</v>
      </c>
    </row>
    <row r="1087" spans="1:8">
      <c r="A1087" s="6" t="s">
        <v>142</v>
      </c>
      <c r="B1087" s="7" t="s">
        <v>1791</v>
      </c>
      <c r="C1087" s="7" t="s">
        <v>1791</v>
      </c>
      <c r="D1087" s="7" t="s">
        <v>6764</v>
      </c>
      <c r="E1087" s="6" t="s">
        <v>6312</v>
      </c>
      <c r="F1087" s="8" t="e">
        <f>VLOOKUP($D1087,설문!$C$2:$G$444,3,FALSE)</f>
        <v>#N/A</v>
      </c>
      <c r="G1087" s="8" t="e">
        <f>VLOOKUP($D1087,설문!$C$2:$G$444,4,FALSE)</f>
        <v>#N/A</v>
      </c>
      <c r="H1087" s="8" t="e">
        <f>VLOOKUP($D1087,설문!$C$2:$G$444,5,FALSE)</f>
        <v>#N/A</v>
      </c>
    </row>
    <row r="1088" spans="1:8">
      <c r="A1088" s="6" t="s">
        <v>142</v>
      </c>
      <c r="B1088" s="7" t="s">
        <v>1791</v>
      </c>
      <c r="C1088" s="7" t="s">
        <v>1791</v>
      </c>
      <c r="D1088" s="7" t="s">
        <v>6765</v>
      </c>
      <c r="E1088" s="6" t="s">
        <v>6766</v>
      </c>
      <c r="F1088" s="8" t="e">
        <f>VLOOKUP($D1088,설문!$C$2:$G$444,3,FALSE)</f>
        <v>#N/A</v>
      </c>
      <c r="G1088" s="8" t="e">
        <f>VLOOKUP($D1088,설문!$C$2:$G$444,4,FALSE)</f>
        <v>#N/A</v>
      </c>
      <c r="H1088" s="8" t="e">
        <f>VLOOKUP($D1088,설문!$C$2:$G$444,5,FALSE)</f>
        <v>#N/A</v>
      </c>
    </row>
    <row r="1089" spans="1:8">
      <c r="A1089" s="6" t="s">
        <v>142</v>
      </c>
      <c r="B1089" s="7" t="s">
        <v>1791</v>
      </c>
      <c r="C1089" s="7" t="s">
        <v>1791</v>
      </c>
      <c r="D1089" s="7" t="s">
        <v>6767</v>
      </c>
      <c r="E1089" s="6" t="s">
        <v>6768</v>
      </c>
      <c r="F1089" s="8" t="e">
        <f>VLOOKUP($D1089,설문!$C$2:$G$444,3,FALSE)</f>
        <v>#N/A</v>
      </c>
      <c r="G1089" s="8" t="e">
        <f>VLOOKUP($D1089,설문!$C$2:$G$444,4,FALSE)</f>
        <v>#N/A</v>
      </c>
      <c r="H1089" s="8" t="e">
        <f>VLOOKUP($D1089,설문!$C$2:$G$444,5,FALSE)</f>
        <v>#N/A</v>
      </c>
    </row>
    <row r="1090" spans="1:8">
      <c r="A1090" s="6" t="s">
        <v>142</v>
      </c>
      <c r="B1090" s="7" t="s">
        <v>1791</v>
      </c>
      <c r="C1090" s="7" t="s">
        <v>1791</v>
      </c>
      <c r="D1090" s="7" t="s">
        <v>6769</v>
      </c>
      <c r="E1090" s="6" t="s">
        <v>6770</v>
      </c>
      <c r="F1090" s="8" t="e">
        <f>VLOOKUP($D1090,설문!$C$2:$G$444,3,FALSE)</f>
        <v>#N/A</v>
      </c>
      <c r="G1090" s="8" t="e">
        <f>VLOOKUP($D1090,설문!$C$2:$G$444,4,FALSE)</f>
        <v>#N/A</v>
      </c>
      <c r="H1090" s="8" t="e">
        <f>VLOOKUP($D1090,설문!$C$2:$G$444,5,FALSE)</f>
        <v>#N/A</v>
      </c>
    </row>
    <row r="1091" spans="1:8">
      <c r="A1091" s="6" t="s">
        <v>142</v>
      </c>
      <c r="B1091" s="7" t="s">
        <v>1357</v>
      </c>
      <c r="C1091" s="7" t="s">
        <v>1357</v>
      </c>
      <c r="D1091" s="7" t="s">
        <v>6771</v>
      </c>
      <c r="E1091" s="6" t="s">
        <v>6772</v>
      </c>
      <c r="F1091" s="8" t="e">
        <f>VLOOKUP($D1091,설문!$C$2:$G$444,3,FALSE)</f>
        <v>#N/A</v>
      </c>
      <c r="G1091" s="8" t="e">
        <f>VLOOKUP($D1091,설문!$C$2:$G$444,4,FALSE)</f>
        <v>#N/A</v>
      </c>
      <c r="H1091" s="8" t="e">
        <f>VLOOKUP($D1091,설문!$C$2:$G$444,5,FALSE)</f>
        <v>#N/A</v>
      </c>
    </row>
    <row r="1092" spans="1:8">
      <c r="A1092" s="6" t="s">
        <v>142</v>
      </c>
      <c r="B1092" s="7" t="s">
        <v>1791</v>
      </c>
      <c r="C1092" s="7" t="s">
        <v>1791</v>
      </c>
      <c r="D1092" s="7" t="s">
        <v>6773</v>
      </c>
      <c r="E1092" s="6" t="s">
        <v>6774</v>
      </c>
      <c r="F1092" s="8" t="e">
        <f>VLOOKUP($D1092,설문!$C$2:$G$444,3,FALSE)</f>
        <v>#N/A</v>
      </c>
      <c r="G1092" s="8" t="e">
        <f>VLOOKUP($D1092,설문!$C$2:$G$444,4,FALSE)</f>
        <v>#N/A</v>
      </c>
      <c r="H1092" s="8" t="e">
        <f>VLOOKUP($D1092,설문!$C$2:$G$444,5,FALSE)</f>
        <v>#N/A</v>
      </c>
    </row>
    <row r="1093" spans="1:8">
      <c r="A1093" s="6" t="s">
        <v>2622</v>
      </c>
      <c r="B1093" s="7" t="s">
        <v>2623</v>
      </c>
      <c r="C1093" s="7" t="s">
        <v>116</v>
      </c>
      <c r="D1093" s="7" t="s">
        <v>2624</v>
      </c>
      <c r="E1093" s="6" t="s">
        <v>2625</v>
      </c>
      <c r="F1093" s="8" t="str">
        <f>VLOOKUP($D1093,설문!$C$2:$G$444,3,FALSE)</f>
        <v>리스크관리(미들)</v>
      </c>
      <c r="G1093" s="8" t="str">
        <f>VLOOKUP($D1093,설문!$C$2:$G$444,4,FALSE)</f>
        <v>금융회사,금융 유관기관</v>
      </c>
      <c r="H1093" s="8" t="str">
        <f>VLOOKUP($D1093,설문!$C$2:$G$444,5,FALSE)</f>
        <v>국고채/통안채,회사채,원화 구조화채권,외화 구조화채권,ETF/ETN</v>
      </c>
    </row>
    <row r="1094" spans="1:8">
      <c r="A1094" s="6" t="s">
        <v>2622</v>
      </c>
      <c r="B1094" s="7" t="s">
        <v>2626</v>
      </c>
      <c r="C1094" s="7" t="s">
        <v>2626</v>
      </c>
      <c r="D1094" s="7" t="s">
        <v>2627</v>
      </c>
      <c r="E1094" s="6" t="s">
        <v>256</v>
      </c>
      <c r="F1094" s="8" t="str">
        <f>VLOOKUP($D1094,설문!$C$2:$G$444,3,FALSE)</f>
        <v>기타,트레이더</v>
      </c>
      <c r="G1094" s="8" t="str">
        <f>VLOOKUP($D1094,설문!$C$2:$G$444,4,FALSE)</f>
        <v>금융회사,금융 유관기관</v>
      </c>
      <c r="H1094" s="8" t="str">
        <f>VLOOKUP($D1094,설문!$C$2:$G$444,5,FALSE)</f>
        <v>국고채/통안채</v>
      </c>
    </row>
    <row r="1095" spans="1:8">
      <c r="A1095" s="6" t="s">
        <v>773</v>
      </c>
      <c r="B1095" s="7" t="s">
        <v>774</v>
      </c>
      <c r="C1095" s="7" t="s">
        <v>9</v>
      </c>
      <c r="D1095" s="7" t="s">
        <v>775</v>
      </c>
      <c r="E1095" s="6" t="s">
        <v>776</v>
      </c>
      <c r="F1095" s="8" t="e">
        <f>VLOOKUP($D1095,설문!$C$2:$G$444,3,FALSE)</f>
        <v>#N/A</v>
      </c>
      <c r="G1095" s="8" t="e">
        <f>VLOOKUP($D1095,설문!$C$2:$G$444,4,FALSE)</f>
        <v>#N/A</v>
      </c>
      <c r="H1095" s="8" t="e">
        <f>VLOOKUP($D1095,설문!$C$2:$G$444,5,FALSE)</f>
        <v>#N/A</v>
      </c>
    </row>
    <row r="1096" spans="1:8">
      <c r="A1096" s="6" t="s">
        <v>773</v>
      </c>
      <c r="B1096" s="7" t="s">
        <v>811</v>
      </c>
      <c r="C1096" s="7" t="s">
        <v>9</v>
      </c>
      <c r="D1096" s="7" t="s">
        <v>812</v>
      </c>
      <c r="E1096" s="6" t="s">
        <v>813</v>
      </c>
      <c r="F1096" s="8" t="e">
        <f>VLOOKUP($D1096,설문!$C$2:$G$444,3,FALSE)</f>
        <v>#N/A</v>
      </c>
      <c r="G1096" s="8" t="e">
        <f>VLOOKUP($D1096,설문!$C$2:$G$444,4,FALSE)</f>
        <v>#N/A</v>
      </c>
      <c r="H1096" s="8" t="e">
        <f>VLOOKUP($D1096,설문!$C$2:$G$444,5,FALSE)</f>
        <v>#N/A</v>
      </c>
    </row>
    <row r="1097" spans="1:8">
      <c r="A1097" s="6" t="s">
        <v>773</v>
      </c>
      <c r="B1097" s="7" t="s">
        <v>983</v>
      </c>
      <c r="C1097" s="7" t="s">
        <v>983</v>
      </c>
      <c r="D1097" s="7" t="s">
        <v>984</v>
      </c>
      <c r="E1097" s="6" t="s">
        <v>985</v>
      </c>
      <c r="F1097" s="8" t="str">
        <f>VLOOKUP($D1097,설문!$C$2:$G$444,3,FALSE)</f>
        <v>펀드매니저</v>
      </c>
      <c r="G1097" s="8" t="str">
        <f>VLOOKUP($D1097,설문!$C$2:$G$444,4,FALSE)</f>
        <v>금융회사</v>
      </c>
      <c r="H1097" s="8" t="str">
        <f>VLOOKUP($D1097,설문!$C$2:$G$444,5,FALSE)</f>
        <v>국내주식/지수,국내주식/지수관련파생,ETF/ETN</v>
      </c>
    </row>
    <row r="1098" spans="1:8">
      <c r="A1098" s="6" t="s">
        <v>773</v>
      </c>
      <c r="B1098" s="7" t="s">
        <v>983</v>
      </c>
      <c r="C1098" s="7" t="s">
        <v>983</v>
      </c>
      <c r="D1098" s="7" t="s">
        <v>1332</v>
      </c>
      <c r="E1098" s="6" t="s">
        <v>1333</v>
      </c>
      <c r="F1098" s="8" t="e">
        <f>VLOOKUP($D1098,설문!$C$2:$G$444,3,FALSE)</f>
        <v>#N/A</v>
      </c>
      <c r="G1098" s="8" t="e">
        <f>VLOOKUP($D1098,설문!$C$2:$G$444,4,FALSE)</f>
        <v>#N/A</v>
      </c>
      <c r="H1098" s="8" t="e">
        <f>VLOOKUP($D1098,설문!$C$2:$G$444,5,FALSE)</f>
        <v>#N/A</v>
      </c>
    </row>
    <row r="1099" spans="1:8">
      <c r="A1099" s="6" t="s">
        <v>773</v>
      </c>
      <c r="B1099" s="7" t="s">
        <v>1770</v>
      </c>
      <c r="C1099" s="7" t="s">
        <v>1771</v>
      </c>
      <c r="D1099" s="7" t="s">
        <v>1772</v>
      </c>
      <c r="E1099" s="6" t="s">
        <v>1773</v>
      </c>
      <c r="F1099" s="8" t="e">
        <f>VLOOKUP($D1099,설문!$C$2:$G$444,3,FALSE)</f>
        <v>#N/A</v>
      </c>
      <c r="G1099" s="8" t="e">
        <f>VLOOKUP($D1099,설문!$C$2:$G$444,4,FALSE)</f>
        <v>#N/A</v>
      </c>
      <c r="H1099" s="8" t="e">
        <f>VLOOKUP($D1099,설문!$C$2:$G$444,5,FALSE)</f>
        <v>#N/A</v>
      </c>
    </row>
    <row r="1100" spans="1:8">
      <c r="A1100" s="6" t="s">
        <v>773</v>
      </c>
      <c r="B1100" s="7" t="s">
        <v>3137</v>
      </c>
      <c r="C1100" s="7" t="s">
        <v>3138</v>
      </c>
      <c r="D1100" s="7" t="s">
        <v>3139</v>
      </c>
      <c r="E1100" s="6" t="s">
        <v>3140</v>
      </c>
      <c r="F1100" s="8" t="e">
        <f>VLOOKUP($D1100,설문!$C$2:$G$444,3,FALSE)</f>
        <v>#N/A</v>
      </c>
      <c r="G1100" s="8" t="e">
        <f>VLOOKUP($D1100,설문!$C$2:$G$444,4,FALSE)</f>
        <v>#N/A</v>
      </c>
      <c r="H1100" s="8" t="e">
        <f>VLOOKUP($D1100,설문!$C$2:$G$444,5,FALSE)</f>
        <v>#N/A</v>
      </c>
    </row>
    <row r="1101" spans="1:8">
      <c r="A1101" s="6" t="s">
        <v>773</v>
      </c>
      <c r="B1101" s="7" t="s">
        <v>3141</v>
      </c>
      <c r="C1101" s="7" t="s">
        <v>3142</v>
      </c>
      <c r="D1101" s="7" t="s">
        <v>3143</v>
      </c>
      <c r="E1101" s="6" t="s">
        <v>3144</v>
      </c>
      <c r="F1101" s="8" t="e">
        <f>VLOOKUP($D1101,설문!$C$2:$G$444,3,FALSE)</f>
        <v>#N/A</v>
      </c>
      <c r="G1101" s="8" t="e">
        <f>VLOOKUP($D1101,설문!$C$2:$G$444,4,FALSE)</f>
        <v>#N/A</v>
      </c>
      <c r="H1101" s="8" t="e">
        <f>VLOOKUP($D1101,설문!$C$2:$G$444,5,FALSE)</f>
        <v>#N/A</v>
      </c>
    </row>
    <row r="1102" spans="1:8">
      <c r="A1102" s="6" t="s">
        <v>773</v>
      </c>
      <c r="B1102" s="7" t="s">
        <v>3145</v>
      </c>
      <c r="C1102" s="7" t="s">
        <v>3145</v>
      </c>
      <c r="D1102" s="7" t="s">
        <v>3146</v>
      </c>
      <c r="E1102" s="6" t="s">
        <v>3147</v>
      </c>
      <c r="F1102" s="8" t="e">
        <f>VLOOKUP($D1102,설문!$C$2:$G$444,3,FALSE)</f>
        <v>#N/A</v>
      </c>
      <c r="G1102" s="8" t="e">
        <f>VLOOKUP($D1102,설문!$C$2:$G$444,4,FALSE)</f>
        <v>#N/A</v>
      </c>
      <c r="H1102" s="8" t="e">
        <f>VLOOKUP($D1102,설문!$C$2:$G$444,5,FALSE)</f>
        <v>#N/A</v>
      </c>
    </row>
    <row r="1103" spans="1:8">
      <c r="A1103" s="6" t="s">
        <v>773</v>
      </c>
      <c r="B1103" s="7" t="s">
        <v>3148</v>
      </c>
      <c r="C1103" s="7" t="s">
        <v>3149</v>
      </c>
      <c r="D1103" s="7" t="s">
        <v>3150</v>
      </c>
      <c r="E1103" s="6" t="s">
        <v>3151</v>
      </c>
      <c r="F1103" s="8" t="e">
        <f>VLOOKUP($D1103,설문!$C$2:$G$444,3,FALSE)</f>
        <v>#N/A</v>
      </c>
      <c r="G1103" s="8" t="e">
        <f>VLOOKUP($D1103,설문!$C$2:$G$444,4,FALSE)</f>
        <v>#N/A</v>
      </c>
      <c r="H1103" s="8" t="e">
        <f>VLOOKUP($D1103,설문!$C$2:$G$444,5,FALSE)</f>
        <v>#N/A</v>
      </c>
    </row>
    <row r="1104" spans="1:8">
      <c r="A1104" s="6" t="s">
        <v>773</v>
      </c>
      <c r="B1104" s="7" t="s">
        <v>2783</v>
      </c>
      <c r="C1104" s="7" t="s">
        <v>2783</v>
      </c>
      <c r="D1104" s="7" t="s">
        <v>3152</v>
      </c>
      <c r="E1104" s="6" t="s">
        <v>3153</v>
      </c>
      <c r="F1104" s="8" t="e">
        <f>VLOOKUP($D1104,설문!$C$2:$G$444,3,FALSE)</f>
        <v>#N/A</v>
      </c>
      <c r="G1104" s="8" t="e">
        <f>VLOOKUP($D1104,설문!$C$2:$G$444,4,FALSE)</f>
        <v>#N/A</v>
      </c>
      <c r="H1104" s="8" t="e">
        <f>VLOOKUP($D1104,설문!$C$2:$G$444,5,FALSE)</f>
        <v>#N/A</v>
      </c>
    </row>
    <row r="1105" spans="1:8">
      <c r="A1105" s="6" t="s">
        <v>773</v>
      </c>
      <c r="B1105" s="7" t="s">
        <v>3154</v>
      </c>
      <c r="C1105" s="7" t="s">
        <v>3155</v>
      </c>
      <c r="D1105" s="7" t="s">
        <v>3156</v>
      </c>
      <c r="E1105" s="6" t="s">
        <v>3157</v>
      </c>
      <c r="F1105" s="8" t="e">
        <f>VLOOKUP($D1105,설문!$C$2:$G$444,3,FALSE)</f>
        <v>#N/A</v>
      </c>
      <c r="G1105" s="8" t="e">
        <f>VLOOKUP($D1105,설문!$C$2:$G$444,4,FALSE)</f>
        <v>#N/A</v>
      </c>
      <c r="H1105" s="8" t="e">
        <f>VLOOKUP($D1105,설문!$C$2:$G$444,5,FALSE)</f>
        <v>#N/A</v>
      </c>
    </row>
    <row r="1106" spans="1:8">
      <c r="A1106" s="6" t="s">
        <v>773</v>
      </c>
      <c r="B1106" s="7" t="s">
        <v>3154</v>
      </c>
      <c r="C1106" s="7" t="s">
        <v>3155</v>
      </c>
      <c r="D1106" s="7" t="s">
        <v>3158</v>
      </c>
      <c r="E1106" s="6" t="s">
        <v>3159</v>
      </c>
      <c r="F1106" s="8" t="e">
        <f>VLOOKUP($D1106,설문!$C$2:$G$444,3,FALSE)</f>
        <v>#N/A</v>
      </c>
      <c r="G1106" s="8" t="e">
        <f>VLOOKUP($D1106,설문!$C$2:$G$444,4,FALSE)</f>
        <v>#N/A</v>
      </c>
      <c r="H1106" s="8" t="e">
        <f>VLOOKUP($D1106,설문!$C$2:$G$444,5,FALSE)</f>
        <v>#N/A</v>
      </c>
    </row>
    <row r="1107" spans="1:8">
      <c r="A1107" s="6" t="s">
        <v>773</v>
      </c>
      <c r="B1107" s="7" t="s">
        <v>3154</v>
      </c>
      <c r="C1107" s="7" t="s">
        <v>3155</v>
      </c>
      <c r="D1107" s="7" t="s">
        <v>3160</v>
      </c>
      <c r="E1107" s="6" t="s">
        <v>3161</v>
      </c>
      <c r="F1107" s="8" t="e">
        <f>VLOOKUP($D1107,설문!$C$2:$G$444,3,FALSE)</f>
        <v>#N/A</v>
      </c>
      <c r="G1107" s="8" t="e">
        <f>VLOOKUP($D1107,설문!$C$2:$G$444,4,FALSE)</f>
        <v>#N/A</v>
      </c>
      <c r="H1107" s="8" t="e">
        <f>VLOOKUP($D1107,설문!$C$2:$G$444,5,FALSE)</f>
        <v>#N/A</v>
      </c>
    </row>
    <row r="1108" spans="1:8">
      <c r="A1108" s="6" t="s">
        <v>773</v>
      </c>
      <c r="B1108" s="7" t="s">
        <v>1886</v>
      </c>
      <c r="C1108" s="7" t="s">
        <v>983</v>
      </c>
      <c r="D1108" s="7" t="s">
        <v>3162</v>
      </c>
      <c r="E1108" s="6" t="s">
        <v>3163</v>
      </c>
      <c r="F1108" s="8" t="e">
        <f>VLOOKUP($D1108,설문!$C$2:$G$444,3,FALSE)</f>
        <v>#N/A</v>
      </c>
      <c r="G1108" s="8" t="e">
        <f>VLOOKUP($D1108,설문!$C$2:$G$444,4,FALSE)</f>
        <v>#N/A</v>
      </c>
      <c r="H1108" s="8" t="e">
        <f>VLOOKUP($D1108,설문!$C$2:$G$444,5,FALSE)</f>
        <v>#N/A</v>
      </c>
    </row>
    <row r="1109" spans="1:8">
      <c r="A1109" s="6" t="s">
        <v>773</v>
      </c>
      <c r="B1109" s="7" t="s">
        <v>3154</v>
      </c>
      <c r="C1109" s="7" t="s">
        <v>3155</v>
      </c>
      <c r="D1109" s="7" t="s">
        <v>3164</v>
      </c>
      <c r="E1109" s="6" t="s">
        <v>3165</v>
      </c>
      <c r="F1109" s="8" t="e">
        <f>VLOOKUP($D1109,설문!$C$2:$G$444,3,FALSE)</f>
        <v>#N/A</v>
      </c>
      <c r="G1109" s="8" t="e">
        <f>VLOOKUP($D1109,설문!$C$2:$G$444,4,FALSE)</f>
        <v>#N/A</v>
      </c>
      <c r="H1109" s="8" t="e">
        <f>VLOOKUP($D1109,설문!$C$2:$G$444,5,FALSE)</f>
        <v>#N/A</v>
      </c>
    </row>
    <row r="1110" spans="1:8">
      <c r="A1110" s="6" t="s">
        <v>773</v>
      </c>
      <c r="B1110" s="7" t="s">
        <v>3154</v>
      </c>
      <c r="C1110" s="7" t="s">
        <v>3155</v>
      </c>
      <c r="D1110" s="7" t="s">
        <v>3166</v>
      </c>
      <c r="E1110" s="6" t="s">
        <v>3167</v>
      </c>
      <c r="F1110" s="8" t="e">
        <f>VLOOKUP($D1110,설문!$C$2:$G$444,3,FALSE)</f>
        <v>#N/A</v>
      </c>
      <c r="G1110" s="8" t="e">
        <f>VLOOKUP($D1110,설문!$C$2:$G$444,4,FALSE)</f>
        <v>#N/A</v>
      </c>
      <c r="H1110" s="8" t="e">
        <f>VLOOKUP($D1110,설문!$C$2:$G$444,5,FALSE)</f>
        <v>#N/A</v>
      </c>
    </row>
    <row r="1111" spans="1:8">
      <c r="A1111" s="6" t="s">
        <v>773</v>
      </c>
      <c r="B1111" s="7" t="s">
        <v>3154</v>
      </c>
      <c r="C1111" s="7" t="s">
        <v>3155</v>
      </c>
      <c r="D1111" s="7" t="s">
        <v>3168</v>
      </c>
      <c r="E1111" s="6" t="s">
        <v>3169</v>
      </c>
      <c r="F1111" s="8" t="e">
        <f>VLOOKUP($D1111,설문!$C$2:$G$444,3,FALSE)</f>
        <v>#N/A</v>
      </c>
      <c r="G1111" s="8" t="e">
        <f>VLOOKUP($D1111,설문!$C$2:$G$444,4,FALSE)</f>
        <v>#N/A</v>
      </c>
      <c r="H1111" s="8" t="e">
        <f>VLOOKUP($D1111,설문!$C$2:$G$444,5,FALSE)</f>
        <v>#N/A</v>
      </c>
    </row>
    <row r="1112" spans="1:8">
      <c r="A1112" s="6" t="s">
        <v>773</v>
      </c>
      <c r="B1112" s="7" t="s">
        <v>3154</v>
      </c>
      <c r="C1112" s="7" t="s">
        <v>3155</v>
      </c>
      <c r="D1112" s="7" t="s">
        <v>3170</v>
      </c>
      <c r="E1112" s="6" t="s">
        <v>3171</v>
      </c>
      <c r="F1112" s="8" t="e">
        <f>VLOOKUP($D1112,설문!$C$2:$G$444,3,FALSE)</f>
        <v>#N/A</v>
      </c>
      <c r="G1112" s="8" t="e">
        <f>VLOOKUP($D1112,설문!$C$2:$G$444,4,FALSE)</f>
        <v>#N/A</v>
      </c>
      <c r="H1112" s="8" t="e">
        <f>VLOOKUP($D1112,설문!$C$2:$G$444,5,FALSE)</f>
        <v>#N/A</v>
      </c>
    </row>
    <row r="1113" spans="1:8">
      <c r="A1113" s="6" t="s">
        <v>773</v>
      </c>
      <c r="B1113" s="7" t="s">
        <v>3172</v>
      </c>
      <c r="C1113" s="7" t="s">
        <v>3173</v>
      </c>
      <c r="D1113" s="7" t="s">
        <v>3174</v>
      </c>
      <c r="E1113" s="6" t="s">
        <v>3175</v>
      </c>
      <c r="F1113" s="8" t="e">
        <f>VLOOKUP($D1113,설문!$C$2:$G$444,3,FALSE)</f>
        <v>#N/A</v>
      </c>
      <c r="G1113" s="8" t="e">
        <f>VLOOKUP($D1113,설문!$C$2:$G$444,4,FALSE)</f>
        <v>#N/A</v>
      </c>
      <c r="H1113" s="8" t="e">
        <f>VLOOKUP($D1113,설문!$C$2:$G$444,5,FALSE)</f>
        <v>#N/A</v>
      </c>
    </row>
    <row r="1114" spans="1:8">
      <c r="A1114" s="6" t="s">
        <v>773</v>
      </c>
      <c r="B1114" s="7" t="s">
        <v>264</v>
      </c>
      <c r="C1114" s="7" t="s">
        <v>3176</v>
      </c>
      <c r="D1114" s="7" t="s">
        <v>3177</v>
      </c>
      <c r="E1114" s="6" t="s">
        <v>3178</v>
      </c>
      <c r="F1114" s="8" t="e">
        <f>VLOOKUP($D1114,설문!$C$2:$G$444,3,FALSE)</f>
        <v>#N/A</v>
      </c>
      <c r="G1114" s="8" t="e">
        <f>VLOOKUP($D1114,설문!$C$2:$G$444,4,FALSE)</f>
        <v>#N/A</v>
      </c>
      <c r="H1114" s="8" t="e">
        <f>VLOOKUP($D1114,설문!$C$2:$G$444,5,FALSE)</f>
        <v>#N/A</v>
      </c>
    </row>
    <row r="1115" spans="1:8">
      <c r="A1115" s="6" t="s">
        <v>773</v>
      </c>
      <c r="B1115" s="7" t="s">
        <v>3179</v>
      </c>
      <c r="C1115" s="7" t="s">
        <v>3179</v>
      </c>
      <c r="D1115" s="7" t="s">
        <v>3180</v>
      </c>
      <c r="E1115" s="6" t="s">
        <v>3181</v>
      </c>
      <c r="F1115" s="8" t="e">
        <f>VLOOKUP($D1115,설문!$C$2:$G$444,3,FALSE)</f>
        <v>#N/A</v>
      </c>
      <c r="G1115" s="8" t="e">
        <f>VLOOKUP($D1115,설문!$C$2:$G$444,4,FALSE)</f>
        <v>#N/A</v>
      </c>
      <c r="H1115" s="8" t="e">
        <f>VLOOKUP($D1115,설문!$C$2:$G$444,5,FALSE)</f>
        <v>#N/A</v>
      </c>
    </row>
    <row r="1116" spans="1:8">
      <c r="A1116" s="6" t="s">
        <v>773</v>
      </c>
      <c r="B1116" s="7" t="s">
        <v>264</v>
      </c>
      <c r="C1116" s="7" t="s">
        <v>264</v>
      </c>
      <c r="D1116" s="7" t="s">
        <v>3182</v>
      </c>
      <c r="E1116" s="6" t="s">
        <v>3183</v>
      </c>
      <c r="F1116" s="8" t="e">
        <f>VLOOKUP($D1116,설문!$C$2:$G$444,3,FALSE)</f>
        <v>#N/A</v>
      </c>
      <c r="G1116" s="8" t="e">
        <f>VLOOKUP($D1116,설문!$C$2:$G$444,4,FALSE)</f>
        <v>#N/A</v>
      </c>
      <c r="H1116" s="8" t="e">
        <f>VLOOKUP($D1116,설문!$C$2:$G$444,5,FALSE)</f>
        <v>#N/A</v>
      </c>
    </row>
    <row r="1117" spans="1:8">
      <c r="A1117" s="6" t="s">
        <v>773</v>
      </c>
      <c r="B1117" s="7" t="s">
        <v>264</v>
      </c>
      <c r="C1117" s="7" t="s">
        <v>264</v>
      </c>
      <c r="D1117" s="7" t="s">
        <v>3184</v>
      </c>
      <c r="E1117" s="6" t="s">
        <v>1773</v>
      </c>
      <c r="F1117" s="8" t="e">
        <f>VLOOKUP($D1117,설문!$C$2:$G$444,3,FALSE)</f>
        <v>#N/A</v>
      </c>
      <c r="G1117" s="8" t="e">
        <f>VLOOKUP($D1117,설문!$C$2:$G$444,4,FALSE)</f>
        <v>#N/A</v>
      </c>
      <c r="H1117" s="8" t="e">
        <f>VLOOKUP($D1117,설문!$C$2:$G$444,5,FALSE)</f>
        <v>#N/A</v>
      </c>
    </row>
    <row r="1118" spans="1:8">
      <c r="A1118" s="6" t="s">
        <v>773</v>
      </c>
      <c r="B1118" s="7" t="s">
        <v>264</v>
      </c>
      <c r="C1118" s="7" t="s">
        <v>264</v>
      </c>
      <c r="D1118" s="7" t="s">
        <v>3185</v>
      </c>
      <c r="E1118" s="6" t="s">
        <v>3186</v>
      </c>
      <c r="F1118" s="8" t="e">
        <f>VLOOKUP($D1118,설문!$C$2:$G$444,3,FALSE)</f>
        <v>#N/A</v>
      </c>
      <c r="G1118" s="8" t="e">
        <f>VLOOKUP($D1118,설문!$C$2:$G$444,4,FALSE)</f>
        <v>#N/A</v>
      </c>
      <c r="H1118" s="8" t="e">
        <f>VLOOKUP($D1118,설문!$C$2:$G$444,5,FALSE)</f>
        <v>#N/A</v>
      </c>
    </row>
    <row r="1119" spans="1:8">
      <c r="A1119" s="6" t="s">
        <v>773</v>
      </c>
      <c r="B1119" s="7" t="s">
        <v>3187</v>
      </c>
      <c r="C1119" s="7" t="s">
        <v>3188</v>
      </c>
      <c r="D1119" s="7" t="s">
        <v>3189</v>
      </c>
      <c r="E1119" s="6" t="s">
        <v>3190</v>
      </c>
      <c r="F1119" s="8" t="e">
        <f>VLOOKUP($D1119,설문!$C$2:$G$444,3,FALSE)</f>
        <v>#N/A</v>
      </c>
      <c r="G1119" s="8" t="e">
        <f>VLOOKUP($D1119,설문!$C$2:$G$444,4,FALSE)</f>
        <v>#N/A</v>
      </c>
      <c r="H1119" s="8" t="e">
        <f>VLOOKUP($D1119,설문!$C$2:$G$444,5,FALSE)</f>
        <v>#N/A</v>
      </c>
    </row>
    <row r="1120" spans="1:8">
      <c r="A1120" s="6" t="s">
        <v>773</v>
      </c>
      <c r="B1120" s="7" t="s">
        <v>3191</v>
      </c>
      <c r="C1120" s="7" t="s">
        <v>1771</v>
      </c>
      <c r="D1120" s="7" t="s">
        <v>3192</v>
      </c>
      <c r="E1120" s="6" t="s">
        <v>3193</v>
      </c>
      <c r="F1120" s="8" t="e">
        <f>VLOOKUP($D1120,설문!$C$2:$G$444,3,FALSE)</f>
        <v>#N/A</v>
      </c>
      <c r="G1120" s="8" t="e">
        <f>VLOOKUP($D1120,설문!$C$2:$G$444,4,FALSE)</f>
        <v>#N/A</v>
      </c>
      <c r="H1120" s="8" t="e">
        <f>VLOOKUP($D1120,설문!$C$2:$G$444,5,FALSE)</f>
        <v>#N/A</v>
      </c>
    </row>
    <row r="1121" spans="1:8">
      <c r="A1121" s="6" t="s">
        <v>773</v>
      </c>
      <c r="B1121" s="7" t="s">
        <v>983</v>
      </c>
      <c r="C1121" s="7" t="s">
        <v>983</v>
      </c>
      <c r="D1121" s="7" t="s">
        <v>3194</v>
      </c>
      <c r="E1121" s="6" t="s">
        <v>3195</v>
      </c>
      <c r="F1121" s="8" t="e">
        <f>VLOOKUP($D1121,설문!$C$2:$G$444,3,FALSE)</f>
        <v>#N/A</v>
      </c>
      <c r="G1121" s="8" t="e">
        <f>VLOOKUP($D1121,설문!$C$2:$G$444,4,FALSE)</f>
        <v>#N/A</v>
      </c>
      <c r="H1121" s="8" t="e">
        <f>VLOOKUP($D1121,설문!$C$2:$G$444,5,FALSE)</f>
        <v>#N/A</v>
      </c>
    </row>
    <row r="1122" spans="1:8">
      <c r="A1122" s="6" t="s">
        <v>773</v>
      </c>
      <c r="B1122" s="7" t="s">
        <v>3196</v>
      </c>
      <c r="C1122" s="7" t="s">
        <v>264</v>
      </c>
      <c r="D1122" s="7" t="s">
        <v>3197</v>
      </c>
      <c r="E1122" s="6" t="s">
        <v>3198</v>
      </c>
      <c r="F1122" s="8" t="e">
        <f>VLOOKUP($D1122,설문!$C$2:$G$444,3,FALSE)</f>
        <v>#N/A</v>
      </c>
      <c r="G1122" s="8" t="e">
        <f>VLOOKUP($D1122,설문!$C$2:$G$444,4,FALSE)</f>
        <v>#N/A</v>
      </c>
      <c r="H1122" s="8" t="e">
        <f>VLOOKUP($D1122,설문!$C$2:$G$444,5,FALSE)</f>
        <v>#N/A</v>
      </c>
    </row>
    <row r="1123" spans="1:8">
      <c r="A1123" s="6" t="s">
        <v>773</v>
      </c>
      <c r="B1123" s="7" t="s">
        <v>983</v>
      </c>
      <c r="C1123" s="7" t="s">
        <v>983</v>
      </c>
      <c r="D1123" s="7" t="s">
        <v>3199</v>
      </c>
      <c r="E1123" s="6" t="s">
        <v>3200</v>
      </c>
      <c r="F1123" s="8" t="e">
        <f>VLOOKUP($D1123,설문!$C$2:$G$444,3,FALSE)</f>
        <v>#N/A</v>
      </c>
      <c r="G1123" s="8" t="e">
        <f>VLOOKUP($D1123,설문!$C$2:$G$444,4,FALSE)</f>
        <v>#N/A</v>
      </c>
      <c r="H1123" s="8" t="e">
        <f>VLOOKUP($D1123,설문!$C$2:$G$444,5,FALSE)</f>
        <v>#N/A</v>
      </c>
    </row>
    <row r="1124" spans="1:8">
      <c r="A1124" s="6" t="s">
        <v>773</v>
      </c>
      <c r="B1124" s="7" t="s">
        <v>3196</v>
      </c>
      <c r="C1124" s="7" t="s">
        <v>3155</v>
      </c>
      <c r="D1124" s="7" t="s">
        <v>3201</v>
      </c>
      <c r="E1124" s="6" t="s">
        <v>3202</v>
      </c>
      <c r="F1124" s="8" t="str">
        <f>VLOOKUP($D1124,설문!$C$2:$G$444,3,FALSE)</f>
        <v>펀드매니저</v>
      </c>
      <c r="G1124" s="8" t="str">
        <f>VLOOKUP($D1124,설문!$C$2:$G$444,4,FALSE)</f>
        <v>금융회사,금융 유관기관</v>
      </c>
      <c r="H1124" s="8" t="str">
        <f>VLOOKUP($D1124,설문!$C$2:$G$444,5,FALSE)</f>
        <v>국내주식/지수,국내주식/지수관련파생,ETF/ETN</v>
      </c>
    </row>
    <row r="1125" spans="1:8">
      <c r="A1125" s="6" t="s">
        <v>773</v>
      </c>
      <c r="B1125" s="7" t="s">
        <v>3196</v>
      </c>
      <c r="C1125" s="7" t="s">
        <v>3196</v>
      </c>
      <c r="D1125" s="7" t="s">
        <v>3203</v>
      </c>
      <c r="E1125" s="6" t="s">
        <v>3204</v>
      </c>
      <c r="F1125" s="8" t="str">
        <f>VLOOKUP($D1125,설문!$C$2:$G$444,3,FALSE)</f>
        <v>펀드매니저</v>
      </c>
      <c r="G1125" s="8" t="str">
        <f>VLOOKUP($D1125,설문!$C$2:$G$444,4,FALSE)</f>
        <v>금융회사</v>
      </c>
      <c r="H1125" s="8" t="str">
        <f>VLOOKUP($D1125,설문!$C$2:$G$444,5,FALSE)</f>
        <v>국내주식/지수</v>
      </c>
    </row>
    <row r="1126" spans="1:8">
      <c r="A1126" s="6" t="s">
        <v>773</v>
      </c>
      <c r="B1126" s="7" t="s">
        <v>3196</v>
      </c>
      <c r="C1126" s="7" t="s">
        <v>3205</v>
      </c>
      <c r="D1126" s="7" t="s">
        <v>3206</v>
      </c>
      <c r="E1126" s="6" t="s">
        <v>3207</v>
      </c>
      <c r="F1126" s="8" t="str">
        <f>VLOOKUP($D1126,설문!$C$2:$G$444,3,FALSE)</f>
        <v>펀드매니저</v>
      </c>
      <c r="G1126" s="8" t="str">
        <f>VLOOKUP($D1126,설문!$C$2:$G$444,4,FALSE)</f>
        <v>금융회사,일반기업고객,개인고객</v>
      </c>
      <c r="H1126" s="8" t="str">
        <f>VLOOKUP($D1126,설문!$C$2:$G$444,5,FALSE)</f>
        <v>국내주식/지수,국내주식/지수관련파생,해외주식/지수,해외주식/지수관련파생</v>
      </c>
    </row>
    <row r="1127" spans="1:8">
      <c r="A1127" s="6" t="s">
        <v>773</v>
      </c>
      <c r="B1127" s="7" t="s">
        <v>3208</v>
      </c>
      <c r="C1127" s="7" t="s">
        <v>3209</v>
      </c>
      <c r="D1127" s="7" t="s">
        <v>3210</v>
      </c>
      <c r="E1127" s="6" t="s">
        <v>3211</v>
      </c>
      <c r="F1127" s="8" t="e">
        <f>VLOOKUP($D1127,설문!$C$2:$G$444,3,FALSE)</f>
        <v>#N/A</v>
      </c>
      <c r="G1127" s="8" t="e">
        <f>VLOOKUP($D1127,설문!$C$2:$G$444,4,FALSE)</f>
        <v>#N/A</v>
      </c>
      <c r="H1127" s="8" t="e">
        <f>VLOOKUP($D1127,설문!$C$2:$G$444,5,FALSE)</f>
        <v>#N/A</v>
      </c>
    </row>
    <row r="1128" spans="1:8">
      <c r="A1128" s="6" t="s">
        <v>773</v>
      </c>
      <c r="B1128" s="7" t="s">
        <v>3187</v>
      </c>
      <c r="C1128" s="7" t="s">
        <v>3188</v>
      </c>
      <c r="D1128" s="7" t="s">
        <v>3212</v>
      </c>
      <c r="E1128" s="6" t="s">
        <v>3213</v>
      </c>
      <c r="F1128" s="8" t="str">
        <f>VLOOKUP($D1128,설문!$C$2:$G$444,3,FALSE)</f>
        <v>펀드매니저</v>
      </c>
      <c r="G1128" s="8" t="str">
        <f>VLOOKUP($D1128,설문!$C$2:$G$444,4,FALSE)</f>
        <v>금융회사</v>
      </c>
      <c r="H1128" s="8" t="str">
        <f>VLOOKUP($D1128,설문!$C$2:$G$444,5,FALSE)</f>
        <v>국내주식/지수,해외주식/지수</v>
      </c>
    </row>
    <row r="1129" spans="1:8">
      <c r="A1129" s="6" t="s">
        <v>773</v>
      </c>
      <c r="B1129" s="7" t="s">
        <v>3214</v>
      </c>
      <c r="C1129" s="7" t="s">
        <v>3215</v>
      </c>
      <c r="D1129" s="7" t="s">
        <v>3216</v>
      </c>
      <c r="E1129" s="6" t="s">
        <v>3217</v>
      </c>
      <c r="F1129" s="8" t="e">
        <f>VLOOKUP($D1129,설문!$C$2:$G$444,3,FALSE)</f>
        <v>#N/A</v>
      </c>
      <c r="G1129" s="8" t="e">
        <f>VLOOKUP($D1129,설문!$C$2:$G$444,4,FALSE)</f>
        <v>#N/A</v>
      </c>
      <c r="H1129" s="8" t="e">
        <f>VLOOKUP($D1129,설문!$C$2:$G$444,5,FALSE)</f>
        <v>#N/A</v>
      </c>
    </row>
    <row r="1130" spans="1:8">
      <c r="A1130" s="6" t="s">
        <v>773</v>
      </c>
      <c r="B1130" s="7" t="s">
        <v>78</v>
      </c>
      <c r="C1130" s="7" t="s">
        <v>3218</v>
      </c>
      <c r="D1130" s="7" t="s">
        <v>3219</v>
      </c>
      <c r="E1130" s="6" t="s">
        <v>3220</v>
      </c>
      <c r="F1130" s="8" t="e">
        <f>VLOOKUP($D1130,설문!$C$2:$G$444,3,FALSE)</f>
        <v>#N/A</v>
      </c>
      <c r="G1130" s="8" t="e">
        <f>VLOOKUP($D1130,설문!$C$2:$G$444,4,FALSE)</f>
        <v>#N/A</v>
      </c>
      <c r="H1130" s="8" t="e">
        <f>VLOOKUP($D1130,설문!$C$2:$G$444,5,FALSE)</f>
        <v>#N/A</v>
      </c>
    </row>
    <row r="1131" spans="1:8">
      <c r="A1131" s="6" t="s">
        <v>773</v>
      </c>
      <c r="B1131" s="7" t="s">
        <v>78</v>
      </c>
      <c r="C1131" s="7" t="s">
        <v>69</v>
      </c>
      <c r="D1131" s="7" t="s">
        <v>3221</v>
      </c>
      <c r="E1131" s="6" t="s">
        <v>3222</v>
      </c>
      <c r="F1131" s="8" t="e">
        <f>VLOOKUP($D1131,설문!$C$2:$G$444,3,FALSE)</f>
        <v>#N/A</v>
      </c>
      <c r="G1131" s="8" t="e">
        <f>VLOOKUP($D1131,설문!$C$2:$G$444,4,FALSE)</f>
        <v>#N/A</v>
      </c>
      <c r="H1131" s="8" t="e">
        <f>VLOOKUP($D1131,설문!$C$2:$G$444,5,FALSE)</f>
        <v>#N/A</v>
      </c>
    </row>
    <row r="1132" spans="1:8">
      <c r="A1132" s="6" t="s">
        <v>773</v>
      </c>
      <c r="B1132" s="7" t="s">
        <v>78</v>
      </c>
      <c r="C1132" s="7" t="s">
        <v>1771</v>
      </c>
      <c r="D1132" s="7" t="s">
        <v>3223</v>
      </c>
      <c r="E1132" s="6" t="s">
        <v>3224</v>
      </c>
      <c r="F1132" s="8" t="str">
        <f>VLOOKUP($D1132,설문!$C$2:$G$444,3,FALSE)</f>
        <v>트레이더,백오피스</v>
      </c>
      <c r="G1132" s="8" t="str">
        <f>VLOOKUP($D1132,설문!$C$2:$G$444,4,FALSE)</f>
        <v>금융회사,금융 유관기관</v>
      </c>
      <c r="H1132" s="8" t="str">
        <f>VLOOKUP($D1132,설문!$C$2:$G$444,5,FALSE)</f>
        <v>국내주식/지수,국고채/통안채,회사채,국채선물,외화채권(KP제외),외화채권선물,국내주식/지수관련파생,신용파생,해외주식/지수,해외주식/지수관련파생,ETF/ETN</v>
      </c>
    </row>
    <row r="1133" spans="1:8">
      <c r="A1133" s="6" t="s">
        <v>773</v>
      </c>
      <c r="B1133" s="7" t="s">
        <v>78</v>
      </c>
      <c r="C1133" s="7" t="s">
        <v>3225</v>
      </c>
      <c r="D1133" s="7" t="s">
        <v>3226</v>
      </c>
      <c r="E1133" s="6" t="s">
        <v>3227</v>
      </c>
      <c r="F1133" s="8" t="str">
        <f>VLOOKUP($D1133,설문!$C$2:$G$444,3,FALSE)</f>
        <v>펀드매니저</v>
      </c>
      <c r="G1133" s="8" t="str">
        <f>VLOOKUP($D1133,설문!$C$2:$G$444,4,FALSE)</f>
        <v>금융회사,일반기업고객,개인고객</v>
      </c>
      <c r="H1133" s="8" t="str">
        <f>VLOOKUP($D1133,설문!$C$2:$G$444,5,FALSE)</f>
        <v>국내주식/지수,국고채/통안채,회사채,국내주식/지수관련파생,해외주식/지수,ETF/ETN</v>
      </c>
    </row>
    <row r="1134" spans="1:8">
      <c r="A1134" s="6" t="s">
        <v>773</v>
      </c>
      <c r="B1134" s="7" t="s">
        <v>78</v>
      </c>
      <c r="C1134" s="7" t="s">
        <v>78</v>
      </c>
      <c r="D1134" s="7" t="s">
        <v>3228</v>
      </c>
      <c r="E1134" s="6" t="s">
        <v>3229</v>
      </c>
      <c r="F1134" s="8" t="e">
        <f>VLOOKUP($D1134,설문!$C$2:$G$444,3,FALSE)</f>
        <v>#N/A</v>
      </c>
      <c r="G1134" s="8" t="e">
        <f>VLOOKUP($D1134,설문!$C$2:$G$444,4,FALSE)</f>
        <v>#N/A</v>
      </c>
      <c r="H1134" s="8" t="e">
        <f>VLOOKUP($D1134,설문!$C$2:$G$444,5,FALSE)</f>
        <v>#N/A</v>
      </c>
    </row>
    <row r="1135" spans="1:8">
      <c r="A1135" s="6" t="s">
        <v>773</v>
      </c>
      <c r="B1135" s="7" t="s">
        <v>3214</v>
      </c>
      <c r="C1135" s="7" t="s">
        <v>3215</v>
      </c>
      <c r="D1135" s="7" t="s">
        <v>3230</v>
      </c>
      <c r="E1135" s="6" t="s">
        <v>3204</v>
      </c>
      <c r="F1135" s="8" t="e">
        <f>VLOOKUP($D1135,설문!$C$2:$G$444,3,FALSE)</f>
        <v>#N/A</v>
      </c>
      <c r="G1135" s="8" t="e">
        <f>VLOOKUP($D1135,설문!$C$2:$G$444,4,FALSE)</f>
        <v>#N/A</v>
      </c>
      <c r="H1135" s="8" t="e">
        <f>VLOOKUP($D1135,설문!$C$2:$G$444,5,FALSE)</f>
        <v>#N/A</v>
      </c>
    </row>
    <row r="1136" spans="1:8">
      <c r="A1136" s="6" t="s">
        <v>773</v>
      </c>
      <c r="B1136" s="7" t="s">
        <v>78</v>
      </c>
      <c r="C1136" s="7" t="s">
        <v>1873</v>
      </c>
      <c r="D1136" s="7" t="s">
        <v>3231</v>
      </c>
      <c r="E1136" s="6" t="s">
        <v>3232</v>
      </c>
      <c r="F1136" s="8" t="e">
        <f>VLOOKUP($D1136,설문!$C$2:$G$444,3,FALSE)</f>
        <v>#N/A</v>
      </c>
      <c r="G1136" s="8" t="e">
        <f>VLOOKUP($D1136,설문!$C$2:$G$444,4,FALSE)</f>
        <v>#N/A</v>
      </c>
      <c r="H1136" s="8" t="e">
        <f>VLOOKUP($D1136,설문!$C$2:$G$444,5,FALSE)</f>
        <v>#N/A</v>
      </c>
    </row>
    <row r="1137" spans="1:8">
      <c r="A1137" s="6" t="s">
        <v>773</v>
      </c>
      <c r="B1137" s="7" t="s">
        <v>3214</v>
      </c>
      <c r="C1137" s="7" t="s">
        <v>3233</v>
      </c>
      <c r="D1137" s="7" t="s">
        <v>3234</v>
      </c>
      <c r="E1137" s="6" t="s">
        <v>3235</v>
      </c>
      <c r="F1137" s="8" t="e">
        <f>VLOOKUP($D1137,설문!$C$2:$G$444,3,FALSE)</f>
        <v>#N/A</v>
      </c>
      <c r="G1137" s="8" t="e">
        <f>VLOOKUP($D1137,설문!$C$2:$G$444,4,FALSE)</f>
        <v>#N/A</v>
      </c>
      <c r="H1137" s="8" t="e">
        <f>VLOOKUP($D1137,설문!$C$2:$G$444,5,FALSE)</f>
        <v>#N/A</v>
      </c>
    </row>
    <row r="1138" spans="1:8">
      <c r="A1138" s="6" t="s">
        <v>773</v>
      </c>
      <c r="B1138" s="7" t="s">
        <v>78</v>
      </c>
      <c r="C1138" s="7" t="s">
        <v>69</v>
      </c>
      <c r="D1138" s="7" t="s">
        <v>3236</v>
      </c>
      <c r="E1138" s="6" t="s">
        <v>3237</v>
      </c>
      <c r="F1138" s="8" t="e">
        <f>VLOOKUP($D1138,설문!$C$2:$G$444,3,FALSE)</f>
        <v>#N/A</v>
      </c>
      <c r="G1138" s="8" t="e">
        <f>VLOOKUP($D1138,설문!$C$2:$G$444,4,FALSE)</f>
        <v>#N/A</v>
      </c>
      <c r="H1138" s="8" t="e">
        <f>VLOOKUP($D1138,설문!$C$2:$G$444,5,FALSE)</f>
        <v>#N/A</v>
      </c>
    </row>
    <row r="1139" spans="1:8">
      <c r="A1139" s="6" t="s">
        <v>773</v>
      </c>
      <c r="B1139" s="7" t="s">
        <v>78</v>
      </c>
      <c r="C1139" s="7" t="s">
        <v>1873</v>
      </c>
      <c r="D1139" s="7" t="s">
        <v>3238</v>
      </c>
      <c r="E1139" s="6" t="s">
        <v>3239</v>
      </c>
      <c r="F1139" s="8" t="e">
        <f>VLOOKUP($D1139,설문!$C$2:$G$444,3,FALSE)</f>
        <v>#N/A</v>
      </c>
      <c r="G1139" s="8" t="e">
        <f>VLOOKUP($D1139,설문!$C$2:$G$444,4,FALSE)</f>
        <v>#N/A</v>
      </c>
      <c r="H1139" s="8" t="e">
        <f>VLOOKUP($D1139,설문!$C$2:$G$444,5,FALSE)</f>
        <v>#N/A</v>
      </c>
    </row>
    <row r="1140" spans="1:8">
      <c r="A1140" s="6" t="s">
        <v>773</v>
      </c>
      <c r="B1140" s="7" t="s">
        <v>78</v>
      </c>
      <c r="C1140" s="7" t="s">
        <v>3240</v>
      </c>
      <c r="D1140" s="7" t="s">
        <v>3241</v>
      </c>
      <c r="E1140" s="6" t="s">
        <v>3242</v>
      </c>
      <c r="F1140" s="8" t="e">
        <f>VLOOKUP($D1140,설문!$C$2:$G$444,3,FALSE)</f>
        <v>#N/A</v>
      </c>
      <c r="G1140" s="8" t="e">
        <f>VLOOKUP($D1140,설문!$C$2:$G$444,4,FALSE)</f>
        <v>#N/A</v>
      </c>
      <c r="H1140" s="8" t="e">
        <f>VLOOKUP($D1140,설문!$C$2:$G$444,5,FALSE)</f>
        <v>#N/A</v>
      </c>
    </row>
    <row r="1141" spans="1:8">
      <c r="A1141" s="6" t="s">
        <v>773</v>
      </c>
      <c r="B1141" s="7" t="s">
        <v>78</v>
      </c>
      <c r="C1141" s="7" t="s">
        <v>1873</v>
      </c>
      <c r="D1141" s="7" t="s">
        <v>3243</v>
      </c>
      <c r="E1141" s="6" t="s">
        <v>3244</v>
      </c>
      <c r="F1141" s="8" t="e">
        <f>VLOOKUP($D1141,설문!$C$2:$G$444,3,FALSE)</f>
        <v>#N/A</v>
      </c>
      <c r="G1141" s="8" t="e">
        <f>VLOOKUP($D1141,설문!$C$2:$G$444,4,FALSE)</f>
        <v>#N/A</v>
      </c>
      <c r="H1141" s="8" t="e">
        <f>VLOOKUP($D1141,설문!$C$2:$G$444,5,FALSE)</f>
        <v>#N/A</v>
      </c>
    </row>
    <row r="1142" spans="1:8">
      <c r="A1142" s="6" t="s">
        <v>773</v>
      </c>
      <c r="B1142" s="7" t="s">
        <v>78</v>
      </c>
      <c r="C1142" s="7" t="s">
        <v>3214</v>
      </c>
      <c r="D1142" s="7" t="s">
        <v>3245</v>
      </c>
      <c r="E1142" s="6" t="s">
        <v>3246</v>
      </c>
      <c r="F1142" s="8" t="e">
        <f>VLOOKUP($D1142,설문!$C$2:$G$444,3,FALSE)</f>
        <v>#N/A</v>
      </c>
      <c r="G1142" s="8" t="e">
        <f>VLOOKUP($D1142,설문!$C$2:$G$444,4,FALSE)</f>
        <v>#N/A</v>
      </c>
      <c r="H1142" s="8" t="e">
        <f>VLOOKUP($D1142,설문!$C$2:$G$444,5,FALSE)</f>
        <v>#N/A</v>
      </c>
    </row>
    <row r="1143" spans="1:8">
      <c r="A1143" s="6" t="s">
        <v>773</v>
      </c>
      <c r="B1143" s="7" t="s">
        <v>78</v>
      </c>
      <c r="C1143" s="7" t="s">
        <v>3247</v>
      </c>
      <c r="D1143" s="7" t="s">
        <v>3248</v>
      </c>
      <c r="E1143" s="6" t="s">
        <v>3249</v>
      </c>
      <c r="F1143" s="8" t="e">
        <f>VLOOKUP($D1143,설문!$C$2:$G$444,3,FALSE)</f>
        <v>#N/A</v>
      </c>
      <c r="G1143" s="8" t="e">
        <f>VLOOKUP($D1143,설문!$C$2:$G$444,4,FALSE)</f>
        <v>#N/A</v>
      </c>
      <c r="H1143" s="8" t="e">
        <f>VLOOKUP($D1143,설문!$C$2:$G$444,5,FALSE)</f>
        <v>#N/A</v>
      </c>
    </row>
    <row r="1144" spans="1:8">
      <c r="A1144" s="6" t="s">
        <v>773</v>
      </c>
      <c r="B1144" s="7" t="s">
        <v>78</v>
      </c>
      <c r="C1144" s="7" t="s">
        <v>1873</v>
      </c>
      <c r="D1144" s="7" t="s">
        <v>3250</v>
      </c>
      <c r="E1144" s="6" t="s">
        <v>3251</v>
      </c>
      <c r="F1144" s="8" t="e">
        <f>VLOOKUP($D1144,설문!$C$2:$G$444,3,FALSE)</f>
        <v>#N/A</v>
      </c>
      <c r="G1144" s="8" t="e">
        <f>VLOOKUP($D1144,설문!$C$2:$G$444,4,FALSE)</f>
        <v>#N/A</v>
      </c>
      <c r="H1144" s="8" t="e">
        <f>VLOOKUP($D1144,설문!$C$2:$G$444,5,FALSE)</f>
        <v>#N/A</v>
      </c>
    </row>
    <row r="1145" spans="1:8">
      <c r="A1145" s="6" t="s">
        <v>773</v>
      </c>
      <c r="B1145" s="7" t="s">
        <v>78</v>
      </c>
      <c r="C1145" s="7" t="s">
        <v>3252</v>
      </c>
      <c r="D1145" s="7" t="s">
        <v>3253</v>
      </c>
      <c r="E1145" s="6" t="s">
        <v>3254</v>
      </c>
      <c r="F1145" s="8" t="str">
        <f>VLOOKUP($D1145,설문!$C$2:$G$444,3,FALSE)</f>
        <v>펀드매니저</v>
      </c>
      <c r="G1145" s="8" t="str">
        <f>VLOOKUP($D1145,설문!$C$2:$G$444,4,FALSE)</f>
        <v>금융회사</v>
      </c>
      <c r="H1145" s="8" t="str">
        <f>VLOOKUP($D1145,설문!$C$2:$G$444,5,FALSE)</f>
        <v>국내주식/지수,국내주식/지수관련파생,원자재파생,해외주식/지수,해외주식/지수관련파생,ETF/ETN</v>
      </c>
    </row>
    <row r="1146" spans="1:8">
      <c r="A1146" s="6" t="s">
        <v>773</v>
      </c>
      <c r="B1146" s="7" t="s">
        <v>3255</v>
      </c>
      <c r="C1146" s="7" t="s">
        <v>3255</v>
      </c>
      <c r="D1146" s="7" t="s">
        <v>3256</v>
      </c>
      <c r="E1146" s="6" t="s">
        <v>3257</v>
      </c>
      <c r="F1146" s="8" t="e">
        <f>VLOOKUP($D1146,설문!$C$2:$G$444,3,FALSE)</f>
        <v>#N/A</v>
      </c>
      <c r="G1146" s="8" t="e">
        <f>VLOOKUP($D1146,설문!$C$2:$G$444,4,FALSE)</f>
        <v>#N/A</v>
      </c>
      <c r="H1146" s="8" t="e">
        <f>VLOOKUP($D1146,설문!$C$2:$G$444,5,FALSE)</f>
        <v>#N/A</v>
      </c>
    </row>
    <row r="1147" spans="1:8">
      <c r="A1147" s="6" t="s">
        <v>2219</v>
      </c>
      <c r="B1147" s="7" t="s">
        <v>9</v>
      </c>
      <c r="C1147" s="7" t="s">
        <v>9</v>
      </c>
      <c r="D1147" s="7" t="s">
        <v>2220</v>
      </c>
      <c r="E1147" s="6" t="s">
        <v>2221</v>
      </c>
      <c r="F1147" s="8" t="e">
        <f>VLOOKUP($D1147,설문!$C$2:$G$444,3,FALSE)</f>
        <v>#N/A</v>
      </c>
      <c r="G1147" s="8" t="e">
        <f>VLOOKUP($D1147,설문!$C$2:$G$444,4,FALSE)</f>
        <v>#N/A</v>
      </c>
      <c r="H1147" s="8" t="e">
        <f>VLOOKUP($D1147,설문!$C$2:$G$444,5,FALSE)</f>
        <v>#N/A</v>
      </c>
    </row>
    <row r="1148" spans="1:8">
      <c r="A1148" s="6" t="s">
        <v>107</v>
      </c>
      <c r="B1148" s="7" t="s">
        <v>108</v>
      </c>
      <c r="C1148" s="7" t="s">
        <v>108</v>
      </c>
      <c r="D1148" s="7" t="s">
        <v>109</v>
      </c>
      <c r="E1148" s="6" t="s">
        <v>110</v>
      </c>
      <c r="F1148" s="8" t="e">
        <f>VLOOKUP($D1148,설문!$C$2:$G$444,3,FALSE)</f>
        <v>#N/A</v>
      </c>
      <c r="G1148" s="8" t="e">
        <f>VLOOKUP($D1148,설문!$C$2:$G$444,4,FALSE)</f>
        <v>#N/A</v>
      </c>
      <c r="H1148" s="8" t="e">
        <f>VLOOKUP($D1148,설문!$C$2:$G$444,5,FALSE)</f>
        <v>#N/A</v>
      </c>
    </row>
    <row r="1149" spans="1:8">
      <c r="A1149" s="6" t="s">
        <v>107</v>
      </c>
      <c r="B1149" s="7" t="s">
        <v>108</v>
      </c>
      <c r="C1149" s="7" t="s">
        <v>108</v>
      </c>
      <c r="D1149" s="7" t="s">
        <v>1377</v>
      </c>
      <c r="E1149" s="6" t="s">
        <v>1378</v>
      </c>
      <c r="F1149" s="8" t="e">
        <f>VLOOKUP($D1149,설문!$C$2:$G$444,3,FALSE)</f>
        <v>#N/A</v>
      </c>
      <c r="G1149" s="8" t="e">
        <f>VLOOKUP($D1149,설문!$C$2:$G$444,4,FALSE)</f>
        <v>#N/A</v>
      </c>
      <c r="H1149" s="8" t="e">
        <f>VLOOKUP($D1149,설문!$C$2:$G$444,5,FALSE)</f>
        <v>#N/A</v>
      </c>
    </row>
    <row r="1150" spans="1:8">
      <c r="A1150" s="6" t="s">
        <v>107</v>
      </c>
      <c r="B1150" s="7" t="s">
        <v>108</v>
      </c>
      <c r="C1150" s="7" t="s">
        <v>108</v>
      </c>
      <c r="D1150" s="7" t="s">
        <v>5493</v>
      </c>
      <c r="E1150" s="6" t="s">
        <v>2895</v>
      </c>
      <c r="F1150" s="8" t="e">
        <f>VLOOKUP($D1150,설문!$C$2:$G$444,3,FALSE)</f>
        <v>#N/A</v>
      </c>
      <c r="G1150" s="8" t="e">
        <f>VLOOKUP($D1150,설문!$C$2:$G$444,4,FALSE)</f>
        <v>#N/A</v>
      </c>
      <c r="H1150" s="8" t="e">
        <f>VLOOKUP($D1150,설문!$C$2:$G$444,5,FALSE)</f>
        <v>#N/A</v>
      </c>
    </row>
    <row r="1151" spans="1:8">
      <c r="A1151" s="6" t="s">
        <v>107</v>
      </c>
      <c r="B1151" s="7" t="s">
        <v>108</v>
      </c>
      <c r="C1151" s="7" t="s">
        <v>108</v>
      </c>
      <c r="D1151" s="7" t="s">
        <v>5494</v>
      </c>
      <c r="E1151" s="6" t="s">
        <v>5495</v>
      </c>
      <c r="F1151" s="8" t="e">
        <f>VLOOKUP($D1151,설문!$C$2:$G$444,3,FALSE)</f>
        <v>#N/A</v>
      </c>
      <c r="G1151" s="8" t="e">
        <f>VLOOKUP($D1151,설문!$C$2:$G$444,4,FALSE)</f>
        <v>#N/A</v>
      </c>
      <c r="H1151" s="8" t="e">
        <f>VLOOKUP($D1151,설문!$C$2:$G$444,5,FALSE)</f>
        <v>#N/A</v>
      </c>
    </row>
    <row r="1152" spans="1:8">
      <c r="A1152" s="6" t="s">
        <v>107</v>
      </c>
      <c r="B1152" s="7" t="s">
        <v>108</v>
      </c>
      <c r="C1152" s="7" t="s">
        <v>108</v>
      </c>
      <c r="D1152" s="7" t="s">
        <v>5496</v>
      </c>
      <c r="E1152" s="6" t="s">
        <v>5497</v>
      </c>
      <c r="F1152" s="8" t="e">
        <f>VLOOKUP($D1152,설문!$C$2:$G$444,3,FALSE)</f>
        <v>#N/A</v>
      </c>
      <c r="G1152" s="8" t="e">
        <f>VLOOKUP($D1152,설문!$C$2:$G$444,4,FALSE)</f>
        <v>#N/A</v>
      </c>
      <c r="H1152" s="8" t="e">
        <f>VLOOKUP($D1152,설문!$C$2:$G$444,5,FALSE)</f>
        <v>#N/A</v>
      </c>
    </row>
    <row r="1153" spans="1:8">
      <c r="A1153" s="6" t="s">
        <v>107</v>
      </c>
      <c r="B1153" s="7" t="s">
        <v>108</v>
      </c>
      <c r="C1153" s="7" t="s">
        <v>108</v>
      </c>
      <c r="D1153" s="7" t="s">
        <v>5498</v>
      </c>
      <c r="E1153" s="6" t="s">
        <v>5499</v>
      </c>
      <c r="F1153" s="8" t="e">
        <f>VLOOKUP($D1153,설문!$C$2:$G$444,3,FALSE)</f>
        <v>#N/A</v>
      </c>
      <c r="G1153" s="8" t="e">
        <f>VLOOKUP($D1153,설문!$C$2:$G$444,4,FALSE)</f>
        <v>#N/A</v>
      </c>
      <c r="H1153" s="8" t="e">
        <f>VLOOKUP($D1153,설문!$C$2:$G$444,5,FALSE)</f>
        <v>#N/A</v>
      </c>
    </row>
    <row r="1154" spans="1:8">
      <c r="A1154" s="6" t="s">
        <v>107</v>
      </c>
      <c r="B1154" s="7" t="s">
        <v>108</v>
      </c>
      <c r="C1154" s="7" t="s">
        <v>108</v>
      </c>
      <c r="D1154" s="7" t="s">
        <v>5500</v>
      </c>
      <c r="E1154" s="6" t="s">
        <v>5501</v>
      </c>
      <c r="F1154" s="8" t="str">
        <f>VLOOKUP($D1154,설문!$C$2:$G$444,3,FALSE)</f>
        <v>백오피스</v>
      </c>
      <c r="G1154" s="8" t="str">
        <f>VLOOKUP($D1154,설문!$C$2:$G$444,4,FALSE)</f>
        <v>금융회사,일반기업고객</v>
      </c>
      <c r="H1154" s="8" t="str">
        <f>VLOOKUP($D1154,설문!$C$2:$G$444,5,FALSE)</f>
        <v>국고채/통안채,회사채,소액채권</v>
      </c>
    </row>
    <row r="1155" spans="1:8">
      <c r="A1155" s="6" t="s">
        <v>107</v>
      </c>
      <c r="B1155" s="7" t="s">
        <v>108</v>
      </c>
      <c r="C1155" s="7" t="s">
        <v>108</v>
      </c>
      <c r="D1155" s="7" t="s">
        <v>5502</v>
      </c>
      <c r="E1155" s="6" t="s">
        <v>5503</v>
      </c>
      <c r="F1155" s="8" t="e">
        <f>VLOOKUP($D1155,설문!$C$2:$G$444,3,FALSE)</f>
        <v>#N/A</v>
      </c>
      <c r="G1155" s="8" t="e">
        <f>VLOOKUP($D1155,설문!$C$2:$G$444,4,FALSE)</f>
        <v>#N/A</v>
      </c>
      <c r="H1155" s="8" t="e">
        <f>VLOOKUP($D1155,설문!$C$2:$G$444,5,FALSE)</f>
        <v>#N/A</v>
      </c>
    </row>
    <row r="1156" spans="1:8">
      <c r="A1156" s="6" t="s">
        <v>107</v>
      </c>
      <c r="B1156" s="7" t="s">
        <v>108</v>
      </c>
      <c r="C1156" s="7" t="s">
        <v>108</v>
      </c>
      <c r="D1156" s="7" t="s">
        <v>5504</v>
      </c>
      <c r="E1156" s="6" t="s">
        <v>5505</v>
      </c>
      <c r="F1156" s="8" t="e">
        <f>VLOOKUP($D1156,설문!$C$2:$G$444,3,FALSE)</f>
        <v>#N/A</v>
      </c>
      <c r="G1156" s="8" t="e">
        <f>VLOOKUP($D1156,설문!$C$2:$G$444,4,FALSE)</f>
        <v>#N/A</v>
      </c>
      <c r="H1156" s="8" t="e">
        <f>VLOOKUP($D1156,설문!$C$2:$G$444,5,FALSE)</f>
        <v>#N/A</v>
      </c>
    </row>
    <row r="1157" spans="1:8">
      <c r="A1157" s="6" t="s">
        <v>107</v>
      </c>
      <c r="B1157" s="7" t="s">
        <v>108</v>
      </c>
      <c r="C1157" s="7" t="s">
        <v>108</v>
      </c>
      <c r="D1157" s="7" t="s">
        <v>5506</v>
      </c>
      <c r="E1157" s="6" t="s">
        <v>5507</v>
      </c>
      <c r="F1157" s="8" t="str">
        <f>VLOOKUP($D1157,설문!$C$2:$G$444,3,FALSE)</f>
        <v>백오피스</v>
      </c>
      <c r="G1157" s="8" t="str">
        <f>VLOOKUP($D1157,설문!$C$2:$G$444,4,FALSE)</f>
        <v>금융회사,금융 유관기관,일반기업고객</v>
      </c>
      <c r="H1157" s="8" t="str">
        <f>VLOOKUP($D1157,설문!$C$2:$G$444,5,FALSE)</f>
        <v>국고채/통안채,회사채</v>
      </c>
    </row>
    <row r="1158" spans="1:8">
      <c r="A1158" s="6" t="s">
        <v>537</v>
      </c>
      <c r="B1158" s="7" t="s">
        <v>9</v>
      </c>
      <c r="C1158" s="7" t="s">
        <v>9</v>
      </c>
      <c r="D1158" s="7" t="s">
        <v>538</v>
      </c>
      <c r="E1158" s="6" t="s">
        <v>539</v>
      </c>
      <c r="F1158" s="8" t="e">
        <f>VLOOKUP($D1158,설문!$C$2:$G$444,3,FALSE)</f>
        <v>#N/A</v>
      </c>
      <c r="G1158" s="8" t="e">
        <f>VLOOKUP($D1158,설문!$C$2:$G$444,4,FALSE)</f>
        <v>#N/A</v>
      </c>
      <c r="H1158" s="8" t="e">
        <f>VLOOKUP($D1158,설문!$C$2:$G$444,5,FALSE)</f>
        <v>#N/A</v>
      </c>
    </row>
    <row r="1159" spans="1:8">
      <c r="A1159" s="6" t="s">
        <v>1044</v>
      </c>
      <c r="B1159" s="7" t="s">
        <v>718</v>
      </c>
      <c r="C1159" s="7" t="s">
        <v>718</v>
      </c>
      <c r="D1159" s="7" t="s">
        <v>1045</v>
      </c>
      <c r="E1159" s="6" t="s">
        <v>1046</v>
      </c>
      <c r="F1159" s="8" t="e">
        <f>VLOOKUP($D1159,설문!$C$2:$G$444,3,FALSE)</f>
        <v>#N/A</v>
      </c>
      <c r="G1159" s="8" t="e">
        <f>VLOOKUP($D1159,설문!$C$2:$G$444,4,FALSE)</f>
        <v>#N/A</v>
      </c>
      <c r="H1159" s="8" t="e">
        <f>VLOOKUP($D1159,설문!$C$2:$G$444,5,FALSE)</f>
        <v>#N/A</v>
      </c>
    </row>
    <row r="1160" spans="1:8">
      <c r="A1160" s="6" t="s">
        <v>1044</v>
      </c>
      <c r="B1160" s="7" t="s">
        <v>718</v>
      </c>
      <c r="C1160" s="7" t="s">
        <v>718</v>
      </c>
      <c r="D1160" s="7" t="s">
        <v>1047</v>
      </c>
      <c r="E1160" s="6" t="s">
        <v>1048</v>
      </c>
      <c r="F1160" s="8" t="str">
        <f>VLOOKUP($D1160,설문!$C$2:$G$444,3,FALSE)</f>
        <v>펀드매니저</v>
      </c>
      <c r="G1160" s="8" t="str">
        <f>VLOOKUP($D1160,설문!$C$2:$G$444,4,FALSE)</f>
        <v>금융회사</v>
      </c>
      <c r="H1160" s="8" t="str">
        <f>VLOOKUP($D1160,설문!$C$2:$G$444,5,FALSE)</f>
        <v>국고채/통안채</v>
      </c>
    </row>
    <row r="1161" spans="1:8">
      <c r="A1161" s="6" t="s">
        <v>1044</v>
      </c>
      <c r="B1161" s="7" t="s">
        <v>9</v>
      </c>
      <c r="C1161" s="7" t="s">
        <v>2313</v>
      </c>
      <c r="D1161" s="7" t="s">
        <v>2314</v>
      </c>
      <c r="E1161" s="6" t="s">
        <v>62</v>
      </c>
      <c r="F1161" s="8" t="e">
        <f>VLOOKUP($D1161,설문!$C$2:$G$444,3,FALSE)</f>
        <v>#N/A</v>
      </c>
      <c r="G1161" s="8" t="e">
        <f>VLOOKUP($D1161,설문!$C$2:$G$444,4,FALSE)</f>
        <v>#N/A</v>
      </c>
      <c r="H1161" s="8" t="e">
        <f>VLOOKUP($D1161,설문!$C$2:$G$444,5,FALSE)</f>
        <v>#N/A</v>
      </c>
    </row>
    <row r="1162" spans="1:8">
      <c r="A1162" s="6" t="s">
        <v>1044</v>
      </c>
      <c r="B1162" s="7" t="s">
        <v>78</v>
      </c>
      <c r="C1162" s="7" t="s">
        <v>78</v>
      </c>
      <c r="D1162" s="7" t="s">
        <v>2315</v>
      </c>
      <c r="E1162" s="6" t="s">
        <v>2316</v>
      </c>
      <c r="F1162" s="8" t="str">
        <f>VLOOKUP($D1162,설문!$C$2:$G$444,3,FALSE)</f>
        <v>펀드매니저</v>
      </c>
      <c r="G1162" s="8" t="str">
        <f>VLOOKUP($D1162,설문!$C$2:$G$444,4,FALSE)</f>
        <v>금융회사,금융 유관기관,기타</v>
      </c>
      <c r="H1162" s="8" t="str">
        <f>VLOOKUP($D1162,설문!$C$2:$G$444,5,FALSE)</f>
        <v>국내주식/지수</v>
      </c>
    </row>
    <row r="1163" spans="1:8">
      <c r="A1163" s="6" t="s">
        <v>1044</v>
      </c>
      <c r="B1163" s="7" t="s">
        <v>78</v>
      </c>
      <c r="C1163" s="7" t="s">
        <v>1698</v>
      </c>
      <c r="D1163" s="7" t="s">
        <v>2317</v>
      </c>
      <c r="E1163" s="6" t="s">
        <v>2318</v>
      </c>
      <c r="F1163" s="8" t="e">
        <f>VLOOKUP($D1163,설문!$C$2:$G$444,3,FALSE)</f>
        <v>#N/A</v>
      </c>
      <c r="G1163" s="8" t="e">
        <f>VLOOKUP($D1163,설문!$C$2:$G$444,4,FALSE)</f>
        <v>#N/A</v>
      </c>
      <c r="H1163" s="8" t="e">
        <f>VLOOKUP($D1163,설문!$C$2:$G$444,5,FALSE)</f>
        <v>#N/A</v>
      </c>
    </row>
    <row r="1164" spans="1:8">
      <c r="A1164" s="6" t="s">
        <v>1044</v>
      </c>
      <c r="B1164" s="7" t="s">
        <v>9</v>
      </c>
      <c r="C1164" s="7" t="s">
        <v>1698</v>
      </c>
      <c r="D1164" s="7" t="s">
        <v>2319</v>
      </c>
      <c r="E1164" s="6" t="s">
        <v>2320</v>
      </c>
      <c r="F1164" s="8" t="str">
        <f>VLOOKUP($D1164,설문!$C$2:$G$444,3,FALSE)</f>
        <v>트레이더</v>
      </c>
      <c r="G1164" s="8" t="str">
        <f>VLOOKUP($D1164,설문!$C$2:$G$444,4,FALSE)</f>
        <v>금융회사,금융 유관기관</v>
      </c>
      <c r="H1164" s="8" t="str">
        <f>VLOOKUP($D1164,설문!$C$2:$G$444,5,FALSE)</f>
        <v>국고채/통안채,회사채,국채선물,FX Spot &amp; FX Swap</v>
      </c>
    </row>
    <row r="1165" spans="1:8">
      <c r="A1165" s="6" t="s">
        <v>1044</v>
      </c>
      <c r="B1165" s="7" t="s">
        <v>9</v>
      </c>
      <c r="C1165" s="7" t="s">
        <v>264</v>
      </c>
      <c r="D1165" s="7" t="s">
        <v>2321</v>
      </c>
      <c r="E1165" s="6" t="s">
        <v>2322</v>
      </c>
      <c r="F1165" s="8" t="e">
        <f>VLOOKUP($D1165,설문!$C$2:$G$444,3,FALSE)</f>
        <v>#N/A</v>
      </c>
      <c r="G1165" s="8" t="e">
        <f>VLOOKUP($D1165,설문!$C$2:$G$444,4,FALSE)</f>
        <v>#N/A</v>
      </c>
      <c r="H1165" s="8" t="e">
        <f>VLOOKUP($D1165,설문!$C$2:$G$444,5,FALSE)</f>
        <v>#N/A</v>
      </c>
    </row>
    <row r="1166" spans="1:8">
      <c r="A1166" s="6" t="s">
        <v>1044</v>
      </c>
      <c r="B1166" s="7" t="s">
        <v>9</v>
      </c>
      <c r="C1166" s="7" t="s">
        <v>264</v>
      </c>
      <c r="D1166" s="7" t="s">
        <v>2323</v>
      </c>
      <c r="E1166" s="6" t="s">
        <v>2324</v>
      </c>
      <c r="F1166" s="8" t="e">
        <f>VLOOKUP($D1166,설문!$C$2:$G$444,3,FALSE)</f>
        <v>#N/A</v>
      </c>
      <c r="G1166" s="8" t="e">
        <f>VLOOKUP($D1166,설문!$C$2:$G$444,4,FALSE)</f>
        <v>#N/A</v>
      </c>
      <c r="H1166" s="8" t="e">
        <f>VLOOKUP($D1166,설문!$C$2:$G$444,5,FALSE)</f>
        <v>#N/A</v>
      </c>
    </row>
    <row r="1167" spans="1:8">
      <c r="A1167" s="6" t="s">
        <v>1044</v>
      </c>
      <c r="B1167" s="7" t="s">
        <v>9</v>
      </c>
      <c r="C1167" s="7" t="s">
        <v>264</v>
      </c>
      <c r="D1167" s="7" t="s">
        <v>2325</v>
      </c>
      <c r="E1167" s="6" t="s">
        <v>2326</v>
      </c>
      <c r="F1167" s="8" t="str">
        <f>VLOOKUP($D1167,설문!$C$2:$G$444,3,FALSE)</f>
        <v>펀드매니저,분석 및 전략</v>
      </c>
      <c r="G1167" s="8" t="str">
        <f>VLOOKUP($D1167,설문!$C$2:$G$444,4,FALSE)</f>
        <v>금융 유관기관</v>
      </c>
      <c r="H1167" s="8" t="str">
        <f>VLOOKUP($D1167,설문!$C$2:$G$444,5,FALSE)</f>
        <v>국고채/통안채,회사채,RP,국채선물,IB(발행, M&amp;A 등)</v>
      </c>
    </row>
    <row r="1168" spans="1:8">
      <c r="A1168" s="6" t="s">
        <v>1044</v>
      </c>
      <c r="B1168" s="7" t="s">
        <v>9</v>
      </c>
      <c r="C1168" s="7" t="s">
        <v>264</v>
      </c>
      <c r="D1168" s="7" t="s">
        <v>2327</v>
      </c>
      <c r="E1168" s="6" t="s">
        <v>2328</v>
      </c>
      <c r="F1168" s="8" t="e">
        <f>VLOOKUP($D1168,설문!$C$2:$G$444,3,FALSE)</f>
        <v>#N/A</v>
      </c>
      <c r="G1168" s="8" t="e">
        <f>VLOOKUP($D1168,설문!$C$2:$G$444,4,FALSE)</f>
        <v>#N/A</v>
      </c>
      <c r="H1168" s="8" t="e">
        <f>VLOOKUP($D1168,설문!$C$2:$G$444,5,FALSE)</f>
        <v>#N/A</v>
      </c>
    </row>
    <row r="1169" spans="1:8">
      <c r="A1169" s="6" t="s">
        <v>884</v>
      </c>
      <c r="B1169" s="7" t="s">
        <v>9</v>
      </c>
      <c r="C1169" s="7" t="s">
        <v>885</v>
      </c>
      <c r="D1169" s="7" t="s">
        <v>886</v>
      </c>
      <c r="E1169" s="6" t="s">
        <v>887</v>
      </c>
      <c r="F1169" s="8" t="e">
        <f>VLOOKUP($D1169,설문!$C$2:$G$444,3,FALSE)</f>
        <v>#N/A</v>
      </c>
      <c r="G1169" s="8" t="e">
        <f>VLOOKUP($D1169,설문!$C$2:$G$444,4,FALSE)</f>
        <v>#N/A</v>
      </c>
      <c r="H1169" s="8" t="e">
        <f>VLOOKUP($D1169,설문!$C$2:$G$444,5,FALSE)</f>
        <v>#N/A</v>
      </c>
    </row>
    <row r="1170" spans="1:8">
      <c r="A1170" s="6" t="s">
        <v>99</v>
      </c>
      <c r="B1170" s="7" t="s">
        <v>100</v>
      </c>
      <c r="C1170" s="7" t="s">
        <v>100</v>
      </c>
      <c r="D1170" s="7" t="s">
        <v>101</v>
      </c>
      <c r="E1170" s="6" t="s">
        <v>102</v>
      </c>
      <c r="F1170" s="8" t="e">
        <f>VLOOKUP($D1170,설문!$C$2:$G$444,3,FALSE)</f>
        <v>#N/A</v>
      </c>
      <c r="G1170" s="8" t="e">
        <f>VLOOKUP($D1170,설문!$C$2:$G$444,4,FALSE)</f>
        <v>#N/A</v>
      </c>
      <c r="H1170" s="8" t="e">
        <f>VLOOKUP($D1170,설문!$C$2:$G$444,5,FALSE)</f>
        <v>#N/A</v>
      </c>
    </row>
    <row r="1171" spans="1:8">
      <c r="A1171" s="6" t="s">
        <v>99</v>
      </c>
      <c r="B1171" s="7" t="s">
        <v>119</v>
      </c>
      <c r="C1171" s="7" t="s">
        <v>119</v>
      </c>
      <c r="D1171" s="7" t="s">
        <v>120</v>
      </c>
      <c r="E1171" s="6" t="s">
        <v>121</v>
      </c>
      <c r="F1171" s="8" t="e">
        <f>VLOOKUP($D1171,설문!$C$2:$G$444,3,FALSE)</f>
        <v>#N/A</v>
      </c>
      <c r="G1171" s="8" t="e">
        <f>VLOOKUP($D1171,설문!$C$2:$G$444,4,FALSE)</f>
        <v>#N/A</v>
      </c>
      <c r="H1171" s="8" t="e">
        <f>VLOOKUP($D1171,설문!$C$2:$G$444,5,FALSE)</f>
        <v>#N/A</v>
      </c>
    </row>
    <row r="1172" spans="1:8">
      <c r="A1172" s="6" t="s">
        <v>99</v>
      </c>
      <c r="B1172" s="7" t="s">
        <v>119</v>
      </c>
      <c r="C1172" s="7" t="s">
        <v>119</v>
      </c>
      <c r="D1172" s="7" t="s">
        <v>122</v>
      </c>
      <c r="E1172" s="6" t="s">
        <v>123</v>
      </c>
      <c r="F1172" s="8" t="e">
        <f>VLOOKUP($D1172,설문!$C$2:$G$444,3,FALSE)</f>
        <v>#N/A</v>
      </c>
      <c r="G1172" s="8" t="e">
        <f>VLOOKUP($D1172,설문!$C$2:$G$444,4,FALSE)</f>
        <v>#N/A</v>
      </c>
      <c r="H1172" s="8" t="e">
        <f>VLOOKUP($D1172,설문!$C$2:$G$444,5,FALSE)</f>
        <v>#N/A</v>
      </c>
    </row>
    <row r="1173" spans="1:8">
      <c r="A1173" s="6" t="s">
        <v>99</v>
      </c>
      <c r="B1173" s="7" t="s">
        <v>119</v>
      </c>
      <c r="C1173" s="7" t="s">
        <v>119</v>
      </c>
      <c r="D1173" s="7" t="s">
        <v>255</v>
      </c>
      <c r="E1173" s="6" t="s">
        <v>256</v>
      </c>
      <c r="F1173" s="8" t="e">
        <f>VLOOKUP($D1173,설문!$C$2:$G$444,3,FALSE)</f>
        <v>#N/A</v>
      </c>
      <c r="G1173" s="8" t="e">
        <f>VLOOKUP($D1173,설문!$C$2:$G$444,4,FALSE)</f>
        <v>#N/A</v>
      </c>
      <c r="H1173" s="8" t="e">
        <f>VLOOKUP($D1173,설문!$C$2:$G$444,5,FALSE)</f>
        <v>#N/A</v>
      </c>
    </row>
    <row r="1174" spans="1:8">
      <c r="A1174" s="6" t="s">
        <v>99</v>
      </c>
      <c r="B1174" s="7" t="s">
        <v>850</v>
      </c>
      <c r="C1174" s="7" t="s">
        <v>850</v>
      </c>
      <c r="D1174" s="7" t="s">
        <v>851</v>
      </c>
      <c r="E1174" s="6" t="s">
        <v>852</v>
      </c>
      <c r="F1174" s="8" t="e">
        <f>VLOOKUP($D1174,설문!$C$2:$G$444,3,FALSE)</f>
        <v>#N/A</v>
      </c>
      <c r="G1174" s="8" t="e">
        <f>VLOOKUP($D1174,설문!$C$2:$G$444,4,FALSE)</f>
        <v>#N/A</v>
      </c>
      <c r="H1174" s="8" t="e">
        <f>VLOOKUP($D1174,설문!$C$2:$G$444,5,FALSE)</f>
        <v>#N/A</v>
      </c>
    </row>
    <row r="1175" spans="1:8">
      <c r="A1175" s="6" t="s">
        <v>99</v>
      </c>
      <c r="B1175" s="7" t="s">
        <v>119</v>
      </c>
      <c r="C1175" s="7" t="s">
        <v>119</v>
      </c>
      <c r="D1175" s="7" t="s">
        <v>1012</v>
      </c>
      <c r="E1175" s="6" t="s">
        <v>656</v>
      </c>
      <c r="F1175" s="8" t="e">
        <f>VLOOKUP($D1175,설문!$C$2:$G$444,3,FALSE)</f>
        <v>#N/A</v>
      </c>
      <c r="G1175" s="8" t="e">
        <f>VLOOKUP($D1175,설문!$C$2:$G$444,4,FALSE)</f>
        <v>#N/A</v>
      </c>
      <c r="H1175" s="8" t="e">
        <f>VLOOKUP($D1175,설문!$C$2:$G$444,5,FALSE)</f>
        <v>#N/A</v>
      </c>
    </row>
    <row r="1176" spans="1:8">
      <c r="A1176" s="6" t="s">
        <v>99</v>
      </c>
      <c r="B1176" s="7" t="s">
        <v>119</v>
      </c>
      <c r="C1176" s="7" t="s">
        <v>119</v>
      </c>
      <c r="D1176" s="7" t="s">
        <v>1013</v>
      </c>
      <c r="E1176" s="6" t="s">
        <v>1014</v>
      </c>
      <c r="F1176" s="8" t="str">
        <f>VLOOKUP($D1176,설문!$C$2:$G$444,3,FALSE)</f>
        <v>딜러,브로커</v>
      </c>
      <c r="G1176" s="8" t="str">
        <f>VLOOKUP($D1176,설문!$C$2:$G$444,4,FALSE)</f>
        <v>금융회사</v>
      </c>
      <c r="H1176" s="8" t="str">
        <f>VLOOKUP($D1176,설문!$C$2:$G$444,5,FALSE)</f>
        <v>국고채/통안채,회사채,국채선물</v>
      </c>
    </row>
    <row r="1177" spans="1:8">
      <c r="A1177" s="6" t="s">
        <v>99</v>
      </c>
      <c r="B1177" s="7" t="s">
        <v>100</v>
      </c>
      <c r="C1177" s="7" t="s">
        <v>100</v>
      </c>
      <c r="D1177" s="7" t="s">
        <v>1023</v>
      </c>
      <c r="E1177" s="6" t="s">
        <v>1024</v>
      </c>
      <c r="F1177" s="8" t="e">
        <f>VLOOKUP($D1177,설문!$C$2:$G$444,3,FALSE)</f>
        <v>#N/A</v>
      </c>
      <c r="G1177" s="8" t="e">
        <f>VLOOKUP($D1177,설문!$C$2:$G$444,4,FALSE)</f>
        <v>#N/A</v>
      </c>
      <c r="H1177" s="8" t="e">
        <f>VLOOKUP($D1177,설문!$C$2:$G$444,5,FALSE)</f>
        <v>#N/A</v>
      </c>
    </row>
    <row r="1178" spans="1:8">
      <c r="A1178" s="6" t="s">
        <v>99</v>
      </c>
      <c r="B1178" s="7" t="s">
        <v>100</v>
      </c>
      <c r="C1178" s="7" t="s">
        <v>100</v>
      </c>
      <c r="D1178" s="7" t="s">
        <v>1025</v>
      </c>
      <c r="E1178" s="6" t="s">
        <v>1024</v>
      </c>
      <c r="F1178" s="8" t="e">
        <f>VLOOKUP($D1178,설문!$C$2:$G$444,3,FALSE)</f>
        <v>#N/A</v>
      </c>
      <c r="G1178" s="8" t="e">
        <f>VLOOKUP($D1178,설문!$C$2:$G$444,4,FALSE)</f>
        <v>#N/A</v>
      </c>
      <c r="H1178" s="8" t="e">
        <f>VLOOKUP($D1178,설문!$C$2:$G$444,5,FALSE)</f>
        <v>#N/A</v>
      </c>
    </row>
    <row r="1179" spans="1:8">
      <c r="A1179" s="6" t="s">
        <v>99</v>
      </c>
      <c r="B1179" s="7" t="s">
        <v>100</v>
      </c>
      <c r="C1179" s="7" t="s">
        <v>100</v>
      </c>
      <c r="D1179" s="7" t="s">
        <v>1073</v>
      </c>
      <c r="E1179" s="6" t="s">
        <v>1074</v>
      </c>
      <c r="F1179" s="8" t="e">
        <f>VLOOKUP($D1179,설문!$C$2:$G$444,3,FALSE)</f>
        <v>#N/A</v>
      </c>
      <c r="G1179" s="8" t="e">
        <f>VLOOKUP($D1179,설문!$C$2:$G$444,4,FALSE)</f>
        <v>#N/A</v>
      </c>
      <c r="H1179" s="8" t="e">
        <f>VLOOKUP($D1179,설문!$C$2:$G$444,5,FALSE)</f>
        <v>#N/A</v>
      </c>
    </row>
    <row r="1180" spans="1:8">
      <c r="A1180" s="6" t="s">
        <v>99</v>
      </c>
      <c r="B1180" s="7" t="s">
        <v>100</v>
      </c>
      <c r="C1180" s="7" t="s">
        <v>100</v>
      </c>
      <c r="D1180" s="7" t="s">
        <v>1075</v>
      </c>
      <c r="E1180" s="6" t="s">
        <v>1076</v>
      </c>
      <c r="F1180" s="8" t="str">
        <f>VLOOKUP($D1180,설문!$C$2:$G$444,3,FALSE)</f>
        <v>브로커</v>
      </c>
      <c r="G1180" s="8" t="str">
        <f>VLOOKUP($D1180,설문!$C$2:$G$444,4,FALSE)</f>
        <v>금융회사</v>
      </c>
      <c r="H1180" s="8" t="str">
        <f>VLOOKUP($D1180,설문!$C$2:$G$444,5,FALSE)</f>
        <v>국고채/통안채,회사채,소액채권</v>
      </c>
    </row>
    <row r="1181" spans="1:8">
      <c r="A1181" s="6" t="s">
        <v>99</v>
      </c>
      <c r="B1181" s="7" t="s">
        <v>100</v>
      </c>
      <c r="C1181" s="7" t="s">
        <v>100</v>
      </c>
      <c r="D1181" s="7" t="s">
        <v>1077</v>
      </c>
      <c r="E1181" s="6" t="s">
        <v>1078</v>
      </c>
      <c r="F1181" s="8" t="str">
        <f>VLOOKUP($D1181,설문!$C$2:$G$444,3,FALSE)</f>
        <v>딜러,세일즈,브로커</v>
      </c>
      <c r="G1181" s="8" t="str">
        <f>VLOOKUP($D1181,설문!$C$2:$G$444,4,FALSE)</f>
        <v>금융회사</v>
      </c>
      <c r="H1181" s="8" t="str">
        <f>VLOOKUP($D1181,설문!$C$2:$G$444,5,FALSE)</f>
        <v>국고채/통안채,회사채,소액채권,RP,국채선물,외화채권(KP제외),외화채권선물,원화 구조화채권,외화 구조화채권,대체투자(부동산/인프라)</v>
      </c>
    </row>
    <row r="1182" spans="1:8">
      <c r="A1182" s="6" t="s">
        <v>99</v>
      </c>
      <c r="B1182" s="7" t="s">
        <v>100</v>
      </c>
      <c r="C1182" s="7" t="s">
        <v>100</v>
      </c>
      <c r="D1182" s="7" t="s">
        <v>1082</v>
      </c>
      <c r="E1182" s="6" t="s">
        <v>1083</v>
      </c>
      <c r="F1182" s="8" t="e">
        <f>VLOOKUP($D1182,설문!$C$2:$G$444,3,FALSE)</f>
        <v>#N/A</v>
      </c>
      <c r="G1182" s="8" t="e">
        <f>VLOOKUP($D1182,설문!$C$2:$G$444,4,FALSE)</f>
        <v>#N/A</v>
      </c>
      <c r="H1182" s="8" t="e">
        <f>VLOOKUP($D1182,설문!$C$2:$G$444,5,FALSE)</f>
        <v>#N/A</v>
      </c>
    </row>
    <row r="1183" spans="1:8">
      <c r="A1183" s="6" t="s">
        <v>99</v>
      </c>
      <c r="B1183" s="7" t="s">
        <v>100</v>
      </c>
      <c r="C1183" s="7" t="s">
        <v>100</v>
      </c>
      <c r="D1183" s="7" t="s">
        <v>1084</v>
      </c>
      <c r="E1183" s="6" t="s">
        <v>1076</v>
      </c>
      <c r="F1183" s="8" t="e">
        <f>VLOOKUP($D1183,설문!$C$2:$G$444,3,FALSE)</f>
        <v>#N/A</v>
      </c>
      <c r="G1183" s="8" t="e">
        <f>VLOOKUP($D1183,설문!$C$2:$G$444,4,FALSE)</f>
        <v>#N/A</v>
      </c>
      <c r="H1183" s="8" t="e">
        <f>VLOOKUP($D1183,설문!$C$2:$G$444,5,FALSE)</f>
        <v>#N/A</v>
      </c>
    </row>
    <row r="1184" spans="1:8">
      <c r="A1184" s="6" t="s">
        <v>99</v>
      </c>
      <c r="B1184" s="7" t="s">
        <v>100</v>
      </c>
      <c r="C1184" s="7" t="s">
        <v>100</v>
      </c>
      <c r="D1184" s="7" t="s">
        <v>1085</v>
      </c>
      <c r="E1184" s="6" t="s">
        <v>1086</v>
      </c>
      <c r="F1184" s="8" t="e">
        <f>VLOOKUP($D1184,설문!$C$2:$G$444,3,FALSE)</f>
        <v>#N/A</v>
      </c>
      <c r="G1184" s="8" t="e">
        <f>VLOOKUP($D1184,설문!$C$2:$G$444,4,FALSE)</f>
        <v>#N/A</v>
      </c>
      <c r="H1184" s="8" t="e">
        <f>VLOOKUP($D1184,설문!$C$2:$G$444,5,FALSE)</f>
        <v>#N/A</v>
      </c>
    </row>
    <row r="1185" spans="1:8">
      <c r="A1185" s="6" t="s">
        <v>99</v>
      </c>
      <c r="B1185" s="7" t="s">
        <v>119</v>
      </c>
      <c r="C1185" s="7" t="s">
        <v>119</v>
      </c>
      <c r="D1185" s="7" t="s">
        <v>1249</v>
      </c>
      <c r="E1185" s="6" t="s">
        <v>1250</v>
      </c>
      <c r="F1185" s="8" t="e">
        <f>VLOOKUP($D1185,설문!$C$2:$G$444,3,FALSE)</f>
        <v>#N/A</v>
      </c>
      <c r="G1185" s="8" t="e">
        <f>VLOOKUP($D1185,설문!$C$2:$G$444,4,FALSE)</f>
        <v>#N/A</v>
      </c>
      <c r="H1185" s="8" t="e">
        <f>VLOOKUP($D1185,설문!$C$2:$G$444,5,FALSE)</f>
        <v>#N/A</v>
      </c>
    </row>
    <row r="1186" spans="1:8">
      <c r="A1186" s="6" t="s">
        <v>99</v>
      </c>
      <c r="B1186" s="7" t="s">
        <v>119</v>
      </c>
      <c r="C1186" s="7" t="s">
        <v>119</v>
      </c>
      <c r="D1186" s="7" t="s">
        <v>1304</v>
      </c>
      <c r="E1186" s="6" t="s">
        <v>582</v>
      </c>
      <c r="F1186" s="8" t="e">
        <f>VLOOKUP($D1186,설문!$C$2:$G$444,3,FALSE)</f>
        <v>#N/A</v>
      </c>
      <c r="G1186" s="8" t="e">
        <f>VLOOKUP($D1186,설문!$C$2:$G$444,4,FALSE)</f>
        <v>#N/A</v>
      </c>
      <c r="H1186" s="8" t="e">
        <f>VLOOKUP($D1186,설문!$C$2:$G$444,5,FALSE)</f>
        <v>#N/A</v>
      </c>
    </row>
    <row r="1187" spans="1:8">
      <c r="A1187" s="6" t="s">
        <v>99</v>
      </c>
      <c r="B1187" s="7" t="s">
        <v>119</v>
      </c>
      <c r="C1187" s="7" t="s">
        <v>898</v>
      </c>
      <c r="D1187" s="7" t="s">
        <v>1736</v>
      </c>
      <c r="E1187" s="6" t="s">
        <v>1737</v>
      </c>
      <c r="F1187" s="8" t="e">
        <f>VLOOKUP($D1187,설문!$C$2:$G$444,3,FALSE)</f>
        <v>#N/A</v>
      </c>
      <c r="G1187" s="8" t="e">
        <f>VLOOKUP($D1187,설문!$C$2:$G$444,4,FALSE)</f>
        <v>#N/A</v>
      </c>
      <c r="H1187" s="8" t="e">
        <f>VLOOKUP($D1187,설문!$C$2:$G$444,5,FALSE)</f>
        <v>#N/A</v>
      </c>
    </row>
    <row r="1188" spans="1:8">
      <c r="A1188" s="6" t="s">
        <v>99</v>
      </c>
      <c r="B1188" s="7" t="s">
        <v>6016</v>
      </c>
      <c r="C1188" s="7" t="s">
        <v>6016</v>
      </c>
      <c r="D1188" s="7" t="s">
        <v>6239</v>
      </c>
      <c r="E1188" s="6" t="s">
        <v>6240</v>
      </c>
      <c r="F1188" s="8" t="e">
        <f>VLOOKUP($D1188,설문!$C$2:$G$444,3,FALSE)</f>
        <v>#N/A</v>
      </c>
      <c r="G1188" s="8" t="e">
        <f>VLOOKUP($D1188,설문!$C$2:$G$444,4,FALSE)</f>
        <v>#N/A</v>
      </c>
      <c r="H1188" s="8" t="e">
        <f>VLOOKUP($D1188,설문!$C$2:$G$444,5,FALSE)</f>
        <v>#N/A</v>
      </c>
    </row>
    <row r="1189" spans="1:8">
      <c r="A1189" s="6" t="s">
        <v>99</v>
      </c>
      <c r="B1189" s="7" t="s">
        <v>3032</v>
      </c>
      <c r="C1189" s="7" t="s">
        <v>3032</v>
      </c>
      <c r="D1189" s="7" t="s">
        <v>6241</v>
      </c>
      <c r="E1189" s="6" t="s">
        <v>6242</v>
      </c>
      <c r="F1189" s="8" t="e">
        <f>VLOOKUP($D1189,설문!$C$2:$G$444,3,FALSE)</f>
        <v>#N/A</v>
      </c>
      <c r="G1189" s="8" t="e">
        <f>VLOOKUP($D1189,설문!$C$2:$G$444,4,FALSE)</f>
        <v>#N/A</v>
      </c>
      <c r="H1189" s="8" t="e">
        <f>VLOOKUP($D1189,설문!$C$2:$G$444,5,FALSE)</f>
        <v>#N/A</v>
      </c>
    </row>
    <row r="1190" spans="1:8">
      <c r="A1190" s="6" t="s">
        <v>99</v>
      </c>
      <c r="B1190" s="7" t="s">
        <v>112</v>
      </c>
      <c r="C1190" s="7" t="s">
        <v>149</v>
      </c>
      <c r="D1190" s="7" t="s">
        <v>6243</v>
      </c>
      <c r="E1190" s="6" t="s">
        <v>3784</v>
      </c>
      <c r="F1190" s="8" t="e">
        <f>VLOOKUP($D1190,설문!$C$2:$G$444,3,FALSE)</f>
        <v>#N/A</v>
      </c>
      <c r="G1190" s="8" t="e">
        <f>VLOOKUP($D1190,설문!$C$2:$G$444,4,FALSE)</f>
        <v>#N/A</v>
      </c>
      <c r="H1190" s="8" t="e">
        <f>VLOOKUP($D1190,설문!$C$2:$G$444,5,FALSE)</f>
        <v>#N/A</v>
      </c>
    </row>
    <row r="1191" spans="1:8">
      <c r="A1191" s="6" t="s">
        <v>99</v>
      </c>
      <c r="B1191" s="7" t="s">
        <v>112</v>
      </c>
      <c r="C1191" s="7" t="s">
        <v>149</v>
      </c>
      <c r="D1191" s="7" t="s">
        <v>6244</v>
      </c>
      <c r="E1191" s="6" t="s">
        <v>6245</v>
      </c>
      <c r="F1191" s="8" t="e">
        <f>VLOOKUP($D1191,설문!$C$2:$G$444,3,FALSE)</f>
        <v>#N/A</v>
      </c>
      <c r="G1191" s="8" t="e">
        <f>VLOOKUP($D1191,설문!$C$2:$G$444,4,FALSE)</f>
        <v>#N/A</v>
      </c>
      <c r="H1191" s="8" t="e">
        <f>VLOOKUP($D1191,설문!$C$2:$G$444,5,FALSE)</f>
        <v>#N/A</v>
      </c>
    </row>
    <row r="1192" spans="1:8">
      <c r="A1192" s="6" t="s">
        <v>99</v>
      </c>
      <c r="B1192" s="7" t="s">
        <v>112</v>
      </c>
      <c r="C1192" s="7" t="s">
        <v>149</v>
      </c>
      <c r="D1192" s="7" t="s">
        <v>6246</v>
      </c>
      <c r="E1192" s="6" t="s">
        <v>6247</v>
      </c>
      <c r="F1192" s="8" t="e">
        <f>VLOOKUP($D1192,설문!$C$2:$G$444,3,FALSE)</f>
        <v>#N/A</v>
      </c>
      <c r="G1192" s="8" t="e">
        <f>VLOOKUP($D1192,설문!$C$2:$G$444,4,FALSE)</f>
        <v>#N/A</v>
      </c>
      <c r="H1192" s="8" t="e">
        <f>VLOOKUP($D1192,설문!$C$2:$G$444,5,FALSE)</f>
        <v>#N/A</v>
      </c>
    </row>
    <row r="1193" spans="1:8">
      <c r="A1193" s="6" t="s">
        <v>99</v>
      </c>
      <c r="B1193" s="7" t="s">
        <v>112</v>
      </c>
      <c r="C1193" s="7" t="s">
        <v>149</v>
      </c>
      <c r="D1193" s="7" t="s">
        <v>6248</v>
      </c>
      <c r="E1193" s="6" t="s">
        <v>6249</v>
      </c>
      <c r="F1193" s="8" t="e">
        <f>VLOOKUP($D1193,설문!$C$2:$G$444,3,FALSE)</f>
        <v>#N/A</v>
      </c>
      <c r="G1193" s="8" t="e">
        <f>VLOOKUP($D1193,설문!$C$2:$G$444,4,FALSE)</f>
        <v>#N/A</v>
      </c>
      <c r="H1193" s="8" t="e">
        <f>VLOOKUP($D1193,설문!$C$2:$G$444,5,FALSE)</f>
        <v>#N/A</v>
      </c>
    </row>
    <row r="1194" spans="1:8">
      <c r="A1194" s="6" t="s">
        <v>99</v>
      </c>
      <c r="B1194" s="7" t="s">
        <v>1319</v>
      </c>
      <c r="C1194" s="7" t="s">
        <v>1319</v>
      </c>
      <c r="D1194" s="7" t="s">
        <v>6250</v>
      </c>
      <c r="E1194" s="6" t="s">
        <v>6251</v>
      </c>
      <c r="F1194" s="8" t="e">
        <f>VLOOKUP($D1194,설문!$C$2:$G$444,3,FALSE)</f>
        <v>#N/A</v>
      </c>
      <c r="G1194" s="8" t="e">
        <f>VLOOKUP($D1194,설문!$C$2:$G$444,4,FALSE)</f>
        <v>#N/A</v>
      </c>
      <c r="H1194" s="8" t="e">
        <f>VLOOKUP($D1194,설문!$C$2:$G$444,5,FALSE)</f>
        <v>#N/A</v>
      </c>
    </row>
    <row r="1195" spans="1:8">
      <c r="A1195" s="6" t="s">
        <v>99</v>
      </c>
      <c r="B1195" s="7" t="s">
        <v>1512</v>
      </c>
      <c r="C1195" s="7" t="s">
        <v>1512</v>
      </c>
      <c r="D1195" s="7" t="s">
        <v>6252</v>
      </c>
      <c r="E1195" s="6" t="s">
        <v>6253</v>
      </c>
      <c r="F1195" s="8" t="e">
        <f>VLOOKUP($D1195,설문!$C$2:$G$444,3,FALSE)</f>
        <v>#N/A</v>
      </c>
      <c r="G1195" s="8" t="e">
        <f>VLOOKUP($D1195,설문!$C$2:$G$444,4,FALSE)</f>
        <v>#N/A</v>
      </c>
      <c r="H1195" s="8" t="e">
        <f>VLOOKUP($D1195,설문!$C$2:$G$444,5,FALSE)</f>
        <v>#N/A</v>
      </c>
    </row>
    <row r="1196" spans="1:8">
      <c r="A1196" s="6" t="s">
        <v>99</v>
      </c>
      <c r="B1196" s="7" t="s">
        <v>1512</v>
      </c>
      <c r="C1196" s="7" t="s">
        <v>1512</v>
      </c>
      <c r="D1196" s="7" t="s">
        <v>6254</v>
      </c>
      <c r="E1196" s="6" t="s">
        <v>6255</v>
      </c>
      <c r="F1196" s="8" t="e">
        <f>VLOOKUP($D1196,설문!$C$2:$G$444,3,FALSE)</f>
        <v>#N/A</v>
      </c>
      <c r="G1196" s="8" t="e">
        <f>VLOOKUP($D1196,설문!$C$2:$G$444,4,FALSE)</f>
        <v>#N/A</v>
      </c>
      <c r="H1196" s="8" t="e">
        <f>VLOOKUP($D1196,설문!$C$2:$G$444,5,FALSE)</f>
        <v>#N/A</v>
      </c>
    </row>
    <row r="1197" spans="1:8">
      <c r="A1197" s="6" t="s">
        <v>99</v>
      </c>
      <c r="B1197" s="7" t="s">
        <v>1512</v>
      </c>
      <c r="C1197" s="7" t="s">
        <v>1512</v>
      </c>
      <c r="D1197" s="7" t="s">
        <v>6256</v>
      </c>
      <c r="E1197" s="6" t="s">
        <v>6257</v>
      </c>
      <c r="F1197" s="8" t="e">
        <f>VLOOKUP($D1197,설문!$C$2:$G$444,3,FALSE)</f>
        <v>#N/A</v>
      </c>
      <c r="G1197" s="8" t="e">
        <f>VLOOKUP($D1197,설문!$C$2:$G$444,4,FALSE)</f>
        <v>#N/A</v>
      </c>
      <c r="H1197" s="8" t="e">
        <f>VLOOKUP($D1197,설문!$C$2:$G$444,5,FALSE)</f>
        <v>#N/A</v>
      </c>
    </row>
    <row r="1198" spans="1:8">
      <c r="A1198" s="6" t="s">
        <v>99</v>
      </c>
      <c r="B1198" s="7" t="s">
        <v>100</v>
      </c>
      <c r="C1198" s="7" t="s">
        <v>100</v>
      </c>
      <c r="D1198" s="7" t="s">
        <v>6258</v>
      </c>
      <c r="E1198" s="6" t="s">
        <v>6259</v>
      </c>
      <c r="F1198" s="8" t="e">
        <f>VLOOKUP($D1198,설문!$C$2:$G$444,3,FALSE)</f>
        <v>#N/A</v>
      </c>
      <c r="G1198" s="8" t="e">
        <f>VLOOKUP($D1198,설문!$C$2:$G$444,4,FALSE)</f>
        <v>#N/A</v>
      </c>
      <c r="H1198" s="8" t="e">
        <f>VLOOKUP($D1198,설문!$C$2:$G$444,5,FALSE)</f>
        <v>#N/A</v>
      </c>
    </row>
    <row r="1199" spans="1:8">
      <c r="A1199" s="6" t="s">
        <v>99</v>
      </c>
      <c r="B1199" s="7" t="s">
        <v>100</v>
      </c>
      <c r="C1199" s="7" t="s">
        <v>100</v>
      </c>
      <c r="D1199" s="7" t="s">
        <v>6260</v>
      </c>
      <c r="E1199" s="6" t="s">
        <v>6261</v>
      </c>
      <c r="F1199" s="8" t="e">
        <f>VLOOKUP($D1199,설문!$C$2:$G$444,3,FALSE)</f>
        <v>#N/A</v>
      </c>
      <c r="G1199" s="8" t="e">
        <f>VLOOKUP($D1199,설문!$C$2:$G$444,4,FALSE)</f>
        <v>#N/A</v>
      </c>
      <c r="H1199" s="8" t="e">
        <f>VLOOKUP($D1199,설문!$C$2:$G$444,5,FALSE)</f>
        <v>#N/A</v>
      </c>
    </row>
    <row r="1200" spans="1:8">
      <c r="A1200" s="6" t="s">
        <v>99</v>
      </c>
      <c r="B1200" s="7" t="s">
        <v>100</v>
      </c>
      <c r="C1200" s="7" t="s">
        <v>100</v>
      </c>
      <c r="D1200" s="7" t="s">
        <v>6262</v>
      </c>
      <c r="E1200" s="6" t="s">
        <v>6263</v>
      </c>
      <c r="F1200" s="8" t="e">
        <f>VLOOKUP($D1200,설문!$C$2:$G$444,3,FALSE)</f>
        <v>#N/A</v>
      </c>
      <c r="G1200" s="8" t="e">
        <f>VLOOKUP($D1200,설문!$C$2:$G$444,4,FALSE)</f>
        <v>#N/A</v>
      </c>
      <c r="H1200" s="8" t="e">
        <f>VLOOKUP($D1200,설문!$C$2:$G$444,5,FALSE)</f>
        <v>#N/A</v>
      </c>
    </row>
    <row r="1201" spans="1:8">
      <c r="A1201" s="6" t="s">
        <v>99</v>
      </c>
      <c r="B1201" s="7" t="s">
        <v>100</v>
      </c>
      <c r="C1201" s="7" t="s">
        <v>100</v>
      </c>
      <c r="D1201" s="7" t="s">
        <v>6264</v>
      </c>
      <c r="E1201" s="6" t="s">
        <v>2486</v>
      </c>
      <c r="F1201" s="8" t="e">
        <f>VLOOKUP($D1201,설문!$C$2:$G$444,3,FALSE)</f>
        <v>#N/A</v>
      </c>
      <c r="G1201" s="8" t="e">
        <f>VLOOKUP($D1201,설문!$C$2:$G$444,4,FALSE)</f>
        <v>#N/A</v>
      </c>
      <c r="H1201" s="8" t="e">
        <f>VLOOKUP($D1201,설문!$C$2:$G$444,5,FALSE)</f>
        <v>#N/A</v>
      </c>
    </row>
    <row r="1202" spans="1:8">
      <c r="A1202" s="6" t="s">
        <v>99</v>
      </c>
      <c r="B1202" s="7" t="s">
        <v>100</v>
      </c>
      <c r="C1202" s="7" t="s">
        <v>100</v>
      </c>
      <c r="D1202" s="7" t="s">
        <v>6265</v>
      </c>
      <c r="E1202" s="6" t="s">
        <v>6266</v>
      </c>
      <c r="F1202" s="8" t="e">
        <f>VLOOKUP($D1202,설문!$C$2:$G$444,3,FALSE)</f>
        <v>#N/A</v>
      </c>
      <c r="G1202" s="8" t="e">
        <f>VLOOKUP($D1202,설문!$C$2:$G$444,4,FALSE)</f>
        <v>#N/A</v>
      </c>
      <c r="H1202" s="8" t="e">
        <f>VLOOKUP($D1202,설문!$C$2:$G$444,5,FALSE)</f>
        <v>#N/A</v>
      </c>
    </row>
    <row r="1203" spans="1:8">
      <c r="A1203" s="6" t="s">
        <v>99</v>
      </c>
      <c r="B1203" s="7" t="s">
        <v>100</v>
      </c>
      <c r="C1203" s="7" t="s">
        <v>100</v>
      </c>
      <c r="D1203" s="7" t="s">
        <v>6267</v>
      </c>
      <c r="E1203" s="6" t="s">
        <v>6268</v>
      </c>
      <c r="F1203" s="8" t="e">
        <f>VLOOKUP($D1203,설문!$C$2:$G$444,3,FALSE)</f>
        <v>#N/A</v>
      </c>
      <c r="G1203" s="8" t="e">
        <f>VLOOKUP($D1203,설문!$C$2:$G$444,4,FALSE)</f>
        <v>#N/A</v>
      </c>
      <c r="H1203" s="8" t="e">
        <f>VLOOKUP($D1203,설문!$C$2:$G$444,5,FALSE)</f>
        <v>#N/A</v>
      </c>
    </row>
    <row r="1204" spans="1:8">
      <c r="A1204" s="6" t="s">
        <v>99</v>
      </c>
      <c r="B1204" s="7" t="s">
        <v>935</v>
      </c>
      <c r="C1204" s="7" t="s">
        <v>935</v>
      </c>
      <c r="D1204" s="7" t="s">
        <v>6269</v>
      </c>
      <c r="E1204" s="6" t="s">
        <v>6270</v>
      </c>
      <c r="F1204" s="8" t="str">
        <f>VLOOKUP($D1204,설문!$C$2:$G$444,3,FALSE)</f>
        <v>리스크관리(미들)</v>
      </c>
      <c r="G1204" s="8" t="str">
        <f>VLOOKUP($D1204,설문!$C$2:$G$444,4,FALSE)</f>
        <v>금융회사</v>
      </c>
      <c r="H1204" s="8" t="str">
        <f>VLOOKUP($D1204,설문!$C$2:$G$444,5,FALSE)</f>
        <v>국내주식/지수,국고채/통안채,회사채,소액채권,RP,단기자금,국채선물,원화 구조화채권,국내주식/지수관련파생,ELW,IB(발행, M&amp;A 등)</v>
      </c>
    </row>
    <row r="1205" spans="1:8">
      <c r="A1205" s="6" t="s">
        <v>99</v>
      </c>
      <c r="B1205" s="7" t="s">
        <v>119</v>
      </c>
      <c r="C1205" s="7" t="s">
        <v>898</v>
      </c>
      <c r="D1205" s="7" t="s">
        <v>6271</v>
      </c>
      <c r="E1205" s="6" t="s">
        <v>6272</v>
      </c>
      <c r="F1205" s="8" t="e">
        <f>VLOOKUP($D1205,설문!$C$2:$G$444,3,FALSE)</f>
        <v>#N/A</v>
      </c>
      <c r="G1205" s="8" t="e">
        <f>VLOOKUP($D1205,설문!$C$2:$G$444,4,FALSE)</f>
        <v>#N/A</v>
      </c>
      <c r="H1205" s="8" t="e">
        <f>VLOOKUP($D1205,설문!$C$2:$G$444,5,FALSE)</f>
        <v>#N/A</v>
      </c>
    </row>
    <row r="1206" spans="1:8">
      <c r="A1206" s="6" t="s">
        <v>99</v>
      </c>
      <c r="B1206" s="7" t="s">
        <v>119</v>
      </c>
      <c r="C1206" s="7" t="s">
        <v>898</v>
      </c>
      <c r="D1206" s="7" t="s">
        <v>6273</v>
      </c>
      <c r="E1206" s="6" t="s">
        <v>6274</v>
      </c>
      <c r="F1206" s="8" t="e">
        <f>VLOOKUP($D1206,설문!$C$2:$G$444,3,FALSE)</f>
        <v>#N/A</v>
      </c>
      <c r="G1206" s="8" t="e">
        <f>VLOOKUP($D1206,설문!$C$2:$G$444,4,FALSE)</f>
        <v>#N/A</v>
      </c>
      <c r="H1206" s="8" t="e">
        <f>VLOOKUP($D1206,설문!$C$2:$G$444,5,FALSE)</f>
        <v>#N/A</v>
      </c>
    </row>
    <row r="1207" spans="1:8">
      <c r="A1207" s="6" t="s">
        <v>99</v>
      </c>
      <c r="B1207" s="7" t="s">
        <v>119</v>
      </c>
      <c r="C1207" s="7" t="s">
        <v>898</v>
      </c>
      <c r="D1207" s="7" t="s">
        <v>6275</v>
      </c>
      <c r="E1207" s="6" t="s">
        <v>6276</v>
      </c>
      <c r="F1207" s="8" t="e">
        <f>VLOOKUP($D1207,설문!$C$2:$G$444,3,FALSE)</f>
        <v>#N/A</v>
      </c>
      <c r="G1207" s="8" t="e">
        <f>VLOOKUP($D1207,설문!$C$2:$G$444,4,FALSE)</f>
        <v>#N/A</v>
      </c>
      <c r="H1207" s="8" t="e">
        <f>VLOOKUP($D1207,설문!$C$2:$G$444,5,FALSE)</f>
        <v>#N/A</v>
      </c>
    </row>
    <row r="1208" spans="1:8">
      <c r="A1208" s="6" t="s">
        <v>99</v>
      </c>
      <c r="B1208" s="7" t="s">
        <v>119</v>
      </c>
      <c r="C1208" s="7" t="s">
        <v>898</v>
      </c>
      <c r="D1208" s="7" t="s">
        <v>6277</v>
      </c>
      <c r="E1208" s="6" t="s">
        <v>6278</v>
      </c>
      <c r="F1208" s="8" t="e">
        <f>VLOOKUP($D1208,설문!$C$2:$G$444,3,FALSE)</f>
        <v>#N/A</v>
      </c>
      <c r="G1208" s="8" t="e">
        <f>VLOOKUP($D1208,설문!$C$2:$G$444,4,FALSE)</f>
        <v>#N/A</v>
      </c>
      <c r="H1208" s="8" t="e">
        <f>VLOOKUP($D1208,설문!$C$2:$G$444,5,FALSE)</f>
        <v>#N/A</v>
      </c>
    </row>
    <row r="1209" spans="1:8">
      <c r="A1209" s="6" t="s">
        <v>99</v>
      </c>
      <c r="B1209" s="7" t="s">
        <v>119</v>
      </c>
      <c r="C1209" s="7" t="s">
        <v>898</v>
      </c>
      <c r="D1209" s="7" t="s">
        <v>6279</v>
      </c>
      <c r="E1209" s="6" t="s">
        <v>6280</v>
      </c>
      <c r="F1209" s="8" t="e">
        <f>VLOOKUP($D1209,설문!$C$2:$G$444,3,FALSE)</f>
        <v>#N/A</v>
      </c>
      <c r="G1209" s="8" t="e">
        <f>VLOOKUP($D1209,설문!$C$2:$G$444,4,FALSE)</f>
        <v>#N/A</v>
      </c>
      <c r="H1209" s="8" t="e">
        <f>VLOOKUP($D1209,설문!$C$2:$G$444,5,FALSE)</f>
        <v>#N/A</v>
      </c>
    </row>
    <row r="1210" spans="1:8">
      <c r="A1210" s="6" t="s">
        <v>99</v>
      </c>
      <c r="B1210" s="7" t="s">
        <v>119</v>
      </c>
      <c r="C1210" s="7" t="s">
        <v>898</v>
      </c>
      <c r="D1210" s="7" t="s">
        <v>6281</v>
      </c>
      <c r="E1210" s="6" t="s">
        <v>6282</v>
      </c>
      <c r="F1210" s="8" t="e">
        <f>VLOOKUP($D1210,설문!$C$2:$G$444,3,FALSE)</f>
        <v>#N/A</v>
      </c>
      <c r="G1210" s="8" t="e">
        <f>VLOOKUP($D1210,설문!$C$2:$G$444,4,FALSE)</f>
        <v>#N/A</v>
      </c>
      <c r="H1210" s="8" t="e">
        <f>VLOOKUP($D1210,설문!$C$2:$G$444,5,FALSE)</f>
        <v>#N/A</v>
      </c>
    </row>
    <row r="1211" spans="1:8">
      <c r="A1211" s="6" t="s">
        <v>99</v>
      </c>
      <c r="B1211" s="7" t="s">
        <v>119</v>
      </c>
      <c r="C1211" s="7" t="s">
        <v>898</v>
      </c>
      <c r="D1211" s="7" t="s">
        <v>6283</v>
      </c>
      <c r="E1211" s="6" t="s">
        <v>6284</v>
      </c>
      <c r="F1211" s="8" t="str">
        <f>VLOOKUP($D1211,설문!$C$2:$G$444,3,FALSE)</f>
        <v>백오피스</v>
      </c>
      <c r="G1211" s="8" t="str">
        <f>VLOOKUP($D1211,설문!$C$2:$G$444,4,FALSE)</f>
        <v>금융회사</v>
      </c>
      <c r="H1211" s="8" t="str">
        <f>VLOOKUP($D1211,설문!$C$2:$G$444,5,FALSE)</f>
        <v>국고채/통안채,회사채,RP</v>
      </c>
    </row>
    <row r="1212" spans="1:8">
      <c r="A1212" s="6" t="s">
        <v>99</v>
      </c>
      <c r="B1212" s="7" t="s">
        <v>119</v>
      </c>
      <c r="C1212" s="7" t="s">
        <v>898</v>
      </c>
      <c r="D1212" s="7" t="s">
        <v>6285</v>
      </c>
      <c r="E1212" s="6" t="s">
        <v>2073</v>
      </c>
      <c r="F1212" s="8" t="e">
        <f>VLOOKUP($D1212,설문!$C$2:$G$444,3,FALSE)</f>
        <v>#N/A</v>
      </c>
      <c r="G1212" s="8" t="e">
        <f>VLOOKUP($D1212,설문!$C$2:$G$444,4,FALSE)</f>
        <v>#N/A</v>
      </c>
      <c r="H1212" s="8" t="e">
        <f>VLOOKUP($D1212,설문!$C$2:$G$444,5,FALSE)</f>
        <v>#N/A</v>
      </c>
    </row>
    <row r="1213" spans="1:8">
      <c r="A1213" s="6" t="s">
        <v>3942</v>
      </c>
      <c r="B1213" s="7" t="s">
        <v>482</v>
      </c>
      <c r="C1213" s="7" t="s">
        <v>9</v>
      </c>
      <c r="D1213" s="7" t="s">
        <v>3943</v>
      </c>
      <c r="E1213" s="6" t="s">
        <v>3944</v>
      </c>
      <c r="F1213" s="8" t="e">
        <f>VLOOKUP($D1213,설문!$C$2:$G$444,3,FALSE)</f>
        <v>#N/A</v>
      </c>
      <c r="G1213" s="8" t="e">
        <f>VLOOKUP($D1213,설문!$C$2:$G$444,4,FALSE)</f>
        <v>#N/A</v>
      </c>
      <c r="H1213" s="8" t="e">
        <f>VLOOKUP($D1213,설문!$C$2:$G$444,5,FALSE)</f>
        <v>#N/A</v>
      </c>
    </row>
    <row r="1214" spans="1:8">
      <c r="A1214" s="6" t="s">
        <v>3942</v>
      </c>
      <c r="B1214" s="7" t="s">
        <v>1275</v>
      </c>
      <c r="C1214" s="7" t="s">
        <v>9</v>
      </c>
      <c r="D1214" s="7" t="s">
        <v>3945</v>
      </c>
      <c r="E1214" s="6" t="s">
        <v>3946</v>
      </c>
      <c r="F1214" s="8" t="str">
        <f>VLOOKUP($D1214,설문!$C$2:$G$444,3,FALSE)</f>
        <v>딜러</v>
      </c>
      <c r="G1214" s="8" t="str">
        <f>VLOOKUP($D1214,설문!$C$2:$G$444,4,FALSE)</f>
        <v>금융회사,금융 유관기관</v>
      </c>
      <c r="H1214" s="8" t="str">
        <f>VLOOKUP($D1214,설문!$C$2:$G$444,5,FALSE)</f>
        <v>국내주식/지수,국내주식/지수관련파생</v>
      </c>
    </row>
    <row r="1215" spans="1:8">
      <c r="A1215" s="6" t="s">
        <v>3942</v>
      </c>
      <c r="B1215" s="7" t="s">
        <v>606</v>
      </c>
      <c r="C1215" s="7" t="s">
        <v>74</v>
      </c>
      <c r="D1215" s="7" t="s">
        <v>3947</v>
      </c>
      <c r="E1215" s="6" t="s">
        <v>3948</v>
      </c>
      <c r="F1215" s="8" t="e">
        <f>VLOOKUP($D1215,설문!$C$2:$G$444,3,FALSE)</f>
        <v>#N/A</v>
      </c>
      <c r="G1215" s="8" t="e">
        <f>VLOOKUP($D1215,설문!$C$2:$G$444,4,FALSE)</f>
        <v>#N/A</v>
      </c>
      <c r="H1215" s="8" t="e">
        <f>VLOOKUP($D1215,설문!$C$2:$G$444,5,FALSE)</f>
        <v>#N/A</v>
      </c>
    </row>
    <row r="1216" spans="1:8">
      <c r="A1216" s="6" t="s">
        <v>5086</v>
      </c>
      <c r="B1216" s="7" t="s">
        <v>5087</v>
      </c>
      <c r="C1216" s="7" t="s">
        <v>5087</v>
      </c>
      <c r="D1216" s="7" t="s">
        <v>5088</v>
      </c>
      <c r="E1216" s="6" t="s">
        <v>5089</v>
      </c>
      <c r="F1216" s="8" t="e">
        <f>VLOOKUP($D1216,설문!$C$2:$G$444,3,FALSE)</f>
        <v>#N/A</v>
      </c>
      <c r="G1216" s="8" t="e">
        <f>VLOOKUP($D1216,설문!$C$2:$G$444,4,FALSE)</f>
        <v>#N/A</v>
      </c>
      <c r="H1216" s="8" t="e">
        <f>VLOOKUP($D1216,설문!$C$2:$G$444,5,FALSE)</f>
        <v>#N/A</v>
      </c>
    </row>
    <row r="1217" spans="1:8">
      <c r="A1217" s="6" t="s">
        <v>5086</v>
      </c>
      <c r="B1217" s="7" t="s">
        <v>5087</v>
      </c>
      <c r="C1217" s="7" t="s">
        <v>5087</v>
      </c>
      <c r="D1217" s="7" t="s">
        <v>5090</v>
      </c>
      <c r="E1217" s="6" t="s">
        <v>5091</v>
      </c>
      <c r="F1217" s="8" t="e">
        <f>VLOOKUP($D1217,설문!$C$2:$G$444,3,FALSE)</f>
        <v>#N/A</v>
      </c>
      <c r="G1217" s="8" t="e">
        <f>VLOOKUP($D1217,설문!$C$2:$G$444,4,FALSE)</f>
        <v>#N/A</v>
      </c>
      <c r="H1217" s="8" t="e">
        <f>VLOOKUP($D1217,설문!$C$2:$G$444,5,FALSE)</f>
        <v>#N/A</v>
      </c>
    </row>
    <row r="1218" spans="1:8">
      <c r="A1218" s="6" t="s">
        <v>2162</v>
      </c>
      <c r="B1218" s="7" t="s">
        <v>9</v>
      </c>
      <c r="C1218" s="7" t="s">
        <v>9</v>
      </c>
      <c r="D1218" s="7" t="s">
        <v>2163</v>
      </c>
      <c r="E1218" s="6" t="s">
        <v>2164</v>
      </c>
      <c r="F1218" s="8" t="e">
        <f>VLOOKUP($D1218,설문!$C$2:$G$444,3,FALSE)</f>
        <v>#N/A</v>
      </c>
      <c r="G1218" s="8" t="e">
        <f>VLOOKUP($D1218,설문!$C$2:$G$444,4,FALSE)</f>
        <v>#N/A</v>
      </c>
      <c r="H1218" s="8" t="e">
        <f>VLOOKUP($D1218,설문!$C$2:$G$444,5,FALSE)</f>
        <v>#N/A</v>
      </c>
    </row>
    <row r="1219" spans="1:8">
      <c r="A1219" s="6" t="s">
        <v>77</v>
      </c>
      <c r="B1219" s="7" t="s">
        <v>78</v>
      </c>
      <c r="C1219" s="7" t="s">
        <v>78</v>
      </c>
      <c r="D1219" s="7" t="s">
        <v>79</v>
      </c>
      <c r="E1219" s="6" t="s">
        <v>80</v>
      </c>
      <c r="F1219" s="8" t="e">
        <f>VLOOKUP($D1219,설문!$C$2:$G$444,3,FALSE)</f>
        <v>#N/A</v>
      </c>
      <c r="G1219" s="8" t="e">
        <f>VLOOKUP($D1219,설문!$C$2:$G$444,4,FALSE)</f>
        <v>#N/A</v>
      </c>
      <c r="H1219" s="8" t="e">
        <f>VLOOKUP($D1219,설문!$C$2:$G$444,5,FALSE)</f>
        <v>#N/A</v>
      </c>
    </row>
    <row r="1220" spans="1:8">
      <c r="A1220" s="6" t="s">
        <v>77</v>
      </c>
      <c r="B1220" s="7" t="s">
        <v>264</v>
      </c>
      <c r="C1220" s="7" t="s">
        <v>264</v>
      </c>
      <c r="D1220" s="7" t="s">
        <v>265</v>
      </c>
      <c r="E1220" s="6" t="s">
        <v>266</v>
      </c>
      <c r="F1220" s="8" t="e">
        <f>VLOOKUP($D1220,설문!$C$2:$G$444,3,FALSE)</f>
        <v>#N/A</v>
      </c>
      <c r="G1220" s="8" t="e">
        <f>VLOOKUP($D1220,설문!$C$2:$G$444,4,FALSE)</f>
        <v>#N/A</v>
      </c>
      <c r="H1220" s="8" t="e">
        <f>VLOOKUP($D1220,설문!$C$2:$G$444,5,FALSE)</f>
        <v>#N/A</v>
      </c>
    </row>
    <row r="1221" spans="1:8">
      <c r="A1221" s="6" t="s">
        <v>77</v>
      </c>
      <c r="B1221" s="7" t="s">
        <v>264</v>
      </c>
      <c r="C1221" s="7" t="s">
        <v>264</v>
      </c>
      <c r="D1221" s="7" t="s">
        <v>3057</v>
      </c>
      <c r="E1221" s="6" t="s">
        <v>3058</v>
      </c>
      <c r="F1221" s="8" t="str">
        <f>VLOOKUP($D1221,설문!$C$2:$G$444,3,FALSE)</f>
        <v>펀드매니저</v>
      </c>
      <c r="G1221" s="8" t="str">
        <f>VLOOKUP($D1221,설문!$C$2:$G$444,4,FALSE)</f>
        <v>금융회사</v>
      </c>
      <c r="H1221" s="8" t="str">
        <f>VLOOKUP($D1221,설문!$C$2:$G$444,5,FALSE)</f>
        <v>국고채/통안채,회사채,RP,단기자금</v>
      </c>
    </row>
    <row r="1222" spans="1:8">
      <c r="A1222" s="6" t="s">
        <v>339</v>
      </c>
      <c r="B1222" s="7" t="s">
        <v>340</v>
      </c>
      <c r="C1222" s="7" t="s">
        <v>340</v>
      </c>
      <c r="D1222" s="7" t="s">
        <v>341</v>
      </c>
      <c r="E1222" s="6" t="s">
        <v>342</v>
      </c>
      <c r="F1222" s="8" t="e">
        <f>VLOOKUP($D1222,설문!$C$2:$G$444,3,FALSE)</f>
        <v>#N/A</v>
      </c>
      <c r="G1222" s="8" t="e">
        <f>VLOOKUP($D1222,설문!$C$2:$G$444,4,FALSE)</f>
        <v>#N/A</v>
      </c>
      <c r="H1222" s="8" t="e">
        <f>VLOOKUP($D1222,설문!$C$2:$G$444,5,FALSE)</f>
        <v>#N/A</v>
      </c>
    </row>
    <row r="1223" spans="1:8">
      <c r="A1223" s="6" t="s">
        <v>339</v>
      </c>
      <c r="B1223" s="7" t="s">
        <v>545</v>
      </c>
      <c r="C1223" s="7" t="s">
        <v>545</v>
      </c>
      <c r="D1223" s="7" t="s">
        <v>546</v>
      </c>
      <c r="E1223" s="6" t="s">
        <v>547</v>
      </c>
      <c r="F1223" s="8" t="e">
        <f>VLOOKUP($D1223,설문!$C$2:$G$444,3,FALSE)</f>
        <v>#N/A</v>
      </c>
      <c r="G1223" s="8" t="e">
        <f>VLOOKUP($D1223,설문!$C$2:$G$444,4,FALSE)</f>
        <v>#N/A</v>
      </c>
      <c r="H1223" s="8" t="e">
        <f>VLOOKUP($D1223,설문!$C$2:$G$444,5,FALSE)</f>
        <v>#N/A</v>
      </c>
    </row>
    <row r="1224" spans="1:8">
      <c r="A1224" s="6" t="s">
        <v>339</v>
      </c>
      <c r="B1224" s="7" t="s">
        <v>119</v>
      </c>
      <c r="C1224" s="7" t="s">
        <v>119</v>
      </c>
      <c r="D1224" s="7" t="s">
        <v>687</v>
      </c>
      <c r="E1224" s="6" t="s">
        <v>688</v>
      </c>
      <c r="F1224" s="8" t="e">
        <f>VLOOKUP($D1224,설문!$C$2:$G$444,3,FALSE)</f>
        <v>#N/A</v>
      </c>
      <c r="G1224" s="8" t="e">
        <f>VLOOKUP($D1224,설문!$C$2:$G$444,4,FALSE)</f>
        <v>#N/A</v>
      </c>
      <c r="H1224" s="8" t="e">
        <f>VLOOKUP($D1224,설문!$C$2:$G$444,5,FALSE)</f>
        <v>#N/A</v>
      </c>
    </row>
    <row r="1225" spans="1:8">
      <c r="A1225" s="6" t="s">
        <v>339</v>
      </c>
      <c r="B1225" s="7" t="s">
        <v>697</v>
      </c>
      <c r="C1225" s="7" t="s">
        <v>340</v>
      </c>
      <c r="D1225" s="7" t="s">
        <v>698</v>
      </c>
      <c r="E1225" s="6" t="s">
        <v>699</v>
      </c>
      <c r="F1225" s="8" t="str">
        <f>VLOOKUP($D1225,설문!$C$2:$G$444,3,FALSE)</f>
        <v>브로커</v>
      </c>
      <c r="G1225" s="8" t="str">
        <f>VLOOKUP($D1225,설문!$C$2:$G$444,4,FALSE)</f>
        <v>금융 유관기관</v>
      </c>
      <c r="H1225" s="8" t="str">
        <f>VLOOKUP($D1225,설문!$C$2:$G$444,5,FALSE)</f>
        <v>국내주식/지수,국내주식/지수관련파생,ETF/ETN</v>
      </c>
    </row>
    <row r="1226" spans="1:8">
      <c r="A1226" s="6" t="s">
        <v>339</v>
      </c>
      <c r="B1226" s="7" t="s">
        <v>119</v>
      </c>
      <c r="C1226" s="7" t="s">
        <v>119</v>
      </c>
      <c r="D1226" s="7" t="s">
        <v>723</v>
      </c>
      <c r="E1226" s="6" t="s">
        <v>724</v>
      </c>
      <c r="F1226" s="8" t="str">
        <f>VLOOKUP($D1226,설문!$C$2:$G$444,3,FALSE)</f>
        <v>백오피스</v>
      </c>
      <c r="G1226" s="8" t="str">
        <f>VLOOKUP($D1226,설문!$C$2:$G$444,4,FALSE)</f>
        <v>금융회사</v>
      </c>
      <c r="H1226" s="8" t="str">
        <f>VLOOKUP($D1226,설문!$C$2:$G$444,5,FALSE)</f>
        <v>국고채/통안채,회사채</v>
      </c>
    </row>
    <row r="1227" spans="1:8">
      <c r="A1227" s="6" t="s">
        <v>339</v>
      </c>
      <c r="B1227" s="7" t="s">
        <v>725</v>
      </c>
      <c r="C1227" s="7" t="s">
        <v>725</v>
      </c>
      <c r="D1227" s="7" t="s">
        <v>726</v>
      </c>
      <c r="E1227" s="6" t="s">
        <v>727</v>
      </c>
      <c r="F1227" s="8" t="e">
        <f>VLOOKUP($D1227,설문!$C$2:$G$444,3,FALSE)</f>
        <v>#N/A</v>
      </c>
      <c r="G1227" s="8" t="e">
        <f>VLOOKUP($D1227,설문!$C$2:$G$444,4,FALSE)</f>
        <v>#N/A</v>
      </c>
      <c r="H1227" s="8" t="e">
        <f>VLOOKUP($D1227,설문!$C$2:$G$444,5,FALSE)</f>
        <v>#N/A</v>
      </c>
    </row>
    <row r="1228" spans="1:8">
      <c r="A1228" s="6" t="s">
        <v>339</v>
      </c>
      <c r="B1228" s="7" t="s">
        <v>119</v>
      </c>
      <c r="C1228" s="7" t="s">
        <v>119</v>
      </c>
      <c r="D1228" s="7" t="s">
        <v>728</v>
      </c>
      <c r="E1228" s="6" t="s">
        <v>729</v>
      </c>
      <c r="F1228" s="8" t="e">
        <f>VLOOKUP($D1228,설문!$C$2:$G$444,3,FALSE)</f>
        <v>#N/A</v>
      </c>
      <c r="G1228" s="8" t="e">
        <f>VLOOKUP($D1228,설문!$C$2:$G$444,4,FALSE)</f>
        <v>#N/A</v>
      </c>
      <c r="H1228" s="8" t="e">
        <f>VLOOKUP($D1228,설문!$C$2:$G$444,5,FALSE)</f>
        <v>#N/A</v>
      </c>
    </row>
    <row r="1229" spans="1:8">
      <c r="A1229" s="6" t="s">
        <v>339</v>
      </c>
      <c r="B1229" s="7" t="s">
        <v>119</v>
      </c>
      <c r="C1229" s="7" t="s">
        <v>119</v>
      </c>
      <c r="D1229" s="7" t="s">
        <v>730</v>
      </c>
      <c r="E1229" s="6" t="s">
        <v>731</v>
      </c>
      <c r="F1229" s="8" t="e">
        <f>VLOOKUP($D1229,설문!$C$2:$G$444,3,FALSE)</f>
        <v>#N/A</v>
      </c>
      <c r="G1229" s="8" t="e">
        <f>VLOOKUP($D1229,설문!$C$2:$G$444,4,FALSE)</f>
        <v>#N/A</v>
      </c>
      <c r="H1229" s="8" t="e">
        <f>VLOOKUP($D1229,설문!$C$2:$G$444,5,FALSE)</f>
        <v>#N/A</v>
      </c>
    </row>
    <row r="1230" spans="1:8">
      <c r="A1230" s="6" t="s">
        <v>339</v>
      </c>
      <c r="B1230" s="7" t="s">
        <v>119</v>
      </c>
      <c r="C1230" s="7" t="s">
        <v>119</v>
      </c>
      <c r="D1230" s="7" t="s">
        <v>732</v>
      </c>
      <c r="E1230" s="6" t="s">
        <v>733</v>
      </c>
      <c r="F1230" s="8" t="e">
        <f>VLOOKUP($D1230,설문!$C$2:$G$444,3,FALSE)</f>
        <v>#N/A</v>
      </c>
      <c r="G1230" s="8" t="e">
        <f>VLOOKUP($D1230,설문!$C$2:$G$444,4,FALSE)</f>
        <v>#N/A</v>
      </c>
      <c r="H1230" s="8" t="e">
        <f>VLOOKUP($D1230,설문!$C$2:$G$444,5,FALSE)</f>
        <v>#N/A</v>
      </c>
    </row>
    <row r="1231" spans="1:8">
      <c r="A1231" s="6" t="s">
        <v>339</v>
      </c>
      <c r="B1231" s="7" t="s">
        <v>739</v>
      </c>
      <c r="C1231" s="7" t="s">
        <v>739</v>
      </c>
      <c r="D1231" s="7" t="s">
        <v>740</v>
      </c>
      <c r="E1231" s="6" t="s">
        <v>741</v>
      </c>
      <c r="F1231" s="8" t="str">
        <f>VLOOKUP($D1231,설문!$C$2:$G$444,3,FALSE)</f>
        <v>딜러</v>
      </c>
      <c r="G1231" s="8" t="str">
        <f>VLOOKUP($D1231,설문!$C$2:$G$444,4,FALSE)</f>
        <v>금융회사</v>
      </c>
      <c r="H1231" s="8" t="str">
        <f>VLOOKUP($D1231,설문!$C$2:$G$444,5,FALSE)</f>
        <v>국고채/통안채,국채선물</v>
      </c>
    </row>
    <row r="1232" spans="1:8">
      <c r="A1232" s="6" t="s">
        <v>339</v>
      </c>
      <c r="B1232" s="7" t="s">
        <v>725</v>
      </c>
      <c r="C1232" s="7" t="s">
        <v>725</v>
      </c>
      <c r="D1232" s="7" t="s">
        <v>755</v>
      </c>
      <c r="E1232" s="6" t="s">
        <v>756</v>
      </c>
      <c r="F1232" s="8" t="e">
        <f>VLOOKUP($D1232,설문!$C$2:$G$444,3,FALSE)</f>
        <v>#N/A</v>
      </c>
      <c r="G1232" s="8" t="e">
        <f>VLOOKUP($D1232,설문!$C$2:$G$444,4,FALSE)</f>
        <v>#N/A</v>
      </c>
      <c r="H1232" s="8" t="e">
        <f>VLOOKUP($D1232,설문!$C$2:$G$444,5,FALSE)</f>
        <v>#N/A</v>
      </c>
    </row>
    <row r="1233" spans="1:8">
      <c r="A1233" s="6" t="s">
        <v>339</v>
      </c>
      <c r="B1233" s="7" t="s">
        <v>799</v>
      </c>
      <c r="C1233" s="7" t="s">
        <v>799</v>
      </c>
      <c r="D1233" s="7" t="s">
        <v>800</v>
      </c>
      <c r="E1233" s="6" t="s">
        <v>801</v>
      </c>
      <c r="F1233" s="8" t="str">
        <f>VLOOKUP($D1233,설문!$C$2:$G$444,3,FALSE)</f>
        <v>기타</v>
      </c>
      <c r="G1233" s="8" t="str">
        <f>VLOOKUP($D1233,설문!$C$2:$G$444,4,FALSE)</f>
        <v>금융 유관기관</v>
      </c>
      <c r="H1233" s="8" t="str">
        <f>VLOOKUP($D1233,설문!$C$2:$G$444,5,FALSE)</f>
        <v>국고채/통안채,회사채,단기자금</v>
      </c>
    </row>
    <row r="1234" spans="1:8">
      <c r="A1234" s="6" t="s">
        <v>339</v>
      </c>
      <c r="B1234" s="7" t="s">
        <v>799</v>
      </c>
      <c r="C1234" s="7" t="s">
        <v>799</v>
      </c>
      <c r="D1234" s="7" t="s">
        <v>817</v>
      </c>
      <c r="E1234" s="6" t="s">
        <v>818</v>
      </c>
      <c r="F1234" s="8" t="e">
        <f>VLOOKUP($D1234,설문!$C$2:$G$444,3,FALSE)</f>
        <v>#N/A</v>
      </c>
      <c r="G1234" s="8" t="e">
        <f>VLOOKUP($D1234,설문!$C$2:$G$444,4,FALSE)</f>
        <v>#N/A</v>
      </c>
      <c r="H1234" s="8" t="e">
        <f>VLOOKUP($D1234,설문!$C$2:$G$444,5,FALSE)</f>
        <v>#N/A</v>
      </c>
    </row>
    <row r="1235" spans="1:8">
      <c r="A1235" s="6" t="s">
        <v>339</v>
      </c>
      <c r="B1235" s="7" t="s">
        <v>739</v>
      </c>
      <c r="C1235" s="7" t="s">
        <v>739</v>
      </c>
      <c r="D1235" s="7" t="s">
        <v>1187</v>
      </c>
      <c r="E1235" s="6" t="s">
        <v>1188</v>
      </c>
      <c r="F1235" s="8" t="e">
        <f>VLOOKUP($D1235,설문!$C$2:$G$444,3,FALSE)</f>
        <v>#N/A</v>
      </c>
      <c r="G1235" s="8" t="e">
        <f>VLOOKUP($D1235,설문!$C$2:$G$444,4,FALSE)</f>
        <v>#N/A</v>
      </c>
      <c r="H1235" s="8" t="e">
        <f>VLOOKUP($D1235,설문!$C$2:$G$444,5,FALSE)</f>
        <v>#N/A</v>
      </c>
    </row>
    <row r="1236" spans="1:8">
      <c r="A1236" s="6" t="s">
        <v>339</v>
      </c>
      <c r="B1236" s="7" t="s">
        <v>1301</v>
      </c>
      <c r="C1236" s="7" t="s">
        <v>1301</v>
      </c>
      <c r="D1236" s="7" t="s">
        <v>1477</v>
      </c>
      <c r="E1236" s="6" t="s">
        <v>1478</v>
      </c>
      <c r="F1236" s="8" t="e">
        <f>VLOOKUP($D1236,설문!$C$2:$G$444,3,FALSE)</f>
        <v>#N/A</v>
      </c>
      <c r="G1236" s="8" t="e">
        <f>VLOOKUP($D1236,설문!$C$2:$G$444,4,FALSE)</f>
        <v>#N/A</v>
      </c>
      <c r="H1236" s="8" t="e">
        <f>VLOOKUP($D1236,설문!$C$2:$G$444,5,FALSE)</f>
        <v>#N/A</v>
      </c>
    </row>
    <row r="1237" spans="1:8">
      <c r="A1237" s="6" t="s">
        <v>339</v>
      </c>
      <c r="B1237" s="7" t="s">
        <v>739</v>
      </c>
      <c r="C1237" s="7" t="s">
        <v>739</v>
      </c>
      <c r="D1237" s="7" t="s">
        <v>1823</v>
      </c>
      <c r="E1237" s="6" t="s">
        <v>1824</v>
      </c>
      <c r="F1237" s="8" t="e">
        <f>VLOOKUP($D1237,설문!$C$2:$G$444,3,FALSE)</f>
        <v>#N/A</v>
      </c>
      <c r="G1237" s="8" t="e">
        <f>VLOOKUP($D1237,설문!$C$2:$G$444,4,FALSE)</f>
        <v>#N/A</v>
      </c>
      <c r="H1237" s="8" t="e">
        <f>VLOOKUP($D1237,설문!$C$2:$G$444,5,FALSE)</f>
        <v>#N/A</v>
      </c>
    </row>
    <row r="1238" spans="1:8">
      <c r="A1238" s="6" t="s">
        <v>339</v>
      </c>
      <c r="B1238" s="7" t="s">
        <v>448</v>
      </c>
      <c r="C1238" s="7" t="s">
        <v>448</v>
      </c>
      <c r="D1238" s="7" t="s">
        <v>3017</v>
      </c>
      <c r="E1238" s="6" t="s">
        <v>3018</v>
      </c>
      <c r="F1238" s="8" t="e">
        <f>VLOOKUP($D1238,설문!$C$2:$G$444,3,FALSE)</f>
        <v>#N/A</v>
      </c>
      <c r="G1238" s="8" t="e">
        <f>VLOOKUP($D1238,설문!$C$2:$G$444,4,FALSE)</f>
        <v>#N/A</v>
      </c>
      <c r="H1238" s="8" t="e">
        <f>VLOOKUP($D1238,설문!$C$2:$G$444,5,FALSE)</f>
        <v>#N/A</v>
      </c>
    </row>
    <row r="1239" spans="1:8">
      <c r="A1239" s="6" t="s">
        <v>339</v>
      </c>
      <c r="B1239" s="7" t="s">
        <v>739</v>
      </c>
      <c r="C1239" s="7" t="s">
        <v>739</v>
      </c>
      <c r="D1239" s="7" t="s">
        <v>3019</v>
      </c>
      <c r="E1239" s="6" t="s">
        <v>3020</v>
      </c>
      <c r="F1239" s="8" t="str">
        <f>VLOOKUP($D1239,설문!$C$2:$G$444,3,FALSE)</f>
        <v>브로커</v>
      </c>
      <c r="G1239" s="8" t="str">
        <f>VLOOKUP($D1239,설문!$C$2:$G$444,4,FALSE)</f>
        <v>금융회사</v>
      </c>
      <c r="H1239" s="8" t="str">
        <f>VLOOKUP($D1239,설문!$C$2:$G$444,5,FALSE)</f>
        <v>국고채/통안채,회사채,소액채권,국채선물</v>
      </c>
    </row>
    <row r="1240" spans="1:8">
      <c r="A1240" s="6" t="s">
        <v>339</v>
      </c>
      <c r="B1240" s="7" t="s">
        <v>739</v>
      </c>
      <c r="C1240" s="7" t="s">
        <v>739</v>
      </c>
      <c r="D1240" s="7" t="s">
        <v>3021</v>
      </c>
      <c r="E1240" s="6" t="s">
        <v>3022</v>
      </c>
      <c r="F1240" s="8" t="e">
        <f>VLOOKUP($D1240,설문!$C$2:$G$444,3,FALSE)</f>
        <v>#N/A</v>
      </c>
      <c r="G1240" s="8" t="e">
        <f>VLOOKUP($D1240,설문!$C$2:$G$444,4,FALSE)</f>
        <v>#N/A</v>
      </c>
      <c r="H1240" s="8" t="e">
        <f>VLOOKUP($D1240,설문!$C$2:$G$444,5,FALSE)</f>
        <v>#N/A</v>
      </c>
    </row>
    <row r="1241" spans="1:8">
      <c r="A1241" s="6" t="s">
        <v>339</v>
      </c>
      <c r="B1241" s="7" t="s">
        <v>2330</v>
      </c>
      <c r="C1241" s="7" t="s">
        <v>1731</v>
      </c>
      <c r="D1241" s="7" t="s">
        <v>3023</v>
      </c>
      <c r="E1241" s="6" t="s">
        <v>3024</v>
      </c>
      <c r="F1241" s="8" t="e">
        <f>VLOOKUP($D1241,설문!$C$2:$G$444,3,FALSE)</f>
        <v>#N/A</v>
      </c>
      <c r="G1241" s="8" t="e">
        <f>VLOOKUP($D1241,설문!$C$2:$G$444,4,FALSE)</f>
        <v>#N/A</v>
      </c>
      <c r="H1241" s="8" t="e">
        <f>VLOOKUP($D1241,설문!$C$2:$G$444,5,FALSE)</f>
        <v>#N/A</v>
      </c>
    </row>
    <row r="1242" spans="1:8">
      <c r="A1242" s="6" t="s">
        <v>3953</v>
      </c>
      <c r="B1242" s="7" t="s">
        <v>9</v>
      </c>
      <c r="C1242" s="7" t="s">
        <v>9</v>
      </c>
      <c r="D1242" s="7" t="s">
        <v>3954</v>
      </c>
      <c r="E1242" s="6" t="s">
        <v>3955</v>
      </c>
      <c r="F1242" s="8" t="e">
        <f>VLOOKUP($D1242,설문!$C$2:$G$444,3,FALSE)</f>
        <v>#N/A</v>
      </c>
      <c r="G1242" s="8" t="e">
        <f>VLOOKUP($D1242,설문!$C$2:$G$444,4,FALSE)</f>
        <v>#N/A</v>
      </c>
      <c r="H1242" s="8" t="e">
        <f>VLOOKUP($D1242,설문!$C$2:$G$444,5,FALSE)</f>
        <v>#N/A</v>
      </c>
    </row>
    <row r="1243" spans="1:8">
      <c r="A1243" s="6" t="s">
        <v>3953</v>
      </c>
      <c r="B1243" s="7" t="s">
        <v>9</v>
      </c>
      <c r="C1243" s="7" t="s">
        <v>9</v>
      </c>
      <c r="D1243" s="7" t="s">
        <v>3956</v>
      </c>
      <c r="E1243" s="6" t="s">
        <v>3957</v>
      </c>
      <c r="F1243" s="8" t="e">
        <f>VLOOKUP($D1243,설문!$C$2:$G$444,3,FALSE)</f>
        <v>#N/A</v>
      </c>
      <c r="G1243" s="8" t="e">
        <f>VLOOKUP($D1243,설문!$C$2:$G$444,4,FALSE)</f>
        <v>#N/A</v>
      </c>
      <c r="H1243" s="8" t="e">
        <f>VLOOKUP($D1243,설문!$C$2:$G$444,5,FALSE)</f>
        <v>#N/A</v>
      </c>
    </row>
    <row r="1244" spans="1:8">
      <c r="A1244" s="6" t="s">
        <v>1373</v>
      </c>
      <c r="B1244" s="7" t="s">
        <v>1374</v>
      </c>
      <c r="C1244" s="7" t="s">
        <v>9</v>
      </c>
      <c r="D1244" s="7" t="s">
        <v>1375</v>
      </c>
      <c r="E1244" s="6" t="s">
        <v>1376</v>
      </c>
      <c r="F1244" s="8" t="e">
        <f>VLOOKUP($D1244,설문!$C$2:$G$444,3,FALSE)</f>
        <v>#N/A</v>
      </c>
      <c r="G1244" s="8" t="e">
        <f>VLOOKUP($D1244,설문!$C$2:$G$444,4,FALSE)</f>
        <v>#N/A</v>
      </c>
      <c r="H1244" s="8" t="e">
        <f>VLOOKUP($D1244,설문!$C$2:$G$444,5,FALSE)</f>
        <v>#N/A</v>
      </c>
    </row>
    <row r="1245" spans="1:8">
      <c r="A1245" s="6" t="s">
        <v>1373</v>
      </c>
      <c r="B1245" s="7" t="s">
        <v>1386</v>
      </c>
      <c r="C1245" s="7" t="s">
        <v>1386</v>
      </c>
      <c r="D1245" s="7" t="s">
        <v>1387</v>
      </c>
      <c r="E1245" s="6" t="s">
        <v>1388</v>
      </c>
      <c r="F1245" s="8" t="e">
        <f>VLOOKUP($D1245,설문!$C$2:$G$444,3,FALSE)</f>
        <v>#N/A</v>
      </c>
      <c r="G1245" s="8" t="e">
        <f>VLOOKUP($D1245,설문!$C$2:$G$444,4,FALSE)</f>
        <v>#N/A</v>
      </c>
      <c r="H1245" s="8" t="e">
        <f>VLOOKUP($D1245,설문!$C$2:$G$444,5,FALSE)</f>
        <v>#N/A</v>
      </c>
    </row>
    <row r="1246" spans="1:8">
      <c r="A1246" s="6" t="s">
        <v>1373</v>
      </c>
      <c r="B1246" s="7" t="s">
        <v>4746</v>
      </c>
      <c r="C1246" s="7" t="s">
        <v>4746</v>
      </c>
      <c r="D1246" s="7" t="s">
        <v>4747</v>
      </c>
      <c r="E1246" s="6" t="s">
        <v>4748</v>
      </c>
      <c r="F1246" s="8" t="e">
        <f>VLOOKUP($D1246,설문!$C$2:$G$444,3,FALSE)</f>
        <v>#N/A</v>
      </c>
      <c r="G1246" s="8" t="e">
        <f>VLOOKUP($D1246,설문!$C$2:$G$444,4,FALSE)</f>
        <v>#N/A</v>
      </c>
      <c r="H1246" s="8" t="e">
        <f>VLOOKUP($D1246,설문!$C$2:$G$444,5,FALSE)</f>
        <v>#N/A</v>
      </c>
    </row>
    <row r="1247" spans="1:8">
      <c r="A1247" s="6" t="s">
        <v>1373</v>
      </c>
      <c r="B1247" s="7" t="s">
        <v>4749</v>
      </c>
      <c r="C1247" s="7" t="s">
        <v>4750</v>
      </c>
      <c r="D1247" s="7" t="s">
        <v>4751</v>
      </c>
      <c r="E1247" s="6" t="s">
        <v>4752</v>
      </c>
      <c r="F1247" s="8" t="e">
        <f>VLOOKUP($D1247,설문!$C$2:$G$444,3,FALSE)</f>
        <v>#N/A</v>
      </c>
      <c r="G1247" s="8" t="e">
        <f>VLOOKUP($D1247,설문!$C$2:$G$444,4,FALSE)</f>
        <v>#N/A</v>
      </c>
      <c r="H1247" s="8" t="e">
        <f>VLOOKUP($D1247,설문!$C$2:$G$444,5,FALSE)</f>
        <v>#N/A</v>
      </c>
    </row>
    <row r="1248" spans="1:8">
      <c r="A1248" s="6" t="s">
        <v>1373</v>
      </c>
      <c r="B1248" s="7" t="s">
        <v>4749</v>
      </c>
      <c r="C1248" s="7" t="s">
        <v>4750</v>
      </c>
      <c r="D1248" s="7" t="s">
        <v>4753</v>
      </c>
      <c r="E1248" s="6" t="s">
        <v>4754</v>
      </c>
      <c r="F1248" s="8" t="e">
        <f>VLOOKUP($D1248,설문!$C$2:$G$444,3,FALSE)</f>
        <v>#N/A</v>
      </c>
      <c r="G1248" s="8" t="e">
        <f>VLOOKUP($D1248,설문!$C$2:$G$444,4,FALSE)</f>
        <v>#N/A</v>
      </c>
      <c r="H1248" s="8" t="e">
        <f>VLOOKUP($D1248,설문!$C$2:$G$444,5,FALSE)</f>
        <v>#N/A</v>
      </c>
    </row>
    <row r="1249" spans="1:8">
      <c r="A1249" s="6" t="s">
        <v>1373</v>
      </c>
      <c r="B1249" s="7" t="s">
        <v>4749</v>
      </c>
      <c r="C1249" s="7" t="s">
        <v>4750</v>
      </c>
      <c r="D1249" s="7" t="s">
        <v>4755</v>
      </c>
      <c r="E1249" s="6" t="s">
        <v>4756</v>
      </c>
      <c r="F1249" s="8" t="e">
        <f>VLOOKUP($D1249,설문!$C$2:$G$444,3,FALSE)</f>
        <v>#N/A</v>
      </c>
      <c r="G1249" s="8" t="e">
        <f>VLOOKUP($D1249,설문!$C$2:$G$444,4,FALSE)</f>
        <v>#N/A</v>
      </c>
      <c r="H1249" s="8" t="e">
        <f>VLOOKUP($D1249,설문!$C$2:$G$444,5,FALSE)</f>
        <v>#N/A</v>
      </c>
    </row>
    <row r="1250" spans="1:8">
      <c r="A1250" s="6" t="s">
        <v>1373</v>
      </c>
      <c r="B1250" s="7" t="s">
        <v>4749</v>
      </c>
      <c r="C1250" s="7" t="s">
        <v>4750</v>
      </c>
      <c r="D1250" s="7" t="s">
        <v>4757</v>
      </c>
      <c r="E1250" s="6" t="s">
        <v>4758</v>
      </c>
      <c r="F1250" s="8" t="e">
        <f>VLOOKUP($D1250,설문!$C$2:$G$444,3,FALSE)</f>
        <v>#N/A</v>
      </c>
      <c r="G1250" s="8" t="e">
        <f>VLOOKUP($D1250,설문!$C$2:$G$444,4,FALSE)</f>
        <v>#N/A</v>
      </c>
      <c r="H1250" s="8" t="e">
        <f>VLOOKUP($D1250,설문!$C$2:$G$444,5,FALSE)</f>
        <v>#N/A</v>
      </c>
    </row>
    <row r="1251" spans="1:8">
      <c r="A1251" s="6" t="s">
        <v>1373</v>
      </c>
      <c r="B1251" s="7" t="s">
        <v>4749</v>
      </c>
      <c r="C1251" s="7" t="s">
        <v>4750</v>
      </c>
      <c r="D1251" s="7" t="s">
        <v>4759</v>
      </c>
      <c r="E1251" s="6" t="s">
        <v>4760</v>
      </c>
      <c r="F1251" s="8" t="e">
        <f>VLOOKUP($D1251,설문!$C$2:$G$444,3,FALSE)</f>
        <v>#N/A</v>
      </c>
      <c r="G1251" s="8" t="e">
        <f>VLOOKUP($D1251,설문!$C$2:$G$444,4,FALSE)</f>
        <v>#N/A</v>
      </c>
      <c r="H1251" s="8" t="e">
        <f>VLOOKUP($D1251,설문!$C$2:$G$444,5,FALSE)</f>
        <v>#N/A</v>
      </c>
    </row>
    <row r="1252" spans="1:8">
      <c r="A1252" s="6" t="s">
        <v>1373</v>
      </c>
      <c r="B1252" s="7" t="s">
        <v>4749</v>
      </c>
      <c r="C1252" s="7" t="s">
        <v>4750</v>
      </c>
      <c r="D1252" s="7" t="s">
        <v>4761</v>
      </c>
      <c r="E1252" s="6" t="s">
        <v>4762</v>
      </c>
      <c r="F1252" s="8" t="e">
        <f>VLOOKUP($D1252,설문!$C$2:$G$444,3,FALSE)</f>
        <v>#N/A</v>
      </c>
      <c r="G1252" s="8" t="e">
        <f>VLOOKUP($D1252,설문!$C$2:$G$444,4,FALSE)</f>
        <v>#N/A</v>
      </c>
      <c r="H1252" s="8" t="e">
        <f>VLOOKUP($D1252,설문!$C$2:$G$444,5,FALSE)</f>
        <v>#N/A</v>
      </c>
    </row>
    <row r="1253" spans="1:8">
      <c r="A1253" s="6" t="s">
        <v>1373</v>
      </c>
      <c r="B1253" s="7" t="s">
        <v>4749</v>
      </c>
      <c r="C1253" s="7" t="s">
        <v>4750</v>
      </c>
      <c r="D1253" s="7" t="s">
        <v>4763</v>
      </c>
      <c r="E1253" s="6" t="s">
        <v>4764</v>
      </c>
      <c r="F1253" s="8" t="e">
        <f>VLOOKUP($D1253,설문!$C$2:$G$444,3,FALSE)</f>
        <v>#N/A</v>
      </c>
      <c r="G1253" s="8" t="e">
        <f>VLOOKUP($D1253,설문!$C$2:$G$444,4,FALSE)</f>
        <v>#N/A</v>
      </c>
      <c r="H1253" s="8" t="e">
        <f>VLOOKUP($D1253,설문!$C$2:$G$444,5,FALSE)</f>
        <v>#N/A</v>
      </c>
    </row>
    <row r="1254" spans="1:8">
      <c r="A1254" s="6" t="s">
        <v>1373</v>
      </c>
      <c r="B1254" s="7" t="s">
        <v>4749</v>
      </c>
      <c r="C1254" s="7" t="s">
        <v>4750</v>
      </c>
      <c r="D1254" s="7" t="s">
        <v>4765</v>
      </c>
      <c r="E1254" s="6" t="s">
        <v>4766</v>
      </c>
      <c r="F1254" s="8" t="e">
        <f>VLOOKUP($D1254,설문!$C$2:$G$444,3,FALSE)</f>
        <v>#N/A</v>
      </c>
      <c r="G1254" s="8" t="e">
        <f>VLOOKUP($D1254,설문!$C$2:$G$444,4,FALSE)</f>
        <v>#N/A</v>
      </c>
      <c r="H1254" s="8" t="e">
        <f>VLOOKUP($D1254,설문!$C$2:$G$444,5,FALSE)</f>
        <v>#N/A</v>
      </c>
    </row>
    <row r="1255" spans="1:8">
      <c r="A1255" s="6" t="s">
        <v>1373</v>
      </c>
      <c r="B1255" s="7" t="s">
        <v>4749</v>
      </c>
      <c r="C1255" s="7" t="s">
        <v>4750</v>
      </c>
      <c r="D1255" s="7" t="s">
        <v>4767</v>
      </c>
      <c r="E1255" s="6" t="s">
        <v>4768</v>
      </c>
      <c r="F1255" s="8" t="e">
        <f>VLOOKUP($D1255,설문!$C$2:$G$444,3,FALSE)</f>
        <v>#N/A</v>
      </c>
      <c r="G1255" s="8" t="e">
        <f>VLOOKUP($D1255,설문!$C$2:$G$444,4,FALSE)</f>
        <v>#N/A</v>
      </c>
      <c r="H1255" s="8" t="e">
        <f>VLOOKUP($D1255,설문!$C$2:$G$444,5,FALSE)</f>
        <v>#N/A</v>
      </c>
    </row>
    <row r="1256" spans="1:8">
      <c r="A1256" s="6" t="s">
        <v>1373</v>
      </c>
      <c r="B1256" s="7" t="s">
        <v>1374</v>
      </c>
      <c r="C1256" s="7" t="s">
        <v>4769</v>
      </c>
      <c r="D1256" s="7" t="s">
        <v>4770</v>
      </c>
      <c r="E1256" s="6" t="s">
        <v>4771</v>
      </c>
      <c r="F1256" s="8" t="e">
        <f>VLOOKUP($D1256,설문!$C$2:$G$444,3,FALSE)</f>
        <v>#N/A</v>
      </c>
      <c r="G1256" s="8" t="e">
        <f>VLOOKUP($D1256,설문!$C$2:$G$444,4,FALSE)</f>
        <v>#N/A</v>
      </c>
      <c r="H1256" s="8" t="e">
        <f>VLOOKUP($D1256,설문!$C$2:$G$444,5,FALSE)</f>
        <v>#N/A</v>
      </c>
    </row>
    <row r="1257" spans="1:8">
      <c r="A1257" s="6" t="s">
        <v>1373</v>
      </c>
      <c r="B1257" s="7" t="s">
        <v>1386</v>
      </c>
      <c r="C1257" s="7" t="s">
        <v>1374</v>
      </c>
      <c r="D1257" s="7" t="s">
        <v>4772</v>
      </c>
      <c r="E1257" s="6" t="s">
        <v>4773</v>
      </c>
      <c r="F1257" s="8" t="e">
        <f>VLOOKUP($D1257,설문!$C$2:$G$444,3,FALSE)</f>
        <v>#N/A</v>
      </c>
      <c r="G1257" s="8" t="e">
        <f>VLOOKUP($D1257,설문!$C$2:$G$444,4,FALSE)</f>
        <v>#N/A</v>
      </c>
      <c r="H1257" s="8" t="e">
        <f>VLOOKUP($D1257,설문!$C$2:$G$444,5,FALSE)</f>
        <v>#N/A</v>
      </c>
    </row>
    <row r="1258" spans="1:8">
      <c r="A1258" s="6" t="s">
        <v>1373</v>
      </c>
      <c r="B1258" s="7" t="s">
        <v>4774</v>
      </c>
      <c r="C1258" s="7" t="s">
        <v>4774</v>
      </c>
      <c r="D1258" s="7" t="s">
        <v>4775</v>
      </c>
      <c r="E1258" s="6" t="s">
        <v>1681</v>
      </c>
      <c r="F1258" s="8" t="e">
        <f>VLOOKUP($D1258,설문!$C$2:$G$444,3,FALSE)</f>
        <v>#N/A</v>
      </c>
      <c r="G1258" s="8" t="e">
        <f>VLOOKUP($D1258,설문!$C$2:$G$444,4,FALSE)</f>
        <v>#N/A</v>
      </c>
      <c r="H1258" s="8" t="e">
        <f>VLOOKUP($D1258,설문!$C$2:$G$444,5,FALSE)</f>
        <v>#N/A</v>
      </c>
    </row>
    <row r="1259" spans="1:8">
      <c r="A1259" s="6" t="s">
        <v>1373</v>
      </c>
      <c r="B1259" s="7" t="s">
        <v>4776</v>
      </c>
      <c r="C1259" s="7" t="s">
        <v>4776</v>
      </c>
      <c r="D1259" s="7" t="s">
        <v>4777</v>
      </c>
      <c r="E1259" s="6" t="s">
        <v>4778</v>
      </c>
      <c r="F1259" s="8" t="e">
        <f>VLOOKUP($D1259,설문!$C$2:$G$444,3,FALSE)</f>
        <v>#N/A</v>
      </c>
      <c r="G1259" s="8" t="e">
        <f>VLOOKUP($D1259,설문!$C$2:$G$444,4,FALSE)</f>
        <v>#N/A</v>
      </c>
      <c r="H1259" s="8" t="e">
        <f>VLOOKUP($D1259,설문!$C$2:$G$444,5,FALSE)</f>
        <v>#N/A</v>
      </c>
    </row>
    <row r="1260" spans="1:8">
      <c r="A1260" s="6" t="s">
        <v>1373</v>
      </c>
      <c r="B1260" s="7" t="s">
        <v>4776</v>
      </c>
      <c r="C1260" s="7" t="s">
        <v>4776</v>
      </c>
      <c r="D1260" s="7" t="s">
        <v>4779</v>
      </c>
      <c r="E1260" s="6" t="s">
        <v>4780</v>
      </c>
      <c r="F1260" s="8" t="e">
        <f>VLOOKUP($D1260,설문!$C$2:$G$444,3,FALSE)</f>
        <v>#N/A</v>
      </c>
      <c r="G1260" s="8" t="e">
        <f>VLOOKUP($D1260,설문!$C$2:$G$444,4,FALSE)</f>
        <v>#N/A</v>
      </c>
      <c r="H1260" s="8" t="e">
        <f>VLOOKUP($D1260,설문!$C$2:$G$444,5,FALSE)</f>
        <v>#N/A</v>
      </c>
    </row>
    <row r="1261" spans="1:8">
      <c r="A1261" s="6" t="s">
        <v>1373</v>
      </c>
      <c r="B1261" s="7" t="s">
        <v>4776</v>
      </c>
      <c r="C1261" s="7" t="s">
        <v>4776</v>
      </c>
      <c r="D1261" s="7" t="s">
        <v>4781</v>
      </c>
      <c r="E1261" s="6" t="s">
        <v>4782</v>
      </c>
      <c r="F1261" s="8" t="e">
        <f>VLOOKUP($D1261,설문!$C$2:$G$444,3,FALSE)</f>
        <v>#N/A</v>
      </c>
      <c r="G1261" s="8" t="e">
        <f>VLOOKUP($D1261,설문!$C$2:$G$444,4,FALSE)</f>
        <v>#N/A</v>
      </c>
      <c r="H1261" s="8" t="e">
        <f>VLOOKUP($D1261,설문!$C$2:$G$444,5,FALSE)</f>
        <v>#N/A</v>
      </c>
    </row>
    <row r="1262" spans="1:8">
      <c r="A1262" s="6" t="s">
        <v>1373</v>
      </c>
      <c r="B1262" s="7" t="s">
        <v>4783</v>
      </c>
      <c r="C1262" s="7" t="s">
        <v>4783</v>
      </c>
      <c r="D1262" s="7" t="s">
        <v>4784</v>
      </c>
      <c r="E1262" s="6" t="s">
        <v>4785</v>
      </c>
      <c r="F1262" s="8" t="e">
        <f>VLOOKUP($D1262,설문!$C$2:$G$444,3,FALSE)</f>
        <v>#N/A</v>
      </c>
      <c r="G1262" s="8" t="e">
        <f>VLOOKUP($D1262,설문!$C$2:$G$444,4,FALSE)</f>
        <v>#N/A</v>
      </c>
      <c r="H1262" s="8" t="e">
        <f>VLOOKUP($D1262,설문!$C$2:$G$444,5,FALSE)</f>
        <v>#N/A</v>
      </c>
    </row>
    <row r="1263" spans="1:8">
      <c r="A1263" s="6" t="s">
        <v>1373</v>
      </c>
      <c r="B1263" s="7" t="s">
        <v>4786</v>
      </c>
      <c r="C1263" s="7" t="s">
        <v>4786</v>
      </c>
      <c r="D1263" s="7" t="s">
        <v>4787</v>
      </c>
      <c r="E1263" s="6" t="s">
        <v>4788</v>
      </c>
      <c r="F1263" s="8" t="e">
        <f>VLOOKUP($D1263,설문!$C$2:$G$444,3,FALSE)</f>
        <v>#N/A</v>
      </c>
      <c r="G1263" s="8" t="e">
        <f>VLOOKUP($D1263,설문!$C$2:$G$444,4,FALSE)</f>
        <v>#N/A</v>
      </c>
      <c r="H1263" s="8" t="e">
        <f>VLOOKUP($D1263,설문!$C$2:$G$444,5,FALSE)</f>
        <v>#N/A</v>
      </c>
    </row>
    <row r="1264" spans="1:8">
      <c r="A1264" s="6" t="s">
        <v>1373</v>
      </c>
      <c r="B1264" s="7" t="s">
        <v>4786</v>
      </c>
      <c r="C1264" s="7" t="s">
        <v>4786</v>
      </c>
      <c r="D1264" s="7" t="s">
        <v>4789</v>
      </c>
      <c r="E1264" s="6" t="s">
        <v>4790</v>
      </c>
      <c r="F1264" s="8" t="str">
        <f>VLOOKUP($D1264,설문!$C$2:$G$444,3,FALSE)</f>
        <v>트레이더</v>
      </c>
      <c r="G1264" s="8" t="str">
        <f>VLOOKUP($D1264,설문!$C$2:$G$444,4,FALSE)</f>
        <v>금융회사</v>
      </c>
      <c r="H1264" s="8" t="str">
        <f>VLOOKUP($D1264,설문!$C$2:$G$444,5,FALSE)</f>
        <v>국내주식/지수</v>
      </c>
    </row>
    <row r="1265" spans="1:8">
      <c r="A1265" s="6" t="s">
        <v>1373</v>
      </c>
      <c r="B1265" s="7" t="s">
        <v>4791</v>
      </c>
      <c r="C1265" s="7" t="s">
        <v>4791</v>
      </c>
      <c r="D1265" s="7" t="s">
        <v>4792</v>
      </c>
      <c r="E1265" s="6" t="s">
        <v>4793</v>
      </c>
      <c r="F1265" s="8" t="e">
        <f>VLOOKUP($D1265,설문!$C$2:$G$444,3,FALSE)</f>
        <v>#N/A</v>
      </c>
      <c r="G1265" s="8" t="e">
        <f>VLOOKUP($D1265,설문!$C$2:$G$444,4,FALSE)</f>
        <v>#N/A</v>
      </c>
      <c r="H1265" s="8" t="e">
        <f>VLOOKUP($D1265,설문!$C$2:$G$444,5,FALSE)</f>
        <v>#N/A</v>
      </c>
    </row>
    <row r="1266" spans="1:8">
      <c r="A1266" s="6" t="s">
        <v>1568</v>
      </c>
      <c r="B1266" s="7" t="s">
        <v>78</v>
      </c>
      <c r="C1266" s="7" t="s">
        <v>78</v>
      </c>
      <c r="D1266" s="7" t="s">
        <v>1569</v>
      </c>
      <c r="E1266" s="6" t="s">
        <v>1570</v>
      </c>
      <c r="F1266" s="8" t="str">
        <f>VLOOKUP($D1266,설문!$C$2:$G$444,3,FALSE)</f>
        <v>펀드매니저</v>
      </c>
      <c r="G1266" s="8" t="str">
        <f>VLOOKUP($D1266,설문!$C$2:$G$444,4,FALSE)</f>
        <v>금융회사,금융 유관기관</v>
      </c>
      <c r="H1266" s="8" t="str">
        <f>VLOOKUP($D1266,설문!$C$2:$G$444,5,FALSE)</f>
        <v>국내주식/지수</v>
      </c>
    </row>
    <row r="1267" spans="1:8">
      <c r="A1267" s="6" t="s">
        <v>1568</v>
      </c>
      <c r="B1267" s="7" t="s">
        <v>2722</v>
      </c>
      <c r="C1267" s="7" t="s">
        <v>2722</v>
      </c>
      <c r="D1267" s="7" t="s">
        <v>2723</v>
      </c>
      <c r="E1267" s="6" t="s">
        <v>2724</v>
      </c>
      <c r="F1267" s="8" t="e">
        <f>VLOOKUP($D1267,설문!$C$2:$G$444,3,FALSE)</f>
        <v>#N/A</v>
      </c>
      <c r="G1267" s="8" t="e">
        <f>VLOOKUP($D1267,설문!$C$2:$G$444,4,FALSE)</f>
        <v>#N/A</v>
      </c>
      <c r="H1267" s="8" t="e">
        <f>VLOOKUP($D1267,설문!$C$2:$G$444,5,FALSE)</f>
        <v>#N/A</v>
      </c>
    </row>
    <row r="1268" spans="1:8">
      <c r="A1268" s="6" t="s">
        <v>1568</v>
      </c>
      <c r="B1268" s="7" t="s">
        <v>2725</v>
      </c>
      <c r="C1268" s="7" t="s">
        <v>2725</v>
      </c>
      <c r="D1268" s="7" t="s">
        <v>2726</v>
      </c>
      <c r="E1268" s="6" t="s">
        <v>2727</v>
      </c>
      <c r="F1268" s="8" t="e">
        <f>VLOOKUP($D1268,설문!$C$2:$G$444,3,FALSE)</f>
        <v>#N/A</v>
      </c>
      <c r="G1268" s="8" t="e">
        <f>VLOOKUP($D1268,설문!$C$2:$G$444,4,FALSE)</f>
        <v>#N/A</v>
      </c>
      <c r="H1268" s="8" t="e">
        <f>VLOOKUP($D1268,설문!$C$2:$G$444,5,FALSE)</f>
        <v>#N/A</v>
      </c>
    </row>
    <row r="1269" spans="1:8">
      <c r="A1269" s="6" t="s">
        <v>1568</v>
      </c>
      <c r="B1269" s="7" t="s">
        <v>2728</v>
      </c>
      <c r="C1269" s="7" t="s">
        <v>2728</v>
      </c>
      <c r="D1269" s="7" t="s">
        <v>2729</v>
      </c>
      <c r="E1269" s="6" t="s">
        <v>2730</v>
      </c>
      <c r="F1269" s="8" t="e">
        <f>VLOOKUP($D1269,설문!$C$2:$G$444,3,FALSE)</f>
        <v>#N/A</v>
      </c>
      <c r="G1269" s="8" t="e">
        <f>VLOOKUP($D1269,설문!$C$2:$G$444,4,FALSE)</f>
        <v>#N/A</v>
      </c>
      <c r="H1269" s="8" t="e">
        <f>VLOOKUP($D1269,설문!$C$2:$G$444,5,FALSE)</f>
        <v>#N/A</v>
      </c>
    </row>
    <row r="1270" spans="1:8">
      <c r="A1270" s="6" t="s">
        <v>1568</v>
      </c>
      <c r="B1270" s="7" t="s">
        <v>2731</v>
      </c>
      <c r="C1270" s="7" t="s">
        <v>2731</v>
      </c>
      <c r="D1270" s="7" t="s">
        <v>2732</v>
      </c>
      <c r="E1270" s="6" t="s">
        <v>2733</v>
      </c>
      <c r="F1270" s="8" t="e">
        <f>VLOOKUP($D1270,설문!$C$2:$G$444,3,FALSE)</f>
        <v>#N/A</v>
      </c>
      <c r="G1270" s="8" t="e">
        <f>VLOOKUP($D1270,설문!$C$2:$G$444,4,FALSE)</f>
        <v>#N/A</v>
      </c>
      <c r="H1270" s="8" t="e">
        <f>VLOOKUP($D1270,설문!$C$2:$G$444,5,FALSE)</f>
        <v>#N/A</v>
      </c>
    </row>
    <row r="1271" spans="1:8">
      <c r="A1271" s="6" t="s">
        <v>1568</v>
      </c>
      <c r="B1271" s="7" t="s">
        <v>2058</v>
      </c>
      <c r="C1271" s="7" t="s">
        <v>2058</v>
      </c>
      <c r="D1271" s="7" t="s">
        <v>2734</v>
      </c>
      <c r="E1271" s="6" t="s">
        <v>2735</v>
      </c>
      <c r="F1271" s="8" t="e">
        <f>VLOOKUP($D1271,설문!$C$2:$G$444,3,FALSE)</f>
        <v>#N/A</v>
      </c>
      <c r="G1271" s="8" t="e">
        <f>VLOOKUP($D1271,설문!$C$2:$G$444,4,FALSE)</f>
        <v>#N/A</v>
      </c>
      <c r="H1271" s="8" t="e">
        <f>VLOOKUP($D1271,설문!$C$2:$G$444,5,FALSE)</f>
        <v>#N/A</v>
      </c>
    </row>
    <row r="1272" spans="1:8">
      <c r="A1272" s="6" t="s">
        <v>1568</v>
      </c>
      <c r="B1272" s="7" t="s">
        <v>78</v>
      </c>
      <c r="C1272" s="7" t="s">
        <v>78</v>
      </c>
      <c r="D1272" s="7" t="s">
        <v>2736</v>
      </c>
      <c r="E1272" s="6" t="s">
        <v>2737</v>
      </c>
      <c r="F1272" s="8" t="e">
        <f>VLOOKUP($D1272,설문!$C$2:$G$444,3,FALSE)</f>
        <v>#N/A</v>
      </c>
      <c r="G1272" s="8" t="e">
        <f>VLOOKUP($D1272,설문!$C$2:$G$444,4,FALSE)</f>
        <v>#N/A</v>
      </c>
      <c r="H1272" s="8" t="e">
        <f>VLOOKUP($D1272,설문!$C$2:$G$444,5,FALSE)</f>
        <v>#N/A</v>
      </c>
    </row>
    <row r="1273" spans="1:8">
      <c r="A1273" s="6" t="s">
        <v>1568</v>
      </c>
      <c r="B1273" s="7" t="s">
        <v>78</v>
      </c>
      <c r="C1273" s="7" t="s">
        <v>78</v>
      </c>
      <c r="D1273" s="7" t="s">
        <v>2738</v>
      </c>
      <c r="E1273" s="6" t="s">
        <v>2739</v>
      </c>
      <c r="F1273" s="8" t="e">
        <f>VLOOKUP($D1273,설문!$C$2:$G$444,3,FALSE)</f>
        <v>#N/A</v>
      </c>
      <c r="G1273" s="8" t="e">
        <f>VLOOKUP($D1273,설문!$C$2:$G$444,4,FALSE)</f>
        <v>#N/A</v>
      </c>
      <c r="H1273" s="8" t="e">
        <f>VLOOKUP($D1273,설문!$C$2:$G$444,5,FALSE)</f>
        <v>#N/A</v>
      </c>
    </row>
    <row r="1274" spans="1:8">
      <c r="A1274" s="6" t="s">
        <v>1568</v>
      </c>
      <c r="B1274" s="7" t="s">
        <v>78</v>
      </c>
      <c r="C1274" s="7" t="s">
        <v>78</v>
      </c>
      <c r="D1274" s="7" t="s">
        <v>2740</v>
      </c>
      <c r="E1274" s="6" t="s">
        <v>2741</v>
      </c>
      <c r="F1274" s="8" t="e">
        <f>VLOOKUP($D1274,설문!$C$2:$G$444,3,FALSE)</f>
        <v>#N/A</v>
      </c>
      <c r="G1274" s="8" t="e">
        <f>VLOOKUP($D1274,설문!$C$2:$G$444,4,FALSE)</f>
        <v>#N/A</v>
      </c>
      <c r="H1274" s="8" t="e">
        <f>VLOOKUP($D1274,설문!$C$2:$G$444,5,FALSE)</f>
        <v>#N/A</v>
      </c>
    </row>
    <row r="1275" spans="1:8">
      <c r="A1275" s="6" t="s">
        <v>1313</v>
      </c>
      <c r="B1275" s="7" t="s">
        <v>1314</v>
      </c>
      <c r="C1275" s="7" t="s">
        <v>1314</v>
      </c>
      <c r="D1275" s="7" t="s">
        <v>1315</v>
      </c>
      <c r="E1275" s="6" t="s">
        <v>1316</v>
      </c>
      <c r="F1275" s="8" t="e">
        <f>VLOOKUP($D1275,설문!$C$2:$G$444,3,FALSE)</f>
        <v>#N/A</v>
      </c>
      <c r="G1275" s="8" t="e">
        <f>VLOOKUP($D1275,설문!$C$2:$G$444,4,FALSE)</f>
        <v>#N/A</v>
      </c>
      <c r="H1275" s="8" t="e">
        <f>VLOOKUP($D1275,설문!$C$2:$G$444,5,FALSE)</f>
        <v>#N/A</v>
      </c>
    </row>
    <row r="1276" spans="1:8">
      <c r="A1276" s="6" t="s">
        <v>1313</v>
      </c>
      <c r="B1276" s="7" t="s">
        <v>2697</v>
      </c>
      <c r="C1276" s="7" t="s">
        <v>2698</v>
      </c>
      <c r="D1276" s="7" t="s">
        <v>2699</v>
      </c>
      <c r="E1276" s="6" t="s">
        <v>498</v>
      </c>
      <c r="F1276" s="8" t="e">
        <f>VLOOKUP($D1276,설문!$C$2:$G$444,3,FALSE)</f>
        <v>#N/A</v>
      </c>
      <c r="G1276" s="8" t="e">
        <f>VLOOKUP($D1276,설문!$C$2:$G$444,4,FALSE)</f>
        <v>#N/A</v>
      </c>
      <c r="H1276" s="8" t="e">
        <f>VLOOKUP($D1276,설문!$C$2:$G$444,5,FALSE)</f>
        <v>#N/A</v>
      </c>
    </row>
    <row r="1277" spans="1:8">
      <c r="A1277" s="6" t="s">
        <v>1313</v>
      </c>
      <c r="B1277" s="7" t="s">
        <v>2225</v>
      </c>
      <c r="C1277" s="7" t="s">
        <v>1340</v>
      </c>
      <c r="D1277" s="7" t="s">
        <v>2700</v>
      </c>
      <c r="E1277" s="6" t="s">
        <v>2701</v>
      </c>
      <c r="F1277" s="8" t="e">
        <f>VLOOKUP($D1277,설문!$C$2:$G$444,3,FALSE)</f>
        <v>#N/A</v>
      </c>
      <c r="G1277" s="8" t="e">
        <f>VLOOKUP($D1277,설문!$C$2:$G$444,4,FALSE)</f>
        <v>#N/A</v>
      </c>
      <c r="H1277" s="8" t="e">
        <f>VLOOKUP($D1277,설문!$C$2:$G$444,5,FALSE)</f>
        <v>#N/A</v>
      </c>
    </row>
    <row r="1278" spans="1:8">
      <c r="A1278" s="6" t="s">
        <v>1313</v>
      </c>
      <c r="B1278" s="7" t="s">
        <v>2376</v>
      </c>
      <c r="C1278" s="7" t="s">
        <v>2376</v>
      </c>
      <c r="D1278" s="7" t="s">
        <v>2702</v>
      </c>
      <c r="E1278" s="6" t="s">
        <v>2703</v>
      </c>
      <c r="F1278" s="8" t="e">
        <f>VLOOKUP($D1278,설문!$C$2:$G$444,3,FALSE)</f>
        <v>#N/A</v>
      </c>
      <c r="G1278" s="8" t="e">
        <f>VLOOKUP($D1278,설문!$C$2:$G$444,4,FALSE)</f>
        <v>#N/A</v>
      </c>
      <c r="H1278" s="8" t="e">
        <f>VLOOKUP($D1278,설문!$C$2:$G$444,5,FALSE)</f>
        <v>#N/A</v>
      </c>
    </row>
    <row r="1279" spans="1:8">
      <c r="A1279" s="6" t="s">
        <v>1313</v>
      </c>
      <c r="B1279" s="7" t="s">
        <v>2704</v>
      </c>
      <c r="C1279" s="7" t="s">
        <v>2705</v>
      </c>
      <c r="D1279" s="7" t="s">
        <v>2706</v>
      </c>
      <c r="E1279" s="6" t="s">
        <v>2707</v>
      </c>
      <c r="F1279" s="8" t="str">
        <f>VLOOKUP($D1279,설문!$C$2:$G$444,3,FALSE)</f>
        <v>트레이더</v>
      </c>
      <c r="G1279" s="8" t="str">
        <f>VLOOKUP($D1279,설문!$C$2:$G$444,4,FALSE)</f>
        <v>금융회사</v>
      </c>
      <c r="H1279" s="8" t="str">
        <f>VLOOKUP($D1279,설문!$C$2:$G$444,5,FALSE)</f>
        <v>국내주식/지수관련파생,원화 이자율스왑,해외주식/지수관련파생</v>
      </c>
    </row>
    <row r="1280" spans="1:8">
      <c r="A1280" s="6" t="s">
        <v>1313</v>
      </c>
      <c r="B1280" s="7" t="s">
        <v>2708</v>
      </c>
      <c r="C1280" s="7" t="s">
        <v>2705</v>
      </c>
      <c r="D1280" s="7" t="s">
        <v>2709</v>
      </c>
      <c r="E1280" s="6" t="s">
        <v>2710</v>
      </c>
      <c r="F1280" s="8" t="e">
        <f>VLOOKUP($D1280,설문!$C$2:$G$444,3,FALSE)</f>
        <v>#N/A</v>
      </c>
      <c r="G1280" s="8" t="e">
        <f>VLOOKUP($D1280,설문!$C$2:$G$444,4,FALSE)</f>
        <v>#N/A</v>
      </c>
      <c r="H1280" s="8" t="e">
        <f>VLOOKUP($D1280,설문!$C$2:$G$444,5,FALSE)</f>
        <v>#N/A</v>
      </c>
    </row>
    <row r="1281" spans="1:8">
      <c r="A1281" s="6" t="s">
        <v>1313</v>
      </c>
      <c r="B1281" s="7" t="s">
        <v>2711</v>
      </c>
      <c r="C1281" s="7" t="s">
        <v>2712</v>
      </c>
      <c r="D1281" s="7" t="s">
        <v>2713</v>
      </c>
      <c r="E1281" s="6" t="s">
        <v>2714</v>
      </c>
      <c r="F1281" s="8" t="e">
        <f>VLOOKUP($D1281,설문!$C$2:$G$444,3,FALSE)</f>
        <v>#N/A</v>
      </c>
      <c r="G1281" s="8" t="e">
        <f>VLOOKUP($D1281,설문!$C$2:$G$444,4,FALSE)</f>
        <v>#N/A</v>
      </c>
      <c r="H1281" s="8" t="e">
        <f>VLOOKUP($D1281,설문!$C$2:$G$444,5,FALSE)</f>
        <v>#N/A</v>
      </c>
    </row>
    <row r="1282" spans="1:8">
      <c r="A1282" s="6" t="s">
        <v>1313</v>
      </c>
      <c r="B1282" s="7" t="s">
        <v>2715</v>
      </c>
      <c r="C1282" s="7" t="s">
        <v>2716</v>
      </c>
      <c r="D1282" s="7" t="s">
        <v>2717</v>
      </c>
      <c r="E1282" s="6" t="s">
        <v>2718</v>
      </c>
      <c r="F1282" s="8" t="e">
        <f>VLOOKUP($D1282,설문!$C$2:$G$444,3,FALSE)</f>
        <v>#N/A</v>
      </c>
      <c r="G1282" s="8" t="e">
        <f>VLOOKUP($D1282,설문!$C$2:$G$444,4,FALSE)</f>
        <v>#N/A</v>
      </c>
      <c r="H1282" s="8" t="e">
        <f>VLOOKUP($D1282,설문!$C$2:$G$444,5,FALSE)</f>
        <v>#N/A</v>
      </c>
    </row>
    <row r="1283" spans="1:8">
      <c r="A1283" s="6" t="s">
        <v>1313</v>
      </c>
      <c r="B1283" s="7" t="s">
        <v>2697</v>
      </c>
      <c r="C1283" s="7" t="s">
        <v>2698</v>
      </c>
      <c r="D1283" s="7" t="s">
        <v>2719</v>
      </c>
      <c r="E1283" s="6" t="s">
        <v>2720</v>
      </c>
      <c r="F1283" s="8" t="e">
        <f>VLOOKUP($D1283,설문!$C$2:$G$444,3,FALSE)</f>
        <v>#N/A</v>
      </c>
      <c r="G1283" s="8" t="e">
        <f>VLOOKUP($D1283,설문!$C$2:$G$444,4,FALSE)</f>
        <v>#N/A</v>
      </c>
      <c r="H1283" s="8" t="e">
        <f>VLOOKUP($D1283,설문!$C$2:$G$444,5,FALSE)</f>
        <v>#N/A</v>
      </c>
    </row>
    <row r="1284" spans="1:8">
      <c r="A1284" s="6" t="s">
        <v>3025</v>
      </c>
      <c r="B1284" s="7" t="s">
        <v>3026</v>
      </c>
      <c r="C1284" s="7" t="s">
        <v>3027</v>
      </c>
      <c r="D1284" s="7" t="s">
        <v>3028</v>
      </c>
      <c r="E1284" s="6" t="s">
        <v>3029</v>
      </c>
      <c r="F1284" s="8" t="e">
        <f>VLOOKUP($D1284,설문!$C$2:$G$444,3,FALSE)</f>
        <v>#N/A</v>
      </c>
      <c r="G1284" s="8" t="e">
        <f>VLOOKUP($D1284,설문!$C$2:$G$444,4,FALSE)</f>
        <v>#N/A</v>
      </c>
      <c r="H1284" s="8" t="e">
        <f>VLOOKUP($D1284,설문!$C$2:$G$444,5,FALSE)</f>
        <v>#N/A</v>
      </c>
    </row>
    <row r="1285" spans="1:8">
      <c r="A1285" s="6" t="s">
        <v>3025</v>
      </c>
      <c r="B1285" s="7" t="s">
        <v>3026</v>
      </c>
      <c r="C1285" s="7" t="s">
        <v>501</v>
      </c>
      <c r="D1285" s="7" t="s">
        <v>3030</v>
      </c>
      <c r="E1285" s="6" t="s">
        <v>3031</v>
      </c>
      <c r="F1285" s="8" t="e">
        <f>VLOOKUP($D1285,설문!$C$2:$G$444,3,FALSE)</f>
        <v>#N/A</v>
      </c>
      <c r="G1285" s="8" t="e">
        <f>VLOOKUP($D1285,설문!$C$2:$G$444,4,FALSE)</f>
        <v>#N/A</v>
      </c>
      <c r="H1285" s="8" t="e">
        <f>VLOOKUP($D1285,설문!$C$2:$G$444,5,FALSE)</f>
        <v>#N/A</v>
      </c>
    </row>
    <row r="1286" spans="1:8">
      <c r="A1286" s="6" t="s">
        <v>3025</v>
      </c>
      <c r="B1286" s="7" t="s">
        <v>3032</v>
      </c>
      <c r="C1286" s="7" t="s">
        <v>0</v>
      </c>
      <c r="D1286" s="7" t="s">
        <v>3033</v>
      </c>
      <c r="E1286" s="6" t="s">
        <v>3034</v>
      </c>
      <c r="F1286" s="8" t="e">
        <f>VLOOKUP($D1286,설문!$C$2:$G$444,3,FALSE)</f>
        <v>#N/A</v>
      </c>
      <c r="G1286" s="8" t="e">
        <f>VLOOKUP($D1286,설문!$C$2:$G$444,4,FALSE)</f>
        <v>#N/A</v>
      </c>
      <c r="H1286" s="8" t="e">
        <f>VLOOKUP($D1286,설문!$C$2:$G$444,5,FALSE)</f>
        <v>#N/A</v>
      </c>
    </row>
    <row r="1287" spans="1:8">
      <c r="A1287" s="6" t="s">
        <v>3574</v>
      </c>
      <c r="B1287" s="7" t="s">
        <v>3575</v>
      </c>
      <c r="C1287" s="7" t="s">
        <v>69</v>
      </c>
      <c r="D1287" s="7" t="s">
        <v>3576</v>
      </c>
      <c r="E1287" s="6" t="s">
        <v>3577</v>
      </c>
      <c r="F1287" s="8" t="e">
        <f>VLOOKUP($D1287,설문!$C$2:$G$444,3,FALSE)</f>
        <v>#N/A</v>
      </c>
      <c r="G1287" s="8" t="e">
        <f>VLOOKUP($D1287,설문!$C$2:$G$444,4,FALSE)</f>
        <v>#N/A</v>
      </c>
      <c r="H1287" s="8" t="e">
        <f>VLOOKUP($D1287,설문!$C$2:$G$444,5,FALSE)</f>
        <v>#N/A</v>
      </c>
    </row>
    <row r="1288" spans="1:8">
      <c r="A1288" s="6" t="s">
        <v>3574</v>
      </c>
      <c r="B1288" s="7" t="s">
        <v>3589</v>
      </c>
      <c r="C1288" s="7" t="s">
        <v>3586</v>
      </c>
      <c r="D1288" s="7" t="s">
        <v>3590</v>
      </c>
      <c r="E1288" s="6" t="s">
        <v>3591</v>
      </c>
      <c r="F1288" s="8" t="e">
        <f>VLOOKUP($D1288,설문!$C$2:$G$444,3,FALSE)</f>
        <v>#N/A</v>
      </c>
      <c r="G1288" s="8" t="e">
        <f>VLOOKUP($D1288,설문!$C$2:$G$444,4,FALSE)</f>
        <v>#N/A</v>
      </c>
      <c r="H1288" s="8" t="e">
        <f>VLOOKUP($D1288,설문!$C$2:$G$444,5,FALSE)</f>
        <v>#N/A</v>
      </c>
    </row>
    <row r="1289" spans="1:8">
      <c r="A1289" s="6" t="s">
        <v>3574</v>
      </c>
      <c r="B1289" s="7" t="s">
        <v>3592</v>
      </c>
      <c r="C1289" s="7" t="s">
        <v>3593</v>
      </c>
      <c r="D1289" s="7" t="s">
        <v>3594</v>
      </c>
      <c r="E1289" s="6" t="s">
        <v>1213</v>
      </c>
      <c r="F1289" s="8" t="e">
        <f>VLOOKUP($D1289,설문!$C$2:$G$444,3,FALSE)</f>
        <v>#N/A</v>
      </c>
      <c r="G1289" s="8" t="e">
        <f>VLOOKUP($D1289,설문!$C$2:$G$444,4,FALSE)</f>
        <v>#N/A</v>
      </c>
      <c r="H1289" s="8" t="e">
        <f>VLOOKUP($D1289,설문!$C$2:$G$444,5,FALSE)</f>
        <v>#N/A</v>
      </c>
    </row>
    <row r="1290" spans="1:8">
      <c r="A1290" s="6" t="s">
        <v>3574</v>
      </c>
      <c r="B1290" s="7" t="s">
        <v>3592</v>
      </c>
      <c r="C1290" s="7" t="s">
        <v>3593</v>
      </c>
      <c r="D1290" s="7" t="s">
        <v>3605</v>
      </c>
      <c r="E1290" s="6" t="s">
        <v>2335</v>
      </c>
      <c r="F1290" s="8" t="e">
        <f>VLOOKUP($D1290,설문!$C$2:$G$444,3,FALSE)</f>
        <v>#N/A</v>
      </c>
      <c r="G1290" s="8" t="e">
        <f>VLOOKUP($D1290,설문!$C$2:$G$444,4,FALSE)</f>
        <v>#N/A</v>
      </c>
      <c r="H1290" s="8" t="e">
        <f>VLOOKUP($D1290,설문!$C$2:$G$444,5,FALSE)</f>
        <v>#N/A</v>
      </c>
    </row>
    <row r="1291" spans="1:8">
      <c r="A1291" s="6" t="s">
        <v>417</v>
      </c>
      <c r="B1291" s="7" t="s">
        <v>418</v>
      </c>
      <c r="C1291" s="7" t="s">
        <v>418</v>
      </c>
      <c r="D1291" s="7" t="s">
        <v>419</v>
      </c>
      <c r="E1291" s="6" t="s">
        <v>420</v>
      </c>
      <c r="F1291" s="8" t="e">
        <f>VLOOKUP($D1291,설문!$C$2:$G$444,3,FALSE)</f>
        <v>#N/A</v>
      </c>
      <c r="G1291" s="8" t="e">
        <f>VLOOKUP($D1291,설문!$C$2:$G$444,4,FALSE)</f>
        <v>#N/A</v>
      </c>
      <c r="H1291" s="8" t="e">
        <f>VLOOKUP($D1291,설문!$C$2:$G$444,5,FALSE)</f>
        <v>#N/A</v>
      </c>
    </row>
    <row r="1292" spans="1:8">
      <c r="A1292" s="6" t="s">
        <v>417</v>
      </c>
      <c r="B1292" s="7" t="s">
        <v>643</v>
      </c>
      <c r="C1292" s="7" t="s">
        <v>644</v>
      </c>
      <c r="D1292" s="7" t="s">
        <v>645</v>
      </c>
      <c r="E1292" s="6" t="s">
        <v>646</v>
      </c>
      <c r="F1292" s="8" t="str">
        <f>VLOOKUP($D1292,설문!$C$2:$G$444,3,FALSE)</f>
        <v>펀드매니저</v>
      </c>
      <c r="G1292" s="8" t="str">
        <f>VLOOKUP($D1292,설문!$C$2:$G$444,4,FALSE)</f>
        <v>금융회사,개인고객</v>
      </c>
      <c r="H1292" s="8" t="str">
        <f>VLOOKUP($D1292,설문!$C$2:$G$444,5,FALSE)</f>
        <v>국내주식/지수,국내주식/지수관련파생,ETF/ETN</v>
      </c>
    </row>
    <row r="1293" spans="1:8">
      <c r="A1293" s="6" t="s">
        <v>417</v>
      </c>
      <c r="B1293" s="7" t="s">
        <v>703</v>
      </c>
      <c r="C1293" s="7" t="s">
        <v>703</v>
      </c>
      <c r="D1293" s="7" t="s">
        <v>704</v>
      </c>
      <c r="E1293" s="6" t="s">
        <v>705</v>
      </c>
      <c r="F1293" s="8" t="e">
        <f>VLOOKUP($D1293,설문!$C$2:$G$444,3,FALSE)</f>
        <v>#N/A</v>
      </c>
      <c r="G1293" s="8" t="e">
        <f>VLOOKUP($D1293,설문!$C$2:$G$444,4,FALSE)</f>
        <v>#N/A</v>
      </c>
      <c r="H1293" s="8" t="e">
        <f>VLOOKUP($D1293,설문!$C$2:$G$444,5,FALSE)</f>
        <v>#N/A</v>
      </c>
    </row>
    <row r="1294" spans="1:8">
      <c r="A1294" s="6" t="s">
        <v>417</v>
      </c>
      <c r="B1294" s="7" t="s">
        <v>778</v>
      </c>
      <c r="C1294" s="7" t="s">
        <v>778</v>
      </c>
      <c r="D1294" s="7" t="s">
        <v>779</v>
      </c>
      <c r="E1294" s="6" t="s">
        <v>780</v>
      </c>
      <c r="F1294" s="8" t="e">
        <f>VLOOKUP($D1294,설문!$C$2:$G$444,3,FALSE)</f>
        <v>#N/A</v>
      </c>
      <c r="G1294" s="8" t="e">
        <f>VLOOKUP($D1294,설문!$C$2:$G$444,4,FALSE)</f>
        <v>#N/A</v>
      </c>
      <c r="H1294" s="8" t="e">
        <f>VLOOKUP($D1294,설문!$C$2:$G$444,5,FALSE)</f>
        <v>#N/A</v>
      </c>
    </row>
    <row r="1295" spans="1:8">
      <c r="A1295" s="6" t="s">
        <v>417</v>
      </c>
      <c r="B1295" s="7" t="s">
        <v>778</v>
      </c>
      <c r="C1295" s="7" t="s">
        <v>778</v>
      </c>
      <c r="D1295" s="7" t="s">
        <v>781</v>
      </c>
      <c r="E1295" s="6" t="s">
        <v>782</v>
      </c>
      <c r="F1295" s="8" t="e">
        <f>VLOOKUP($D1295,설문!$C$2:$G$444,3,FALSE)</f>
        <v>#N/A</v>
      </c>
      <c r="G1295" s="8" t="e">
        <f>VLOOKUP($D1295,설문!$C$2:$G$444,4,FALSE)</f>
        <v>#N/A</v>
      </c>
      <c r="H1295" s="8" t="e">
        <f>VLOOKUP($D1295,설문!$C$2:$G$444,5,FALSE)</f>
        <v>#N/A</v>
      </c>
    </row>
    <row r="1296" spans="1:8">
      <c r="A1296" s="6" t="s">
        <v>417</v>
      </c>
      <c r="B1296" s="7" t="s">
        <v>792</v>
      </c>
      <c r="C1296" s="7" t="s">
        <v>792</v>
      </c>
      <c r="D1296" s="7" t="s">
        <v>793</v>
      </c>
      <c r="E1296" s="6" t="s">
        <v>794</v>
      </c>
      <c r="F1296" s="8" t="str">
        <f>VLOOKUP($D1296,설문!$C$2:$G$444,3,FALSE)</f>
        <v>펀드매니저</v>
      </c>
      <c r="G1296" s="8" t="str">
        <f>VLOOKUP($D1296,설문!$C$2:$G$444,4,FALSE)</f>
        <v>금융회사,금융 유관기관</v>
      </c>
      <c r="H1296" s="8" t="str">
        <f>VLOOKUP($D1296,설문!$C$2:$G$444,5,FALSE)</f>
        <v>국내주식/지수</v>
      </c>
    </row>
    <row r="1297" spans="1:8">
      <c r="A1297" s="6" t="s">
        <v>417</v>
      </c>
      <c r="B1297" s="7" t="s">
        <v>1323</v>
      </c>
      <c r="C1297" s="7" t="s">
        <v>1323</v>
      </c>
      <c r="D1297" s="7" t="s">
        <v>1324</v>
      </c>
      <c r="E1297" s="6" t="s">
        <v>498</v>
      </c>
      <c r="F1297" s="8" t="e">
        <f>VLOOKUP($D1297,설문!$C$2:$G$444,3,FALSE)</f>
        <v>#N/A</v>
      </c>
      <c r="G1297" s="8" t="e">
        <f>VLOOKUP($D1297,설문!$C$2:$G$444,4,FALSE)</f>
        <v>#N/A</v>
      </c>
      <c r="H1297" s="8" t="e">
        <f>VLOOKUP($D1297,설문!$C$2:$G$444,5,FALSE)</f>
        <v>#N/A</v>
      </c>
    </row>
    <row r="1298" spans="1:8">
      <c r="A1298" s="6" t="s">
        <v>417</v>
      </c>
      <c r="B1298" s="7" t="s">
        <v>1504</v>
      </c>
      <c r="C1298" s="7" t="s">
        <v>1504</v>
      </c>
      <c r="D1298" s="7" t="s">
        <v>1505</v>
      </c>
      <c r="E1298" s="6" t="s">
        <v>1506</v>
      </c>
      <c r="F1298" s="8" t="e">
        <f>VLOOKUP($D1298,설문!$C$2:$G$444,3,FALSE)</f>
        <v>#N/A</v>
      </c>
      <c r="G1298" s="8" t="e">
        <f>VLOOKUP($D1298,설문!$C$2:$G$444,4,FALSE)</f>
        <v>#N/A</v>
      </c>
      <c r="H1298" s="8" t="e">
        <f>VLOOKUP($D1298,설문!$C$2:$G$444,5,FALSE)</f>
        <v>#N/A</v>
      </c>
    </row>
    <row r="1299" spans="1:8">
      <c r="A1299" s="6" t="s">
        <v>417</v>
      </c>
      <c r="B1299" s="7" t="s">
        <v>116</v>
      </c>
      <c r="C1299" s="7" t="s">
        <v>1767</v>
      </c>
      <c r="D1299" s="7" t="s">
        <v>1768</v>
      </c>
      <c r="E1299" s="6" t="s">
        <v>1769</v>
      </c>
      <c r="F1299" s="8" t="e">
        <f>VLOOKUP($D1299,설문!$C$2:$G$444,3,FALSE)</f>
        <v>#N/A</v>
      </c>
      <c r="G1299" s="8" t="e">
        <f>VLOOKUP($D1299,설문!$C$2:$G$444,4,FALSE)</f>
        <v>#N/A</v>
      </c>
      <c r="H1299" s="8" t="e">
        <f>VLOOKUP($D1299,설문!$C$2:$G$444,5,FALSE)</f>
        <v>#N/A</v>
      </c>
    </row>
    <row r="1300" spans="1:8">
      <c r="A1300" s="6" t="s">
        <v>417</v>
      </c>
      <c r="B1300" s="7" t="s">
        <v>792</v>
      </c>
      <c r="C1300" s="7" t="s">
        <v>792</v>
      </c>
      <c r="D1300" s="7" t="s">
        <v>1816</v>
      </c>
      <c r="E1300" s="6" t="s">
        <v>1817</v>
      </c>
      <c r="F1300" s="8" t="e">
        <f>VLOOKUP($D1300,설문!$C$2:$G$444,3,FALSE)</f>
        <v>#N/A</v>
      </c>
      <c r="G1300" s="8" t="e">
        <f>VLOOKUP($D1300,설문!$C$2:$G$444,4,FALSE)</f>
        <v>#N/A</v>
      </c>
      <c r="H1300" s="8" t="e">
        <f>VLOOKUP($D1300,설문!$C$2:$G$444,5,FALSE)</f>
        <v>#N/A</v>
      </c>
    </row>
    <row r="1301" spans="1:8">
      <c r="A1301" s="6" t="s">
        <v>417</v>
      </c>
      <c r="B1301" s="7" t="s">
        <v>792</v>
      </c>
      <c r="C1301" s="7" t="s">
        <v>792</v>
      </c>
      <c r="D1301" s="7" t="s">
        <v>1818</v>
      </c>
      <c r="E1301" s="6" t="s">
        <v>1819</v>
      </c>
      <c r="F1301" s="8" t="e">
        <f>VLOOKUP($D1301,설문!$C$2:$G$444,3,FALSE)</f>
        <v>#N/A</v>
      </c>
      <c r="G1301" s="8" t="e">
        <f>VLOOKUP($D1301,설문!$C$2:$G$444,4,FALSE)</f>
        <v>#N/A</v>
      </c>
      <c r="H1301" s="8" t="e">
        <f>VLOOKUP($D1301,설문!$C$2:$G$444,5,FALSE)</f>
        <v>#N/A</v>
      </c>
    </row>
    <row r="1302" spans="1:8">
      <c r="A1302" s="6" t="s">
        <v>417</v>
      </c>
      <c r="B1302" s="7" t="s">
        <v>1839</v>
      </c>
      <c r="C1302" s="7" t="s">
        <v>1431</v>
      </c>
      <c r="D1302" s="7" t="s">
        <v>1840</v>
      </c>
      <c r="E1302" s="6" t="s">
        <v>1841</v>
      </c>
      <c r="F1302" s="8" t="e">
        <f>VLOOKUP($D1302,설문!$C$2:$G$444,3,FALSE)</f>
        <v>#N/A</v>
      </c>
      <c r="G1302" s="8" t="e">
        <f>VLOOKUP($D1302,설문!$C$2:$G$444,4,FALSE)</f>
        <v>#N/A</v>
      </c>
      <c r="H1302" s="8" t="e">
        <f>VLOOKUP($D1302,설문!$C$2:$G$444,5,FALSE)</f>
        <v>#N/A</v>
      </c>
    </row>
    <row r="1303" spans="1:8">
      <c r="A1303" s="6" t="s">
        <v>417</v>
      </c>
      <c r="B1303" s="7" t="s">
        <v>48</v>
      </c>
      <c r="C1303" s="7" t="s">
        <v>48</v>
      </c>
      <c r="D1303" s="7" t="s">
        <v>1927</v>
      </c>
      <c r="E1303" s="6" t="s">
        <v>1928</v>
      </c>
      <c r="F1303" s="8" t="str">
        <f>VLOOKUP($D1303,설문!$C$2:$G$444,3,FALSE)</f>
        <v>펀드매니저</v>
      </c>
      <c r="G1303" s="8" t="str">
        <f>VLOOKUP($D1303,설문!$C$2:$G$444,4,FALSE)</f>
        <v>금융회사,금융 유관기관</v>
      </c>
      <c r="H1303" s="8" t="str">
        <f>VLOOKUP($D1303,설문!$C$2:$G$444,5,FALSE)</f>
        <v>국내주식/지수,RP,ETF/ETN</v>
      </c>
    </row>
    <row r="1304" spans="1:8">
      <c r="A1304" s="6" t="s">
        <v>417</v>
      </c>
      <c r="B1304" s="7" t="s">
        <v>1948</v>
      </c>
      <c r="C1304" s="7" t="s">
        <v>1949</v>
      </c>
      <c r="D1304" s="7" t="s">
        <v>1950</v>
      </c>
      <c r="E1304" s="6" t="s">
        <v>1951</v>
      </c>
      <c r="F1304" s="8" t="e">
        <f>VLOOKUP($D1304,설문!$C$2:$G$444,3,FALSE)</f>
        <v>#N/A</v>
      </c>
      <c r="G1304" s="8" t="e">
        <f>VLOOKUP($D1304,설문!$C$2:$G$444,4,FALSE)</f>
        <v>#N/A</v>
      </c>
      <c r="H1304" s="8" t="e">
        <f>VLOOKUP($D1304,설문!$C$2:$G$444,5,FALSE)</f>
        <v>#N/A</v>
      </c>
    </row>
    <row r="1305" spans="1:8">
      <c r="A1305" s="6" t="s">
        <v>417</v>
      </c>
      <c r="B1305" s="7" t="s">
        <v>3540</v>
      </c>
      <c r="C1305" s="7" t="s">
        <v>3540</v>
      </c>
      <c r="D1305" s="7" t="s">
        <v>3541</v>
      </c>
      <c r="E1305" s="6" t="s">
        <v>3542</v>
      </c>
      <c r="F1305" s="8" t="e">
        <f>VLOOKUP($D1305,설문!$C$2:$G$444,3,FALSE)</f>
        <v>#N/A</v>
      </c>
      <c r="G1305" s="8" t="e">
        <f>VLOOKUP($D1305,설문!$C$2:$G$444,4,FALSE)</f>
        <v>#N/A</v>
      </c>
      <c r="H1305" s="8" t="e">
        <f>VLOOKUP($D1305,설문!$C$2:$G$444,5,FALSE)</f>
        <v>#N/A</v>
      </c>
    </row>
    <row r="1306" spans="1:8">
      <c r="A1306" s="6" t="s">
        <v>417</v>
      </c>
      <c r="B1306" s="7" t="s">
        <v>3540</v>
      </c>
      <c r="C1306" s="7" t="s">
        <v>3540</v>
      </c>
      <c r="D1306" s="7" t="s">
        <v>3543</v>
      </c>
      <c r="E1306" s="6" t="s">
        <v>3544</v>
      </c>
      <c r="F1306" s="8" t="e">
        <f>VLOOKUP($D1306,설문!$C$2:$G$444,3,FALSE)</f>
        <v>#N/A</v>
      </c>
      <c r="G1306" s="8" t="e">
        <f>VLOOKUP($D1306,설문!$C$2:$G$444,4,FALSE)</f>
        <v>#N/A</v>
      </c>
      <c r="H1306" s="8" t="e">
        <f>VLOOKUP($D1306,설문!$C$2:$G$444,5,FALSE)</f>
        <v>#N/A</v>
      </c>
    </row>
    <row r="1307" spans="1:8">
      <c r="A1307" s="6" t="s">
        <v>417</v>
      </c>
      <c r="B1307" s="7" t="s">
        <v>3540</v>
      </c>
      <c r="C1307" s="7" t="s">
        <v>3540</v>
      </c>
      <c r="D1307" s="7" t="s">
        <v>3545</v>
      </c>
      <c r="E1307" s="6" t="s">
        <v>3546</v>
      </c>
      <c r="F1307" s="8" t="e">
        <f>VLOOKUP($D1307,설문!$C$2:$G$444,3,FALSE)</f>
        <v>#N/A</v>
      </c>
      <c r="G1307" s="8" t="e">
        <f>VLOOKUP($D1307,설문!$C$2:$G$444,4,FALSE)</f>
        <v>#N/A</v>
      </c>
      <c r="H1307" s="8" t="e">
        <f>VLOOKUP($D1307,설문!$C$2:$G$444,5,FALSE)</f>
        <v>#N/A</v>
      </c>
    </row>
    <row r="1308" spans="1:8">
      <c r="A1308" s="6" t="s">
        <v>417</v>
      </c>
      <c r="B1308" s="7" t="s">
        <v>3540</v>
      </c>
      <c r="C1308" s="7" t="s">
        <v>3540</v>
      </c>
      <c r="D1308" s="7" t="s">
        <v>3547</v>
      </c>
      <c r="E1308" s="6" t="s">
        <v>3548</v>
      </c>
      <c r="F1308" s="8" t="e">
        <f>VLOOKUP($D1308,설문!$C$2:$G$444,3,FALSE)</f>
        <v>#N/A</v>
      </c>
      <c r="G1308" s="8" t="e">
        <f>VLOOKUP($D1308,설문!$C$2:$G$444,4,FALSE)</f>
        <v>#N/A</v>
      </c>
      <c r="H1308" s="8" t="e">
        <f>VLOOKUP($D1308,설문!$C$2:$G$444,5,FALSE)</f>
        <v>#N/A</v>
      </c>
    </row>
    <row r="1309" spans="1:8">
      <c r="A1309" s="6" t="s">
        <v>417</v>
      </c>
      <c r="B1309" s="7" t="s">
        <v>1323</v>
      </c>
      <c r="C1309" s="7" t="s">
        <v>1323</v>
      </c>
      <c r="D1309" s="7" t="s">
        <v>3549</v>
      </c>
      <c r="E1309" s="6" t="s">
        <v>3550</v>
      </c>
      <c r="F1309" s="8" t="e">
        <f>VLOOKUP($D1309,설문!$C$2:$G$444,3,FALSE)</f>
        <v>#N/A</v>
      </c>
      <c r="G1309" s="8" t="e">
        <f>VLOOKUP($D1309,설문!$C$2:$G$444,4,FALSE)</f>
        <v>#N/A</v>
      </c>
      <c r="H1309" s="8" t="e">
        <f>VLOOKUP($D1309,설문!$C$2:$G$444,5,FALSE)</f>
        <v>#N/A</v>
      </c>
    </row>
    <row r="1310" spans="1:8">
      <c r="A1310" s="6" t="s">
        <v>417</v>
      </c>
      <c r="B1310" s="7" t="s">
        <v>1323</v>
      </c>
      <c r="C1310" s="7" t="s">
        <v>1323</v>
      </c>
      <c r="D1310" s="7" t="s">
        <v>3551</v>
      </c>
      <c r="E1310" s="6" t="s">
        <v>3552</v>
      </c>
      <c r="F1310" s="8" t="e">
        <f>VLOOKUP($D1310,설문!$C$2:$G$444,3,FALSE)</f>
        <v>#N/A</v>
      </c>
      <c r="G1310" s="8" t="e">
        <f>VLOOKUP($D1310,설문!$C$2:$G$444,4,FALSE)</f>
        <v>#N/A</v>
      </c>
      <c r="H1310" s="8" t="e">
        <f>VLOOKUP($D1310,설문!$C$2:$G$444,5,FALSE)</f>
        <v>#N/A</v>
      </c>
    </row>
    <row r="1311" spans="1:8">
      <c r="A1311" s="6" t="s">
        <v>417</v>
      </c>
      <c r="B1311" s="7" t="s">
        <v>1323</v>
      </c>
      <c r="C1311" s="7" t="s">
        <v>1323</v>
      </c>
      <c r="D1311" s="7" t="s">
        <v>3553</v>
      </c>
      <c r="E1311" s="6" t="s">
        <v>3554</v>
      </c>
      <c r="F1311" s="8" t="e">
        <f>VLOOKUP($D1311,설문!$C$2:$G$444,3,FALSE)</f>
        <v>#N/A</v>
      </c>
      <c r="G1311" s="8" t="e">
        <f>VLOOKUP($D1311,설문!$C$2:$G$444,4,FALSE)</f>
        <v>#N/A</v>
      </c>
      <c r="H1311" s="8" t="e">
        <f>VLOOKUP($D1311,설문!$C$2:$G$444,5,FALSE)</f>
        <v>#N/A</v>
      </c>
    </row>
    <row r="1312" spans="1:8">
      <c r="A1312" s="6" t="s">
        <v>417</v>
      </c>
      <c r="B1312" s="7" t="s">
        <v>3555</v>
      </c>
      <c r="C1312" s="7" t="s">
        <v>3555</v>
      </c>
      <c r="D1312" s="7" t="s">
        <v>3556</v>
      </c>
      <c r="E1312" s="6" t="s">
        <v>3557</v>
      </c>
      <c r="F1312" s="8" t="e">
        <f>VLOOKUP($D1312,설문!$C$2:$G$444,3,FALSE)</f>
        <v>#N/A</v>
      </c>
      <c r="G1312" s="8" t="e">
        <f>VLOOKUP($D1312,설문!$C$2:$G$444,4,FALSE)</f>
        <v>#N/A</v>
      </c>
      <c r="H1312" s="8" t="e">
        <f>VLOOKUP($D1312,설문!$C$2:$G$444,5,FALSE)</f>
        <v>#N/A</v>
      </c>
    </row>
    <row r="1313" spans="1:8">
      <c r="A1313" s="6" t="s">
        <v>417</v>
      </c>
      <c r="B1313" s="7" t="s">
        <v>3563</v>
      </c>
      <c r="C1313" s="7" t="s">
        <v>3564</v>
      </c>
      <c r="D1313" s="7" t="s">
        <v>3565</v>
      </c>
      <c r="E1313" s="6" t="s">
        <v>3566</v>
      </c>
      <c r="F1313" s="8" t="e">
        <f>VLOOKUP($D1313,설문!$C$2:$G$444,3,FALSE)</f>
        <v>#N/A</v>
      </c>
      <c r="G1313" s="8" t="e">
        <f>VLOOKUP($D1313,설문!$C$2:$G$444,4,FALSE)</f>
        <v>#N/A</v>
      </c>
      <c r="H1313" s="8" t="e">
        <f>VLOOKUP($D1313,설문!$C$2:$G$444,5,FALSE)</f>
        <v>#N/A</v>
      </c>
    </row>
    <row r="1314" spans="1:8">
      <c r="A1314" s="6" t="s">
        <v>417</v>
      </c>
      <c r="B1314" s="7" t="s">
        <v>3567</v>
      </c>
      <c r="C1314" s="7" t="s">
        <v>3567</v>
      </c>
      <c r="D1314" s="7" t="s">
        <v>3568</v>
      </c>
      <c r="E1314" s="6" t="s">
        <v>3569</v>
      </c>
      <c r="F1314" s="8" t="e">
        <f>VLOOKUP($D1314,설문!$C$2:$G$444,3,FALSE)</f>
        <v>#N/A</v>
      </c>
      <c r="G1314" s="8" t="e">
        <f>VLOOKUP($D1314,설문!$C$2:$G$444,4,FALSE)</f>
        <v>#N/A</v>
      </c>
      <c r="H1314" s="8" t="e">
        <f>VLOOKUP($D1314,설문!$C$2:$G$444,5,FALSE)</f>
        <v>#N/A</v>
      </c>
    </row>
    <row r="1315" spans="1:8">
      <c r="A1315" s="6" t="s">
        <v>417</v>
      </c>
      <c r="B1315" s="7" t="s">
        <v>3570</v>
      </c>
      <c r="C1315" s="7" t="s">
        <v>3570</v>
      </c>
      <c r="D1315" s="7" t="s">
        <v>3571</v>
      </c>
      <c r="E1315" s="6" t="s">
        <v>3572</v>
      </c>
      <c r="F1315" s="8" t="e">
        <f>VLOOKUP($D1315,설문!$C$2:$G$444,3,FALSE)</f>
        <v>#N/A</v>
      </c>
      <c r="G1315" s="8" t="e">
        <f>VLOOKUP($D1315,설문!$C$2:$G$444,4,FALSE)</f>
        <v>#N/A</v>
      </c>
      <c r="H1315" s="8" t="e">
        <f>VLOOKUP($D1315,설문!$C$2:$G$444,5,FALSE)</f>
        <v>#N/A</v>
      </c>
    </row>
    <row r="1316" spans="1:8">
      <c r="A1316" s="6" t="s">
        <v>417</v>
      </c>
      <c r="B1316" s="7" t="s">
        <v>792</v>
      </c>
      <c r="C1316" s="7" t="s">
        <v>792</v>
      </c>
      <c r="D1316" s="7" t="s">
        <v>3573</v>
      </c>
      <c r="E1316" s="6" t="s">
        <v>1588</v>
      </c>
      <c r="F1316" s="8" t="e">
        <f>VLOOKUP($D1316,설문!$C$2:$G$444,3,FALSE)</f>
        <v>#N/A</v>
      </c>
      <c r="G1316" s="8" t="e">
        <f>VLOOKUP($D1316,설문!$C$2:$G$444,4,FALSE)</f>
        <v>#N/A</v>
      </c>
      <c r="H1316" s="8" t="e">
        <f>VLOOKUP($D1316,설문!$C$2:$G$444,5,FALSE)</f>
        <v>#N/A</v>
      </c>
    </row>
    <row r="1317" spans="1:8">
      <c r="A1317" s="6" t="s">
        <v>417</v>
      </c>
      <c r="B1317" s="7" t="s">
        <v>1839</v>
      </c>
      <c r="C1317" s="7" t="s">
        <v>1431</v>
      </c>
      <c r="D1317" s="7" t="s">
        <v>3581</v>
      </c>
      <c r="E1317" s="6" t="s">
        <v>1176</v>
      </c>
      <c r="F1317" s="8" t="str">
        <f>VLOOKUP($D1317,설문!$C$2:$G$444,3,FALSE)</f>
        <v>트레이더</v>
      </c>
      <c r="G1317" s="8" t="str">
        <f>VLOOKUP($D1317,설문!$C$2:$G$444,4,FALSE)</f>
        <v>기타</v>
      </c>
      <c r="H1317" s="8" t="str">
        <f>VLOOKUP($D1317,설문!$C$2:$G$444,5,FALSE)</f>
        <v>국고채/통안채,회사채,원화 구조화채권</v>
      </c>
    </row>
    <row r="1318" spans="1:8">
      <c r="A1318" s="6" t="s">
        <v>417</v>
      </c>
      <c r="B1318" s="7" t="s">
        <v>1839</v>
      </c>
      <c r="C1318" s="7" t="s">
        <v>1431</v>
      </c>
      <c r="D1318" s="7" t="s">
        <v>3582</v>
      </c>
      <c r="E1318" s="6" t="s">
        <v>2875</v>
      </c>
      <c r="F1318" s="8" t="e">
        <f>VLOOKUP($D1318,설문!$C$2:$G$444,3,FALSE)</f>
        <v>#N/A</v>
      </c>
      <c r="G1318" s="8" t="e">
        <f>VLOOKUP($D1318,설문!$C$2:$G$444,4,FALSE)</f>
        <v>#N/A</v>
      </c>
      <c r="H1318" s="8" t="e">
        <f>VLOOKUP($D1318,설문!$C$2:$G$444,5,FALSE)</f>
        <v>#N/A</v>
      </c>
    </row>
    <row r="1319" spans="1:8">
      <c r="A1319" s="6" t="s">
        <v>417</v>
      </c>
      <c r="B1319" s="7" t="s">
        <v>3583</v>
      </c>
      <c r="C1319" s="7" t="s">
        <v>3583</v>
      </c>
      <c r="D1319" s="7" t="s">
        <v>3584</v>
      </c>
      <c r="E1319" s="6" t="s">
        <v>2331</v>
      </c>
      <c r="F1319" s="8" t="e">
        <f>VLOOKUP($D1319,설문!$C$2:$G$444,3,FALSE)</f>
        <v>#N/A</v>
      </c>
      <c r="G1319" s="8" t="e">
        <f>VLOOKUP($D1319,설문!$C$2:$G$444,4,FALSE)</f>
        <v>#N/A</v>
      </c>
      <c r="H1319" s="8" t="e">
        <f>VLOOKUP($D1319,설문!$C$2:$G$444,5,FALSE)</f>
        <v>#N/A</v>
      </c>
    </row>
    <row r="1320" spans="1:8">
      <c r="A1320" s="6" t="s">
        <v>417</v>
      </c>
      <c r="B1320" s="7" t="s">
        <v>3585</v>
      </c>
      <c r="C1320" s="7" t="s">
        <v>3586</v>
      </c>
      <c r="D1320" s="7" t="s">
        <v>3587</v>
      </c>
      <c r="E1320" s="6" t="s">
        <v>3588</v>
      </c>
      <c r="F1320" s="8" t="e">
        <f>VLOOKUP($D1320,설문!$C$2:$G$444,3,FALSE)</f>
        <v>#N/A</v>
      </c>
      <c r="G1320" s="8" t="e">
        <f>VLOOKUP($D1320,설문!$C$2:$G$444,4,FALSE)</f>
        <v>#N/A</v>
      </c>
      <c r="H1320" s="8" t="e">
        <f>VLOOKUP($D1320,설문!$C$2:$G$444,5,FALSE)</f>
        <v>#N/A</v>
      </c>
    </row>
    <row r="1321" spans="1:8">
      <c r="A1321" s="6" t="s">
        <v>417</v>
      </c>
      <c r="B1321" s="7" t="s">
        <v>418</v>
      </c>
      <c r="C1321" s="7" t="s">
        <v>418</v>
      </c>
      <c r="D1321" s="7" t="s">
        <v>3595</v>
      </c>
      <c r="E1321" s="6" t="s">
        <v>3596</v>
      </c>
      <c r="F1321" s="8" t="str">
        <f>VLOOKUP($D1321,설문!$C$2:$G$444,3,FALSE)</f>
        <v>펀드매니저</v>
      </c>
      <c r="G1321" s="8" t="str">
        <f>VLOOKUP($D1321,설문!$C$2:$G$444,4,FALSE)</f>
        <v>금융회사</v>
      </c>
      <c r="H1321" s="8" t="str">
        <f>VLOOKUP($D1321,설문!$C$2:$G$444,5,FALSE)</f>
        <v>국고채/통안채,회사채,국채선물,Korean Paper,원화 구조화채권,FX Spot &amp; FX Swap,ELS/DLS</v>
      </c>
    </row>
    <row r="1322" spans="1:8">
      <c r="A1322" s="6" t="s">
        <v>417</v>
      </c>
      <c r="B1322" s="7" t="s">
        <v>134</v>
      </c>
      <c r="C1322" s="7" t="s">
        <v>134</v>
      </c>
      <c r="D1322" s="7" t="s">
        <v>3597</v>
      </c>
      <c r="E1322" s="6" t="s">
        <v>3598</v>
      </c>
      <c r="F1322" s="8" t="e">
        <f>VLOOKUP($D1322,설문!$C$2:$G$444,3,FALSE)</f>
        <v>#N/A</v>
      </c>
      <c r="G1322" s="8" t="e">
        <f>VLOOKUP($D1322,설문!$C$2:$G$444,4,FALSE)</f>
        <v>#N/A</v>
      </c>
      <c r="H1322" s="8" t="e">
        <f>VLOOKUP($D1322,설문!$C$2:$G$444,5,FALSE)</f>
        <v>#N/A</v>
      </c>
    </row>
    <row r="1323" spans="1:8">
      <c r="A1323" s="6" t="s">
        <v>417</v>
      </c>
      <c r="B1323" s="7" t="s">
        <v>3599</v>
      </c>
      <c r="C1323" s="7" t="s">
        <v>3599</v>
      </c>
      <c r="D1323" s="7" t="s">
        <v>3600</v>
      </c>
      <c r="E1323" s="6" t="s">
        <v>3601</v>
      </c>
      <c r="F1323" s="8" t="e">
        <f>VLOOKUP($D1323,설문!$C$2:$G$444,3,FALSE)</f>
        <v>#N/A</v>
      </c>
      <c r="G1323" s="8" t="e">
        <f>VLOOKUP($D1323,설문!$C$2:$G$444,4,FALSE)</f>
        <v>#N/A</v>
      </c>
      <c r="H1323" s="8" t="e">
        <f>VLOOKUP($D1323,설문!$C$2:$G$444,5,FALSE)</f>
        <v>#N/A</v>
      </c>
    </row>
    <row r="1324" spans="1:8">
      <c r="A1324" s="6" t="s">
        <v>417</v>
      </c>
      <c r="B1324" s="7" t="s">
        <v>792</v>
      </c>
      <c r="C1324" s="7" t="s">
        <v>792</v>
      </c>
      <c r="D1324" s="7" t="s">
        <v>3602</v>
      </c>
      <c r="E1324" s="6" t="s">
        <v>3472</v>
      </c>
      <c r="F1324" s="8" t="e">
        <f>VLOOKUP($D1324,설문!$C$2:$G$444,3,FALSE)</f>
        <v>#N/A</v>
      </c>
      <c r="G1324" s="8" t="e">
        <f>VLOOKUP($D1324,설문!$C$2:$G$444,4,FALSE)</f>
        <v>#N/A</v>
      </c>
      <c r="H1324" s="8" t="e">
        <f>VLOOKUP($D1324,설문!$C$2:$G$444,5,FALSE)</f>
        <v>#N/A</v>
      </c>
    </row>
    <row r="1325" spans="1:8">
      <c r="A1325" s="6" t="s">
        <v>417</v>
      </c>
      <c r="B1325" s="7" t="s">
        <v>48</v>
      </c>
      <c r="C1325" s="7" t="s">
        <v>48</v>
      </c>
      <c r="D1325" s="7" t="s">
        <v>3603</v>
      </c>
      <c r="E1325" s="6" t="s">
        <v>3604</v>
      </c>
      <c r="F1325" s="8" t="e">
        <f>VLOOKUP($D1325,설문!$C$2:$G$444,3,FALSE)</f>
        <v>#N/A</v>
      </c>
      <c r="G1325" s="8" t="e">
        <f>VLOOKUP($D1325,설문!$C$2:$G$444,4,FALSE)</f>
        <v>#N/A</v>
      </c>
      <c r="H1325" s="8" t="e">
        <f>VLOOKUP($D1325,설문!$C$2:$G$444,5,FALSE)</f>
        <v>#N/A</v>
      </c>
    </row>
    <row r="1326" spans="1:8">
      <c r="A1326" s="6" t="s">
        <v>160</v>
      </c>
      <c r="B1326" s="7" t="s">
        <v>161</v>
      </c>
      <c r="C1326" s="7" t="s">
        <v>162</v>
      </c>
      <c r="D1326" s="7" t="s">
        <v>163</v>
      </c>
      <c r="E1326" s="6" t="s">
        <v>164</v>
      </c>
      <c r="F1326" s="8" t="e">
        <f>VLOOKUP($D1326,설문!$C$2:$G$444,3,FALSE)</f>
        <v>#N/A</v>
      </c>
      <c r="G1326" s="8" t="e">
        <f>VLOOKUP($D1326,설문!$C$2:$G$444,4,FALSE)</f>
        <v>#N/A</v>
      </c>
      <c r="H1326" s="8" t="e">
        <f>VLOOKUP($D1326,설문!$C$2:$G$444,5,FALSE)</f>
        <v>#N/A</v>
      </c>
    </row>
    <row r="1327" spans="1:8">
      <c r="A1327" s="6" t="s">
        <v>160</v>
      </c>
      <c r="B1327" s="7" t="s">
        <v>149</v>
      </c>
      <c r="C1327" s="7" t="s">
        <v>149</v>
      </c>
      <c r="D1327" s="7" t="s">
        <v>172</v>
      </c>
      <c r="E1327" s="6" t="s">
        <v>173</v>
      </c>
      <c r="F1327" s="8" t="e">
        <f>VLOOKUP($D1327,설문!$C$2:$G$444,3,FALSE)</f>
        <v>#N/A</v>
      </c>
      <c r="G1327" s="8" t="e">
        <f>VLOOKUP($D1327,설문!$C$2:$G$444,4,FALSE)</f>
        <v>#N/A</v>
      </c>
      <c r="H1327" s="8" t="e">
        <f>VLOOKUP($D1327,설문!$C$2:$G$444,5,FALSE)</f>
        <v>#N/A</v>
      </c>
    </row>
    <row r="1328" spans="1:8">
      <c r="A1328" s="6" t="s">
        <v>160</v>
      </c>
      <c r="B1328" s="7" t="s">
        <v>149</v>
      </c>
      <c r="C1328" s="7" t="s">
        <v>9</v>
      </c>
      <c r="D1328" s="7" t="s">
        <v>296</v>
      </c>
      <c r="E1328" s="6" t="s">
        <v>297</v>
      </c>
      <c r="F1328" s="8" t="e">
        <f>VLOOKUP($D1328,설문!$C$2:$G$444,3,FALSE)</f>
        <v>#N/A</v>
      </c>
      <c r="G1328" s="8" t="e">
        <f>VLOOKUP($D1328,설문!$C$2:$G$444,4,FALSE)</f>
        <v>#N/A</v>
      </c>
      <c r="H1328" s="8" t="e">
        <f>VLOOKUP($D1328,설문!$C$2:$G$444,5,FALSE)</f>
        <v>#N/A</v>
      </c>
    </row>
    <row r="1329" spans="1:8">
      <c r="A1329" s="6" t="s">
        <v>160</v>
      </c>
      <c r="B1329" s="7" t="s">
        <v>628</v>
      </c>
      <c r="C1329" s="7" t="s">
        <v>9</v>
      </c>
      <c r="D1329" s="7" t="s">
        <v>629</v>
      </c>
      <c r="E1329" s="6" t="s">
        <v>630</v>
      </c>
      <c r="F1329" s="8" t="e">
        <f>VLOOKUP($D1329,설문!$C$2:$G$444,3,FALSE)</f>
        <v>#N/A</v>
      </c>
      <c r="G1329" s="8" t="e">
        <f>VLOOKUP($D1329,설문!$C$2:$G$444,4,FALSE)</f>
        <v>#N/A</v>
      </c>
      <c r="H1329" s="8" t="e">
        <f>VLOOKUP($D1329,설문!$C$2:$G$444,5,FALSE)</f>
        <v>#N/A</v>
      </c>
    </row>
    <row r="1330" spans="1:8">
      <c r="A1330" s="6" t="s">
        <v>160</v>
      </c>
      <c r="B1330" s="7" t="s">
        <v>542</v>
      </c>
      <c r="C1330" s="7" t="s">
        <v>975</v>
      </c>
      <c r="D1330" s="7" t="s">
        <v>976</v>
      </c>
      <c r="E1330" s="6" t="s">
        <v>977</v>
      </c>
      <c r="F1330" s="8" t="e">
        <f>VLOOKUP($D1330,설문!$C$2:$G$444,3,FALSE)</f>
        <v>#N/A</v>
      </c>
      <c r="G1330" s="8" t="e">
        <f>VLOOKUP($D1330,설문!$C$2:$G$444,4,FALSE)</f>
        <v>#N/A</v>
      </c>
      <c r="H1330" s="8" t="e">
        <f>VLOOKUP($D1330,설문!$C$2:$G$444,5,FALSE)</f>
        <v>#N/A</v>
      </c>
    </row>
    <row r="1331" spans="1:8">
      <c r="A1331" s="6" t="s">
        <v>160</v>
      </c>
      <c r="B1331" s="7" t="s">
        <v>1118</v>
      </c>
      <c r="C1331" s="7" t="s">
        <v>1119</v>
      </c>
      <c r="D1331" s="7" t="s">
        <v>1120</v>
      </c>
      <c r="E1331" s="6" t="s">
        <v>1121</v>
      </c>
      <c r="F1331" s="8" t="e">
        <f>VLOOKUP($D1331,설문!$C$2:$G$444,3,FALSE)</f>
        <v>#N/A</v>
      </c>
      <c r="G1331" s="8" t="e">
        <f>VLOOKUP($D1331,설문!$C$2:$G$444,4,FALSE)</f>
        <v>#N/A</v>
      </c>
      <c r="H1331" s="8" t="e">
        <f>VLOOKUP($D1331,설문!$C$2:$G$444,5,FALSE)</f>
        <v>#N/A</v>
      </c>
    </row>
    <row r="1332" spans="1:8">
      <c r="A1332" s="6" t="s">
        <v>160</v>
      </c>
      <c r="B1332" s="7" t="s">
        <v>542</v>
      </c>
      <c r="C1332" s="7" t="s">
        <v>1140</v>
      </c>
      <c r="D1332" s="7" t="s">
        <v>1141</v>
      </c>
      <c r="E1332" s="6" t="s">
        <v>1142</v>
      </c>
      <c r="F1332" s="8" t="e">
        <f>VLOOKUP($D1332,설문!$C$2:$G$444,3,FALSE)</f>
        <v>#N/A</v>
      </c>
      <c r="G1332" s="8" t="e">
        <f>VLOOKUP($D1332,설문!$C$2:$G$444,4,FALSE)</f>
        <v>#N/A</v>
      </c>
      <c r="H1332" s="8" t="e">
        <f>VLOOKUP($D1332,설문!$C$2:$G$444,5,FALSE)</f>
        <v>#N/A</v>
      </c>
    </row>
    <row r="1333" spans="1:8">
      <c r="A1333" s="6" t="s">
        <v>160</v>
      </c>
      <c r="B1333" s="7" t="s">
        <v>1661</v>
      </c>
      <c r="C1333" s="7" t="s">
        <v>1661</v>
      </c>
      <c r="D1333" s="7" t="s">
        <v>1662</v>
      </c>
      <c r="E1333" s="6" t="s">
        <v>1663</v>
      </c>
      <c r="F1333" s="8" t="e">
        <f>VLOOKUP($D1333,설문!$C$2:$G$444,3,FALSE)</f>
        <v>#N/A</v>
      </c>
      <c r="G1333" s="8" t="e">
        <f>VLOOKUP($D1333,설문!$C$2:$G$444,4,FALSE)</f>
        <v>#N/A</v>
      </c>
      <c r="H1333" s="8" t="e">
        <f>VLOOKUP($D1333,설문!$C$2:$G$444,5,FALSE)</f>
        <v>#N/A</v>
      </c>
    </row>
    <row r="1334" spans="1:8">
      <c r="A1334" s="6" t="s">
        <v>160</v>
      </c>
      <c r="B1334" s="7" t="s">
        <v>697</v>
      </c>
      <c r="C1334" s="7" t="s">
        <v>1889</v>
      </c>
      <c r="D1334" s="7" t="s">
        <v>1890</v>
      </c>
      <c r="E1334" s="6" t="s">
        <v>1891</v>
      </c>
      <c r="F1334" s="8" t="e">
        <f>VLOOKUP($D1334,설문!$C$2:$G$444,3,FALSE)</f>
        <v>#N/A</v>
      </c>
      <c r="G1334" s="8" t="e">
        <f>VLOOKUP($D1334,설문!$C$2:$G$444,4,FALSE)</f>
        <v>#N/A</v>
      </c>
      <c r="H1334" s="8" t="e">
        <f>VLOOKUP($D1334,설문!$C$2:$G$444,5,FALSE)</f>
        <v>#N/A</v>
      </c>
    </row>
    <row r="1335" spans="1:8">
      <c r="A1335" s="6" t="s">
        <v>160</v>
      </c>
      <c r="B1335" s="7" t="s">
        <v>5694</v>
      </c>
      <c r="C1335" s="7" t="s">
        <v>5695</v>
      </c>
      <c r="D1335" s="7" t="s">
        <v>5696</v>
      </c>
      <c r="E1335" s="6" t="s">
        <v>5697</v>
      </c>
      <c r="F1335" s="8" t="e">
        <f>VLOOKUP($D1335,설문!$C$2:$G$444,3,FALSE)</f>
        <v>#N/A</v>
      </c>
      <c r="G1335" s="8" t="e">
        <f>VLOOKUP($D1335,설문!$C$2:$G$444,4,FALSE)</f>
        <v>#N/A</v>
      </c>
      <c r="H1335" s="8" t="e">
        <f>VLOOKUP($D1335,설문!$C$2:$G$444,5,FALSE)</f>
        <v>#N/A</v>
      </c>
    </row>
    <row r="1336" spans="1:8">
      <c r="A1336" s="6" t="s">
        <v>160</v>
      </c>
      <c r="B1336" s="7" t="s">
        <v>1119</v>
      </c>
      <c r="C1336" s="7" t="s">
        <v>1119</v>
      </c>
      <c r="D1336" s="7" t="s">
        <v>5698</v>
      </c>
      <c r="E1336" s="6" t="s">
        <v>5699</v>
      </c>
      <c r="F1336" s="8" t="e">
        <f>VLOOKUP($D1336,설문!$C$2:$G$444,3,FALSE)</f>
        <v>#N/A</v>
      </c>
      <c r="G1336" s="8" t="e">
        <f>VLOOKUP($D1336,설문!$C$2:$G$444,4,FALSE)</f>
        <v>#N/A</v>
      </c>
      <c r="H1336" s="8" t="e">
        <f>VLOOKUP($D1336,설문!$C$2:$G$444,5,FALSE)</f>
        <v>#N/A</v>
      </c>
    </row>
    <row r="1337" spans="1:8">
      <c r="A1337" s="6" t="s">
        <v>160</v>
      </c>
      <c r="B1337" s="7" t="s">
        <v>5700</v>
      </c>
      <c r="C1337" s="7" t="s">
        <v>5700</v>
      </c>
      <c r="D1337" s="7" t="s">
        <v>5701</v>
      </c>
      <c r="E1337" s="6" t="s">
        <v>5702</v>
      </c>
      <c r="F1337" s="8" t="e">
        <f>VLOOKUP($D1337,설문!$C$2:$G$444,3,FALSE)</f>
        <v>#N/A</v>
      </c>
      <c r="G1337" s="8" t="e">
        <f>VLOOKUP($D1337,설문!$C$2:$G$444,4,FALSE)</f>
        <v>#N/A</v>
      </c>
      <c r="H1337" s="8" t="e">
        <f>VLOOKUP($D1337,설문!$C$2:$G$444,5,FALSE)</f>
        <v>#N/A</v>
      </c>
    </row>
    <row r="1338" spans="1:8">
      <c r="A1338" s="6" t="s">
        <v>160</v>
      </c>
      <c r="B1338" s="7" t="s">
        <v>5703</v>
      </c>
      <c r="C1338" s="7" t="s">
        <v>1889</v>
      </c>
      <c r="D1338" s="7" t="s">
        <v>5704</v>
      </c>
      <c r="E1338" s="6" t="s">
        <v>5705</v>
      </c>
      <c r="F1338" s="8" t="e">
        <f>VLOOKUP($D1338,설문!$C$2:$G$444,3,FALSE)</f>
        <v>#N/A</v>
      </c>
      <c r="G1338" s="8" t="e">
        <f>VLOOKUP($D1338,설문!$C$2:$G$444,4,FALSE)</f>
        <v>#N/A</v>
      </c>
      <c r="H1338" s="8" t="e">
        <f>VLOOKUP($D1338,설문!$C$2:$G$444,5,FALSE)</f>
        <v>#N/A</v>
      </c>
    </row>
    <row r="1339" spans="1:8">
      <c r="A1339" s="6" t="s">
        <v>160</v>
      </c>
      <c r="B1339" s="7" t="s">
        <v>5703</v>
      </c>
      <c r="C1339" s="7" t="s">
        <v>1889</v>
      </c>
      <c r="D1339" s="7" t="s">
        <v>5706</v>
      </c>
      <c r="E1339" s="6" t="s">
        <v>5707</v>
      </c>
      <c r="F1339" s="8" t="e">
        <f>VLOOKUP($D1339,설문!$C$2:$G$444,3,FALSE)</f>
        <v>#N/A</v>
      </c>
      <c r="G1339" s="8" t="e">
        <f>VLOOKUP($D1339,설문!$C$2:$G$444,4,FALSE)</f>
        <v>#N/A</v>
      </c>
      <c r="H1339" s="8" t="e">
        <f>VLOOKUP($D1339,설문!$C$2:$G$444,5,FALSE)</f>
        <v>#N/A</v>
      </c>
    </row>
    <row r="1340" spans="1:8">
      <c r="A1340" s="6" t="s">
        <v>160</v>
      </c>
      <c r="B1340" s="7" t="s">
        <v>5703</v>
      </c>
      <c r="C1340" s="7" t="s">
        <v>1889</v>
      </c>
      <c r="D1340" s="7" t="s">
        <v>5708</v>
      </c>
      <c r="E1340" s="6" t="s">
        <v>5709</v>
      </c>
      <c r="F1340" s="8" t="e">
        <f>VLOOKUP($D1340,설문!$C$2:$G$444,3,FALSE)</f>
        <v>#N/A</v>
      </c>
      <c r="G1340" s="8" t="e">
        <f>VLOOKUP($D1340,설문!$C$2:$G$444,4,FALSE)</f>
        <v>#N/A</v>
      </c>
      <c r="H1340" s="8" t="e">
        <f>VLOOKUP($D1340,설문!$C$2:$G$444,5,FALSE)</f>
        <v>#N/A</v>
      </c>
    </row>
    <row r="1341" spans="1:8">
      <c r="A1341" s="6" t="s">
        <v>160</v>
      </c>
      <c r="B1341" s="7" t="s">
        <v>5703</v>
      </c>
      <c r="C1341" s="7" t="s">
        <v>1889</v>
      </c>
      <c r="D1341" s="7" t="s">
        <v>5710</v>
      </c>
      <c r="E1341" s="6" t="s">
        <v>5711</v>
      </c>
      <c r="F1341" s="8" t="e">
        <f>VLOOKUP($D1341,설문!$C$2:$G$444,3,FALSE)</f>
        <v>#N/A</v>
      </c>
      <c r="G1341" s="8" t="e">
        <f>VLOOKUP($D1341,설문!$C$2:$G$444,4,FALSE)</f>
        <v>#N/A</v>
      </c>
      <c r="H1341" s="8" t="e">
        <f>VLOOKUP($D1341,설문!$C$2:$G$444,5,FALSE)</f>
        <v>#N/A</v>
      </c>
    </row>
    <row r="1342" spans="1:8">
      <c r="A1342" s="6" t="s">
        <v>160</v>
      </c>
      <c r="B1342" s="7" t="s">
        <v>5703</v>
      </c>
      <c r="C1342" s="7" t="s">
        <v>1889</v>
      </c>
      <c r="D1342" s="7" t="s">
        <v>5712</v>
      </c>
      <c r="E1342" s="6" t="s">
        <v>5713</v>
      </c>
      <c r="F1342" s="8" t="e">
        <f>VLOOKUP($D1342,설문!$C$2:$G$444,3,FALSE)</f>
        <v>#N/A</v>
      </c>
      <c r="G1342" s="8" t="e">
        <f>VLOOKUP($D1342,설문!$C$2:$G$444,4,FALSE)</f>
        <v>#N/A</v>
      </c>
      <c r="H1342" s="8" t="e">
        <f>VLOOKUP($D1342,설문!$C$2:$G$444,5,FALSE)</f>
        <v>#N/A</v>
      </c>
    </row>
    <row r="1343" spans="1:8">
      <c r="A1343" s="6" t="s">
        <v>160</v>
      </c>
      <c r="B1343" s="7" t="s">
        <v>5703</v>
      </c>
      <c r="C1343" s="7" t="s">
        <v>1889</v>
      </c>
      <c r="D1343" s="7" t="s">
        <v>5714</v>
      </c>
      <c r="E1343" s="6" t="s">
        <v>1337</v>
      </c>
      <c r="F1343" s="8" t="e">
        <f>VLOOKUP($D1343,설문!$C$2:$G$444,3,FALSE)</f>
        <v>#N/A</v>
      </c>
      <c r="G1343" s="8" t="e">
        <f>VLOOKUP($D1343,설문!$C$2:$G$444,4,FALSE)</f>
        <v>#N/A</v>
      </c>
      <c r="H1343" s="8" t="e">
        <f>VLOOKUP($D1343,설문!$C$2:$G$444,5,FALSE)</f>
        <v>#N/A</v>
      </c>
    </row>
    <row r="1344" spans="1:8">
      <c r="A1344" s="6" t="s">
        <v>160</v>
      </c>
      <c r="B1344" s="7" t="s">
        <v>5703</v>
      </c>
      <c r="C1344" s="7" t="s">
        <v>1889</v>
      </c>
      <c r="D1344" s="7" t="s">
        <v>5715</v>
      </c>
      <c r="E1344" s="6" t="s">
        <v>5716</v>
      </c>
      <c r="F1344" s="8" t="e">
        <f>VLOOKUP($D1344,설문!$C$2:$G$444,3,FALSE)</f>
        <v>#N/A</v>
      </c>
      <c r="G1344" s="8" t="e">
        <f>VLOOKUP($D1344,설문!$C$2:$G$444,4,FALSE)</f>
        <v>#N/A</v>
      </c>
      <c r="H1344" s="8" t="e">
        <f>VLOOKUP($D1344,설문!$C$2:$G$444,5,FALSE)</f>
        <v>#N/A</v>
      </c>
    </row>
    <row r="1345" spans="1:8">
      <c r="A1345" s="6" t="s">
        <v>160</v>
      </c>
      <c r="B1345" s="7" t="s">
        <v>5703</v>
      </c>
      <c r="C1345" s="7" t="s">
        <v>1889</v>
      </c>
      <c r="D1345" s="7" t="s">
        <v>5717</v>
      </c>
      <c r="E1345" s="6" t="s">
        <v>5718</v>
      </c>
      <c r="F1345" s="8" t="e">
        <f>VLOOKUP($D1345,설문!$C$2:$G$444,3,FALSE)</f>
        <v>#N/A</v>
      </c>
      <c r="G1345" s="8" t="e">
        <f>VLOOKUP($D1345,설문!$C$2:$G$444,4,FALSE)</f>
        <v>#N/A</v>
      </c>
      <c r="H1345" s="8" t="e">
        <f>VLOOKUP($D1345,설문!$C$2:$G$444,5,FALSE)</f>
        <v>#N/A</v>
      </c>
    </row>
    <row r="1346" spans="1:8">
      <c r="A1346" s="6" t="s">
        <v>160</v>
      </c>
      <c r="B1346" s="7" t="s">
        <v>5703</v>
      </c>
      <c r="C1346" s="7" t="s">
        <v>1889</v>
      </c>
      <c r="D1346" s="7" t="s">
        <v>5719</v>
      </c>
      <c r="E1346" s="6" t="s">
        <v>5720</v>
      </c>
      <c r="F1346" s="8" t="e">
        <f>VLOOKUP($D1346,설문!$C$2:$G$444,3,FALSE)</f>
        <v>#N/A</v>
      </c>
      <c r="G1346" s="8" t="e">
        <f>VLOOKUP($D1346,설문!$C$2:$G$444,4,FALSE)</f>
        <v>#N/A</v>
      </c>
      <c r="H1346" s="8" t="e">
        <f>VLOOKUP($D1346,설문!$C$2:$G$444,5,FALSE)</f>
        <v>#N/A</v>
      </c>
    </row>
    <row r="1347" spans="1:8">
      <c r="A1347" s="6" t="s">
        <v>160</v>
      </c>
      <c r="B1347" s="7" t="s">
        <v>5703</v>
      </c>
      <c r="C1347" s="7" t="s">
        <v>1889</v>
      </c>
      <c r="D1347" s="7" t="s">
        <v>5721</v>
      </c>
      <c r="E1347" s="6" t="s">
        <v>5722</v>
      </c>
      <c r="F1347" s="8" t="e">
        <f>VLOOKUP($D1347,설문!$C$2:$G$444,3,FALSE)</f>
        <v>#N/A</v>
      </c>
      <c r="G1347" s="8" t="e">
        <f>VLOOKUP($D1347,설문!$C$2:$G$444,4,FALSE)</f>
        <v>#N/A</v>
      </c>
      <c r="H1347" s="8" t="e">
        <f>VLOOKUP($D1347,설문!$C$2:$G$444,5,FALSE)</f>
        <v>#N/A</v>
      </c>
    </row>
    <row r="1348" spans="1:8">
      <c r="A1348" s="6" t="s">
        <v>160</v>
      </c>
      <c r="B1348" s="7" t="s">
        <v>5703</v>
      </c>
      <c r="C1348" s="7" t="s">
        <v>1889</v>
      </c>
      <c r="D1348" s="7" t="s">
        <v>5723</v>
      </c>
      <c r="E1348" s="6" t="s">
        <v>2390</v>
      </c>
      <c r="F1348" s="8" t="e">
        <f>VLOOKUP($D1348,설문!$C$2:$G$444,3,FALSE)</f>
        <v>#N/A</v>
      </c>
      <c r="G1348" s="8" t="e">
        <f>VLOOKUP($D1348,설문!$C$2:$G$444,4,FALSE)</f>
        <v>#N/A</v>
      </c>
      <c r="H1348" s="8" t="e">
        <f>VLOOKUP($D1348,설문!$C$2:$G$444,5,FALSE)</f>
        <v>#N/A</v>
      </c>
    </row>
    <row r="1349" spans="1:8">
      <c r="A1349" s="6" t="s">
        <v>160</v>
      </c>
      <c r="B1349" s="7" t="s">
        <v>149</v>
      </c>
      <c r="C1349" s="7" t="s">
        <v>149</v>
      </c>
      <c r="D1349" s="7" t="s">
        <v>5724</v>
      </c>
      <c r="E1349" s="6" t="s">
        <v>5725</v>
      </c>
      <c r="F1349" s="8" t="str">
        <f>VLOOKUP($D1349,설문!$C$2:$G$444,3,FALSE)</f>
        <v>브로커</v>
      </c>
      <c r="G1349" s="8" t="str">
        <f>VLOOKUP($D1349,설문!$C$2:$G$444,4,FALSE)</f>
        <v>금융회사</v>
      </c>
      <c r="H1349" s="8" t="str">
        <f>VLOOKUP($D1349,설문!$C$2:$G$444,5,FALSE)</f>
        <v>국고채/통안채,회사채</v>
      </c>
    </row>
    <row r="1350" spans="1:8">
      <c r="A1350" s="6" t="s">
        <v>160</v>
      </c>
      <c r="B1350" s="7" t="s">
        <v>149</v>
      </c>
      <c r="C1350" s="7" t="s">
        <v>149</v>
      </c>
      <c r="D1350" s="7" t="s">
        <v>5726</v>
      </c>
      <c r="E1350" s="6" t="s">
        <v>5727</v>
      </c>
      <c r="F1350" s="8" t="e">
        <f>VLOOKUP($D1350,설문!$C$2:$G$444,3,FALSE)</f>
        <v>#N/A</v>
      </c>
      <c r="G1350" s="8" t="e">
        <f>VLOOKUP($D1350,설문!$C$2:$G$444,4,FALSE)</f>
        <v>#N/A</v>
      </c>
      <c r="H1350" s="8" t="e">
        <f>VLOOKUP($D1350,설문!$C$2:$G$444,5,FALSE)</f>
        <v>#N/A</v>
      </c>
    </row>
    <row r="1351" spans="1:8">
      <c r="A1351" s="6" t="s">
        <v>160</v>
      </c>
      <c r="B1351" s="7" t="s">
        <v>149</v>
      </c>
      <c r="C1351" s="7" t="s">
        <v>149</v>
      </c>
      <c r="D1351" s="7" t="s">
        <v>5728</v>
      </c>
      <c r="E1351" s="6" t="s">
        <v>5729</v>
      </c>
      <c r="F1351" s="8" t="e">
        <f>VLOOKUP($D1351,설문!$C$2:$G$444,3,FALSE)</f>
        <v>#N/A</v>
      </c>
      <c r="G1351" s="8" t="e">
        <f>VLOOKUP($D1351,설문!$C$2:$G$444,4,FALSE)</f>
        <v>#N/A</v>
      </c>
      <c r="H1351" s="8" t="e">
        <f>VLOOKUP($D1351,설문!$C$2:$G$444,5,FALSE)</f>
        <v>#N/A</v>
      </c>
    </row>
    <row r="1352" spans="1:8">
      <c r="A1352" s="6" t="s">
        <v>160</v>
      </c>
      <c r="B1352" s="7" t="s">
        <v>149</v>
      </c>
      <c r="C1352" s="7" t="s">
        <v>149</v>
      </c>
      <c r="D1352" s="7" t="s">
        <v>5730</v>
      </c>
      <c r="E1352" s="6" t="s">
        <v>5731</v>
      </c>
      <c r="F1352" s="8" t="e">
        <f>VLOOKUP($D1352,설문!$C$2:$G$444,3,FALSE)</f>
        <v>#N/A</v>
      </c>
      <c r="G1352" s="8" t="e">
        <f>VLOOKUP($D1352,설문!$C$2:$G$444,4,FALSE)</f>
        <v>#N/A</v>
      </c>
      <c r="H1352" s="8" t="e">
        <f>VLOOKUP($D1352,설문!$C$2:$G$444,5,FALSE)</f>
        <v>#N/A</v>
      </c>
    </row>
    <row r="1353" spans="1:8">
      <c r="A1353" s="6" t="s">
        <v>160</v>
      </c>
      <c r="B1353" s="7" t="s">
        <v>149</v>
      </c>
      <c r="C1353" s="7" t="s">
        <v>149</v>
      </c>
      <c r="D1353" s="7" t="s">
        <v>5732</v>
      </c>
      <c r="E1353" s="6" t="s">
        <v>1006</v>
      </c>
      <c r="F1353" s="8" t="e">
        <f>VLOOKUP($D1353,설문!$C$2:$G$444,3,FALSE)</f>
        <v>#N/A</v>
      </c>
      <c r="G1353" s="8" t="e">
        <f>VLOOKUP($D1353,설문!$C$2:$G$444,4,FALSE)</f>
        <v>#N/A</v>
      </c>
      <c r="H1353" s="8" t="e">
        <f>VLOOKUP($D1353,설문!$C$2:$G$444,5,FALSE)</f>
        <v>#N/A</v>
      </c>
    </row>
    <row r="1354" spans="1:8">
      <c r="A1354" s="6" t="s">
        <v>160</v>
      </c>
      <c r="B1354" s="7" t="s">
        <v>149</v>
      </c>
      <c r="C1354" s="7" t="s">
        <v>149</v>
      </c>
      <c r="D1354" s="7" t="s">
        <v>5733</v>
      </c>
      <c r="E1354" s="6" t="s">
        <v>5734</v>
      </c>
      <c r="F1354" s="8" t="e">
        <f>VLOOKUP($D1354,설문!$C$2:$G$444,3,FALSE)</f>
        <v>#N/A</v>
      </c>
      <c r="G1354" s="8" t="e">
        <f>VLOOKUP($D1354,설문!$C$2:$G$444,4,FALSE)</f>
        <v>#N/A</v>
      </c>
      <c r="H1354" s="8" t="e">
        <f>VLOOKUP($D1354,설문!$C$2:$G$444,5,FALSE)</f>
        <v>#N/A</v>
      </c>
    </row>
    <row r="1355" spans="1:8">
      <c r="A1355" s="6" t="s">
        <v>160</v>
      </c>
      <c r="B1355" s="7" t="s">
        <v>149</v>
      </c>
      <c r="C1355" s="7" t="s">
        <v>149</v>
      </c>
      <c r="D1355" s="7" t="s">
        <v>5735</v>
      </c>
      <c r="E1355" s="6" t="s">
        <v>5736</v>
      </c>
      <c r="F1355" s="8" t="e">
        <f>VLOOKUP($D1355,설문!$C$2:$G$444,3,FALSE)</f>
        <v>#N/A</v>
      </c>
      <c r="G1355" s="8" t="e">
        <f>VLOOKUP($D1355,설문!$C$2:$G$444,4,FALSE)</f>
        <v>#N/A</v>
      </c>
      <c r="H1355" s="8" t="e">
        <f>VLOOKUP($D1355,설문!$C$2:$G$444,5,FALSE)</f>
        <v>#N/A</v>
      </c>
    </row>
    <row r="1356" spans="1:8">
      <c r="A1356" s="6" t="s">
        <v>160</v>
      </c>
      <c r="B1356" s="7" t="s">
        <v>149</v>
      </c>
      <c r="C1356" s="7" t="s">
        <v>149</v>
      </c>
      <c r="D1356" s="7" t="s">
        <v>5737</v>
      </c>
      <c r="E1356" s="6" t="s">
        <v>5738</v>
      </c>
      <c r="F1356" s="8" t="e">
        <f>VLOOKUP($D1356,설문!$C$2:$G$444,3,FALSE)</f>
        <v>#N/A</v>
      </c>
      <c r="G1356" s="8" t="e">
        <f>VLOOKUP($D1356,설문!$C$2:$G$444,4,FALSE)</f>
        <v>#N/A</v>
      </c>
      <c r="H1356" s="8" t="e">
        <f>VLOOKUP($D1356,설문!$C$2:$G$444,5,FALSE)</f>
        <v>#N/A</v>
      </c>
    </row>
    <row r="1357" spans="1:8">
      <c r="A1357" s="6" t="s">
        <v>160</v>
      </c>
      <c r="B1357" s="7" t="s">
        <v>697</v>
      </c>
      <c r="C1357" s="7" t="s">
        <v>1889</v>
      </c>
      <c r="D1357" s="7" t="s">
        <v>5739</v>
      </c>
      <c r="E1357" s="6" t="s">
        <v>5740</v>
      </c>
      <c r="F1357" s="8" t="e">
        <f>VLOOKUP($D1357,설문!$C$2:$G$444,3,FALSE)</f>
        <v>#N/A</v>
      </c>
      <c r="G1357" s="8" t="e">
        <f>VLOOKUP($D1357,설문!$C$2:$G$444,4,FALSE)</f>
        <v>#N/A</v>
      </c>
      <c r="H1357" s="8" t="e">
        <f>VLOOKUP($D1357,설문!$C$2:$G$444,5,FALSE)</f>
        <v>#N/A</v>
      </c>
    </row>
    <row r="1358" spans="1:8">
      <c r="A1358" s="6" t="s">
        <v>160</v>
      </c>
      <c r="B1358" s="7" t="s">
        <v>697</v>
      </c>
      <c r="C1358" s="7" t="s">
        <v>5741</v>
      </c>
      <c r="D1358" s="7" t="s">
        <v>5742</v>
      </c>
      <c r="E1358" s="6" t="s">
        <v>5743</v>
      </c>
      <c r="F1358" s="8" t="e">
        <f>VLOOKUP($D1358,설문!$C$2:$G$444,3,FALSE)</f>
        <v>#N/A</v>
      </c>
      <c r="G1358" s="8" t="e">
        <f>VLOOKUP($D1358,설문!$C$2:$G$444,4,FALSE)</f>
        <v>#N/A</v>
      </c>
      <c r="H1358" s="8" t="e">
        <f>VLOOKUP($D1358,설문!$C$2:$G$444,5,FALSE)</f>
        <v>#N/A</v>
      </c>
    </row>
    <row r="1359" spans="1:8">
      <c r="A1359" s="6" t="s">
        <v>160</v>
      </c>
      <c r="B1359" s="7" t="s">
        <v>628</v>
      </c>
      <c r="C1359" s="7" t="s">
        <v>5744</v>
      </c>
      <c r="D1359" s="7" t="s">
        <v>5745</v>
      </c>
      <c r="E1359" s="6" t="s">
        <v>5746</v>
      </c>
      <c r="F1359" s="8" t="e">
        <f>VLOOKUP($D1359,설문!$C$2:$G$444,3,FALSE)</f>
        <v>#N/A</v>
      </c>
      <c r="G1359" s="8" t="e">
        <f>VLOOKUP($D1359,설문!$C$2:$G$444,4,FALSE)</f>
        <v>#N/A</v>
      </c>
      <c r="H1359" s="8" t="e">
        <f>VLOOKUP($D1359,설문!$C$2:$G$444,5,FALSE)</f>
        <v>#N/A</v>
      </c>
    </row>
    <row r="1360" spans="1:8">
      <c r="A1360" s="6" t="s">
        <v>160</v>
      </c>
      <c r="B1360" s="7" t="s">
        <v>5747</v>
      </c>
      <c r="C1360" s="7" t="s">
        <v>5747</v>
      </c>
      <c r="D1360" s="7" t="s">
        <v>5748</v>
      </c>
      <c r="E1360" s="6" t="s">
        <v>5749</v>
      </c>
      <c r="F1360" s="8" t="e">
        <f>VLOOKUP($D1360,설문!$C$2:$G$444,3,FALSE)</f>
        <v>#N/A</v>
      </c>
      <c r="G1360" s="8" t="e">
        <f>VLOOKUP($D1360,설문!$C$2:$G$444,4,FALSE)</f>
        <v>#N/A</v>
      </c>
      <c r="H1360" s="8" t="e">
        <f>VLOOKUP($D1360,설문!$C$2:$G$444,5,FALSE)</f>
        <v>#N/A</v>
      </c>
    </row>
    <row r="1361" spans="1:8">
      <c r="A1361" s="6" t="s">
        <v>160</v>
      </c>
      <c r="B1361" s="7" t="s">
        <v>365</v>
      </c>
      <c r="C1361" s="7" t="s">
        <v>5750</v>
      </c>
      <c r="D1361" s="7" t="s">
        <v>5751</v>
      </c>
      <c r="E1361" s="6" t="s">
        <v>5752</v>
      </c>
      <c r="F1361" s="8" t="e">
        <f>VLOOKUP($D1361,설문!$C$2:$G$444,3,FALSE)</f>
        <v>#N/A</v>
      </c>
      <c r="G1361" s="8" t="e">
        <f>VLOOKUP($D1361,설문!$C$2:$G$444,4,FALSE)</f>
        <v>#N/A</v>
      </c>
      <c r="H1361" s="8" t="e">
        <f>VLOOKUP($D1361,설문!$C$2:$G$444,5,FALSE)</f>
        <v>#N/A</v>
      </c>
    </row>
    <row r="1362" spans="1:8">
      <c r="A1362" s="6" t="s">
        <v>160</v>
      </c>
      <c r="B1362" s="7" t="s">
        <v>365</v>
      </c>
      <c r="C1362" s="7" t="s">
        <v>5750</v>
      </c>
      <c r="D1362" s="7" t="s">
        <v>5753</v>
      </c>
      <c r="E1362" s="6" t="s">
        <v>5754</v>
      </c>
      <c r="F1362" s="8" t="e">
        <f>VLOOKUP($D1362,설문!$C$2:$G$444,3,FALSE)</f>
        <v>#N/A</v>
      </c>
      <c r="G1362" s="8" t="e">
        <f>VLOOKUP($D1362,설문!$C$2:$G$444,4,FALSE)</f>
        <v>#N/A</v>
      </c>
      <c r="H1362" s="8" t="e">
        <f>VLOOKUP($D1362,설문!$C$2:$G$444,5,FALSE)</f>
        <v>#N/A</v>
      </c>
    </row>
    <row r="1363" spans="1:8">
      <c r="A1363" s="6" t="s">
        <v>160</v>
      </c>
      <c r="B1363" s="7" t="s">
        <v>5755</v>
      </c>
      <c r="C1363" s="7" t="s">
        <v>5755</v>
      </c>
      <c r="D1363" s="7" t="s">
        <v>5756</v>
      </c>
      <c r="E1363" s="6" t="s">
        <v>5757</v>
      </c>
      <c r="F1363" s="8" t="e">
        <f>VLOOKUP($D1363,설문!$C$2:$G$444,3,FALSE)</f>
        <v>#N/A</v>
      </c>
      <c r="G1363" s="8" t="e">
        <f>VLOOKUP($D1363,설문!$C$2:$G$444,4,FALSE)</f>
        <v>#N/A</v>
      </c>
      <c r="H1363" s="8" t="e">
        <f>VLOOKUP($D1363,설문!$C$2:$G$444,5,FALSE)</f>
        <v>#N/A</v>
      </c>
    </row>
    <row r="1364" spans="1:8">
      <c r="A1364" s="6" t="s">
        <v>160</v>
      </c>
      <c r="B1364" s="7" t="s">
        <v>5755</v>
      </c>
      <c r="C1364" s="7" t="s">
        <v>5755</v>
      </c>
      <c r="D1364" s="7" t="s">
        <v>5758</v>
      </c>
      <c r="E1364" s="6" t="s">
        <v>5490</v>
      </c>
      <c r="F1364" s="8" t="e">
        <f>VLOOKUP($D1364,설문!$C$2:$G$444,3,FALSE)</f>
        <v>#N/A</v>
      </c>
      <c r="G1364" s="8" t="e">
        <f>VLOOKUP($D1364,설문!$C$2:$G$444,4,FALSE)</f>
        <v>#N/A</v>
      </c>
      <c r="H1364" s="8" t="e">
        <f>VLOOKUP($D1364,설문!$C$2:$G$444,5,FALSE)</f>
        <v>#N/A</v>
      </c>
    </row>
    <row r="1365" spans="1:8">
      <c r="A1365" s="6" t="s">
        <v>160</v>
      </c>
      <c r="B1365" s="7" t="s">
        <v>5755</v>
      </c>
      <c r="C1365" s="7" t="s">
        <v>988</v>
      </c>
      <c r="D1365" s="7" t="s">
        <v>5759</v>
      </c>
      <c r="E1365" s="6" t="s">
        <v>770</v>
      </c>
      <c r="F1365" s="8" t="e">
        <f>VLOOKUP($D1365,설문!$C$2:$G$444,3,FALSE)</f>
        <v>#N/A</v>
      </c>
      <c r="G1365" s="8" t="e">
        <f>VLOOKUP($D1365,설문!$C$2:$G$444,4,FALSE)</f>
        <v>#N/A</v>
      </c>
      <c r="H1365" s="8" t="e">
        <f>VLOOKUP($D1365,설문!$C$2:$G$444,5,FALSE)</f>
        <v>#N/A</v>
      </c>
    </row>
    <row r="1366" spans="1:8">
      <c r="A1366" s="6" t="s">
        <v>160</v>
      </c>
      <c r="B1366" s="7" t="s">
        <v>5755</v>
      </c>
      <c r="C1366" s="7" t="s">
        <v>5755</v>
      </c>
      <c r="D1366" s="7" t="s">
        <v>5760</v>
      </c>
      <c r="E1366" s="6" t="s">
        <v>5761</v>
      </c>
      <c r="F1366" s="8" t="e">
        <f>VLOOKUP($D1366,설문!$C$2:$G$444,3,FALSE)</f>
        <v>#N/A</v>
      </c>
      <c r="G1366" s="8" t="e">
        <f>VLOOKUP($D1366,설문!$C$2:$G$444,4,FALSE)</f>
        <v>#N/A</v>
      </c>
      <c r="H1366" s="8" t="e">
        <f>VLOOKUP($D1366,설문!$C$2:$G$444,5,FALSE)</f>
        <v>#N/A</v>
      </c>
    </row>
    <row r="1367" spans="1:8">
      <c r="A1367" s="6" t="s">
        <v>160</v>
      </c>
      <c r="B1367" s="7" t="s">
        <v>2397</v>
      </c>
      <c r="C1367" s="7" t="s">
        <v>2397</v>
      </c>
      <c r="D1367" s="7" t="s">
        <v>5762</v>
      </c>
      <c r="E1367" s="6" t="s">
        <v>5763</v>
      </c>
      <c r="F1367" s="8" t="e">
        <f>VLOOKUP($D1367,설문!$C$2:$G$444,3,FALSE)</f>
        <v>#N/A</v>
      </c>
      <c r="G1367" s="8" t="e">
        <f>VLOOKUP($D1367,설문!$C$2:$G$444,4,FALSE)</f>
        <v>#N/A</v>
      </c>
      <c r="H1367" s="8" t="e">
        <f>VLOOKUP($D1367,설문!$C$2:$G$444,5,FALSE)</f>
        <v>#N/A</v>
      </c>
    </row>
    <row r="1368" spans="1:8">
      <c r="A1368" s="6" t="s">
        <v>160</v>
      </c>
      <c r="B1368" s="7" t="s">
        <v>2397</v>
      </c>
      <c r="C1368" s="7" t="s">
        <v>2397</v>
      </c>
      <c r="D1368" s="7" t="s">
        <v>5764</v>
      </c>
      <c r="E1368" s="6" t="s">
        <v>5765</v>
      </c>
      <c r="F1368" s="8" t="e">
        <f>VLOOKUP($D1368,설문!$C$2:$G$444,3,FALSE)</f>
        <v>#N/A</v>
      </c>
      <c r="G1368" s="8" t="e">
        <f>VLOOKUP($D1368,설문!$C$2:$G$444,4,FALSE)</f>
        <v>#N/A</v>
      </c>
      <c r="H1368" s="8" t="e">
        <f>VLOOKUP($D1368,설문!$C$2:$G$444,5,FALSE)</f>
        <v>#N/A</v>
      </c>
    </row>
    <row r="1369" spans="1:8">
      <c r="A1369" s="6" t="s">
        <v>160</v>
      </c>
      <c r="B1369" s="7" t="s">
        <v>2397</v>
      </c>
      <c r="C1369" s="7" t="s">
        <v>2397</v>
      </c>
      <c r="D1369" s="7" t="s">
        <v>5766</v>
      </c>
      <c r="E1369" s="6" t="s">
        <v>5767</v>
      </c>
      <c r="F1369" s="8" t="e">
        <f>VLOOKUP($D1369,설문!$C$2:$G$444,3,FALSE)</f>
        <v>#N/A</v>
      </c>
      <c r="G1369" s="8" t="e">
        <f>VLOOKUP($D1369,설문!$C$2:$G$444,4,FALSE)</f>
        <v>#N/A</v>
      </c>
      <c r="H1369" s="8" t="e">
        <f>VLOOKUP($D1369,설문!$C$2:$G$444,5,FALSE)</f>
        <v>#N/A</v>
      </c>
    </row>
    <row r="1370" spans="1:8">
      <c r="A1370" s="6" t="s">
        <v>160</v>
      </c>
      <c r="B1370" s="7" t="s">
        <v>2397</v>
      </c>
      <c r="C1370" s="7" t="s">
        <v>2397</v>
      </c>
      <c r="D1370" s="7" t="s">
        <v>5768</v>
      </c>
      <c r="E1370" s="6" t="s">
        <v>5769</v>
      </c>
      <c r="F1370" s="8" t="e">
        <f>VLOOKUP($D1370,설문!$C$2:$G$444,3,FALSE)</f>
        <v>#N/A</v>
      </c>
      <c r="G1370" s="8" t="e">
        <f>VLOOKUP($D1370,설문!$C$2:$G$444,4,FALSE)</f>
        <v>#N/A</v>
      </c>
      <c r="H1370" s="8" t="e">
        <f>VLOOKUP($D1370,설문!$C$2:$G$444,5,FALSE)</f>
        <v>#N/A</v>
      </c>
    </row>
    <row r="1371" spans="1:8">
      <c r="A1371" s="6" t="s">
        <v>160</v>
      </c>
      <c r="B1371" s="7" t="s">
        <v>783</v>
      </c>
      <c r="C1371" s="7" t="s">
        <v>783</v>
      </c>
      <c r="D1371" s="7" t="s">
        <v>5770</v>
      </c>
      <c r="E1371" s="6" t="s">
        <v>5771</v>
      </c>
      <c r="F1371" s="8" t="e">
        <f>VLOOKUP($D1371,설문!$C$2:$G$444,3,FALSE)</f>
        <v>#N/A</v>
      </c>
      <c r="G1371" s="8" t="e">
        <f>VLOOKUP($D1371,설문!$C$2:$G$444,4,FALSE)</f>
        <v>#N/A</v>
      </c>
      <c r="H1371" s="8" t="e">
        <f>VLOOKUP($D1371,설문!$C$2:$G$444,5,FALSE)</f>
        <v>#N/A</v>
      </c>
    </row>
    <row r="1372" spans="1:8">
      <c r="A1372" s="6" t="s">
        <v>160</v>
      </c>
      <c r="B1372" s="7" t="s">
        <v>783</v>
      </c>
      <c r="C1372" s="7" t="s">
        <v>783</v>
      </c>
      <c r="D1372" s="7" t="s">
        <v>5772</v>
      </c>
      <c r="E1372" s="6" t="s">
        <v>5773</v>
      </c>
      <c r="F1372" s="8" t="e">
        <f>VLOOKUP($D1372,설문!$C$2:$G$444,3,FALSE)</f>
        <v>#N/A</v>
      </c>
      <c r="G1372" s="8" t="e">
        <f>VLOOKUP($D1372,설문!$C$2:$G$444,4,FALSE)</f>
        <v>#N/A</v>
      </c>
      <c r="H1372" s="8" t="e">
        <f>VLOOKUP($D1372,설문!$C$2:$G$444,5,FALSE)</f>
        <v>#N/A</v>
      </c>
    </row>
    <row r="1373" spans="1:8">
      <c r="A1373" s="6" t="s">
        <v>160</v>
      </c>
      <c r="B1373" s="7" t="s">
        <v>5401</v>
      </c>
      <c r="C1373" s="7" t="s">
        <v>5401</v>
      </c>
      <c r="D1373" s="7" t="s">
        <v>5774</v>
      </c>
      <c r="E1373" s="6" t="s">
        <v>5775</v>
      </c>
      <c r="F1373" s="8" t="e">
        <f>VLOOKUP($D1373,설문!$C$2:$G$444,3,FALSE)</f>
        <v>#N/A</v>
      </c>
      <c r="G1373" s="8" t="e">
        <f>VLOOKUP($D1373,설문!$C$2:$G$444,4,FALSE)</f>
        <v>#N/A</v>
      </c>
      <c r="H1373" s="8" t="e">
        <f>VLOOKUP($D1373,설문!$C$2:$G$444,5,FALSE)</f>
        <v>#N/A</v>
      </c>
    </row>
    <row r="1374" spans="1:8">
      <c r="A1374" s="6" t="s">
        <v>160</v>
      </c>
      <c r="B1374" s="7" t="s">
        <v>162</v>
      </c>
      <c r="C1374" s="7" t="s">
        <v>5776</v>
      </c>
      <c r="D1374" s="7" t="s">
        <v>5777</v>
      </c>
      <c r="E1374" s="6" t="s">
        <v>5778</v>
      </c>
      <c r="F1374" s="8" t="e">
        <f>VLOOKUP($D1374,설문!$C$2:$G$444,3,FALSE)</f>
        <v>#N/A</v>
      </c>
      <c r="G1374" s="8" t="e">
        <f>VLOOKUP($D1374,설문!$C$2:$G$444,4,FALSE)</f>
        <v>#N/A</v>
      </c>
      <c r="H1374" s="8" t="e">
        <f>VLOOKUP($D1374,설문!$C$2:$G$444,5,FALSE)</f>
        <v>#N/A</v>
      </c>
    </row>
    <row r="1375" spans="1:8">
      <c r="A1375" s="6" t="s">
        <v>160</v>
      </c>
      <c r="B1375" s="7" t="s">
        <v>162</v>
      </c>
      <c r="C1375" s="7" t="s">
        <v>161</v>
      </c>
      <c r="D1375" s="7" t="s">
        <v>5779</v>
      </c>
      <c r="E1375" s="6" t="s">
        <v>5780</v>
      </c>
      <c r="F1375" s="8" t="e">
        <f>VLOOKUP($D1375,설문!$C$2:$G$444,3,FALSE)</f>
        <v>#N/A</v>
      </c>
      <c r="G1375" s="8" t="e">
        <f>VLOOKUP($D1375,설문!$C$2:$G$444,4,FALSE)</f>
        <v>#N/A</v>
      </c>
      <c r="H1375" s="8" t="e">
        <f>VLOOKUP($D1375,설문!$C$2:$G$444,5,FALSE)</f>
        <v>#N/A</v>
      </c>
    </row>
    <row r="1376" spans="1:8">
      <c r="A1376" s="6" t="s">
        <v>160</v>
      </c>
      <c r="B1376" s="7" t="s">
        <v>162</v>
      </c>
      <c r="C1376" s="7" t="s">
        <v>161</v>
      </c>
      <c r="D1376" s="7" t="s">
        <v>5781</v>
      </c>
      <c r="E1376" s="6" t="s">
        <v>5782</v>
      </c>
      <c r="F1376" s="8" t="e">
        <f>VLOOKUP($D1376,설문!$C$2:$G$444,3,FALSE)</f>
        <v>#N/A</v>
      </c>
      <c r="G1376" s="8" t="e">
        <f>VLOOKUP($D1376,설문!$C$2:$G$444,4,FALSE)</f>
        <v>#N/A</v>
      </c>
      <c r="H1376" s="8" t="e">
        <f>VLOOKUP($D1376,설문!$C$2:$G$444,5,FALSE)</f>
        <v>#N/A</v>
      </c>
    </row>
    <row r="1377" spans="1:8">
      <c r="A1377" s="6" t="s">
        <v>160</v>
      </c>
      <c r="B1377" s="7" t="s">
        <v>162</v>
      </c>
      <c r="C1377" s="7" t="s">
        <v>5783</v>
      </c>
      <c r="D1377" s="7" t="s">
        <v>5784</v>
      </c>
      <c r="E1377" s="6" t="s">
        <v>5785</v>
      </c>
      <c r="F1377" s="8" t="e">
        <f>VLOOKUP($D1377,설문!$C$2:$G$444,3,FALSE)</f>
        <v>#N/A</v>
      </c>
      <c r="G1377" s="8" t="e">
        <f>VLOOKUP($D1377,설문!$C$2:$G$444,4,FALSE)</f>
        <v>#N/A</v>
      </c>
      <c r="H1377" s="8" t="e">
        <f>VLOOKUP($D1377,설문!$C$2:$G$444,5,FALSE)</f>
        <v>#N/A</v>
      </c>
    </row>
    <row r="1378" spans="1:8">
      <c r="A1378" s="6" t="s">
        <v>160</v>
      </c>
      <c r="B1378" s="7" t="s">
        <v>5786</v>
      </c>
      <c r="C1378" s="7" t="s">
        <v>5787</v>
      </c>
      <c r="D1378" s="7" t="s">
        <v>5788</v>
      </c>
      <c r="E1378" s="6" t="s">
        <v>5789</v>
      </c>
      <c r="F1378" s="8" t="e">
        <f>VLOOKUP($D1378,설문!$C$2:$G$444,3,FALSE)</f>
        <v>#N/A</v>
      </c>
      <c r="G1378" s="8" t="e">
        <f>VLOOKUP($D1378,설문!$C$2:$G$444,4,FALSE)</f>
        <v>#N/A</v>
      </c>
      <c r="H1378" s="8" t="e">
        <f>VLOOKUP($D1378,설문!$C$2:$G$444,5,FALSE)</f>
        <v>#N/A</v>
      </c>
    </row>
    <row r="1379" spans="1:8">
      <c r="A1379" s="6" t="s">
        <v>160</v>
      </c>
      <c r="B1379" s="7" t="s">
        <v>5786</v>
      </c>
      <c r="C1379" s="7" t="s">
        <v>5790</v>
      </c>
      <c r="D1379" s="7" t="s">
        <v>5791</v>
      </c>
      <c r="E1379" s="6" t="s">
        <v>5792</v>
      </c>
      <c r="F1379" s="8" t="e">
        <f>VLOOKUP($D1379,설문!$C$2:$G$444,3,FALSE)</f>
        <v>#N/A</v>
      </c>
      <c r="G1379" s="8" t="e">
        <f>VLOOKUP($D1379,설문!$C$2:$G$444,4,FALSE)</f>
        <v>#N/A</v>
      </c>
      <c r="H1379" s="8" t="e">
        <f>VLOOKUP($D1379,설문!$C$2:$G$444,5,FALSE)</f>
        <v>#N/A</v>
      </c>
    </row>
    <row r="1380" spans="1:8">
      <c r="A1380" s="6" t="s">
        <v>160</v>
      </c>
      <c r="B1380" s="7" t="s">
        <v>74</v>
      </c>
      <c r="C1380" s="7" t="s">
        <v>74</v>
      </c>
      <c r="D1380" s="7" t="s">
        <v>5793</v>
      </c>
      <c r="E1380" s="6" t="s">
        <v>5794</v>
      </c>
      <c r="F1380" s="8" t="e">
        <f>VLOOKUP($D1380,설문!$C$2:$G$444,3,FALSE)</f>
        <v>#N/A</v>
      </c>
      <c r="G1380" s="8" t="e">
        <f>VLOOKUP($D1380,설문!$C$2:$G$444,4,FALSE)</f>
        <v>#N/A</v>
      </c>
      <c r="H1380" s="8" t="e">
        <f>VLOOKUP($D1380,설문!$C$2:$G$444,5,FALSE)</f>
        <v>#N/A</v>
      </c>
    </row>
    <row r="1381" spans="1:8">
      <c r="A1381" s="6" t="s">
        <v>160</v>
      </c>
      <c r="B1381" s="7" t="s">
        <v>2208</v>
      </c>
      <c r="C1381" s="7" t="s">
        <v>2208</v>
      </c>
      <c r="D1381" s="7" t="s">
        <v>5795</v>
      </c>
      <c r="E1381" s="6" t="s">
        <v>2442</v>
      </c>
      <c r="F1381" s="8" t="e">
        <f>VLOOKUP($D1381,설문!$C$2:$G$444,3,FALSE)</f>
        <v>#N/A</v>
      </c>
      <c r="G1381" s="8" t="e">
        <f>VLOOKUP($D1381,설문!$C$2:$G$444,4,FALSE)</f>
        <v>#N/A</v>
      </c>
      <c r="H1381" s="8" t="e">
        <f>VLOOKUP($D1381,설문!$C$2:$G$444,5,FALSE)</f>
        <v>#N/A</v>
      </c>
    </row>
    <row r="1382" spans="1:8">
      <c r="A1382" s="6" t="s">
        <v>3558</v>
      </c>
      <c r="B1382" s="7" t="s">
        <v>3559</v>
      </c>
      <c r="C1382" s="7" t="s">
        <v>3560</v>
      </c>
      <c r="D1382" s="7" t="s">
        <v>3561</v>
      </c>
      <c r="E1382" s="6" t="s">
        <v>3562</v>
      </c>
      <c r="F1382" s="8" t="e">
        <f>VLOOKUP($D1382,설문!$C$2:$G$444,3,FALSE)</f>
        <v>#N/A</v>
      </c>
      <c r="G1382" s="8" t="e">
        <f>VLOOKUP($D1382,설문!$C$2:$G$444,4,FALSE)</f>
        <v>#N/A</v>
      </c>
      <c r="H1382" s="8" t="e">
        <f>VLOOKUP($D1382,설문!$C$2:$G$444,5,FALSE)</f>
        <v>#N/A</v>
      </c>
    </row>
    <row r="1383" spans="1:8">
      <c r="A1383" s="6" t="s">
        <v>3558</v>
      </c>
      <c r="B1383" s="7" t="s">
        <v>3578</v>
      </c>
      <c r="C1383" s="7" t="s">
        <v>1431</v>
      </c>
      <c r="D1383" s="7" t="s">
        <v>3579</v>
      </c>
      <c r="E1383" s="6" t="s">
        <v>3580</v>
      </c>
      <c r="F1383" s="8" t="e">
        <f>VLOOKUP($D1383,설문!$C$2:$G$444,3,FALSE)</f>
        <v>#N/A</v>
      </c>
      <c r="G1383" s="8" t="e">
        <f>VLOOKUP($D1383,설문!$C$2:$G$444,4,FALSE)</f>
        <v>#N/A</v>
      </c>
      <c r="H1383" s="8" t="e">
        <f>VLOOKUP($D1383,설문!$C$2:$G$444,5,FALSE)</f>
        <v>#N/A</v>
      </c>
    </row>
    <row r="1384" spans="1:8">
      <c r="A1384" s="6" t="s">
        <v>786</v>
      </c>
      <c r="B1384" s="7" t="s">
        <v>735</v>
      </c>
      <c r="C1384" s="7" t="s">
        <v>735</v>
      </c>
      <c r="D1384" s="7" t="s">
        <v>787</v>
      </c>
      <c r="E1384" s="6" t="s">
        <v>788</v>
      </c>
      <c r="F1384" s="8" t="str">
        <f>VLOOKUP($D1384,설문!$C$2:$G$444,3,FALSE)</f>
        <v>펀드매니저</v>
      </c>
      <c r="G1384" s="8" t="str">
        <f>VLOOKUP($D1384,설문!$C$2:$G$444,4,FALSE)</f>
        <v>금융회사</v>
      </c>
      <c r="H1384" s="8" t="str">
        <f>VLOOKUP($D1384,설문!$C$2:$G$444,5,FALSE)</f>
        <v>외화 구조화채권,해외주식/지수,ETF/ETN,ELS/DLS</v>
      </c>
    </row>
    <row r="1385" spans="1:8">
      <c r="A1385" s="6" t="s">
        <v>786</v>
      </c>
      <c r="B1385" s="7" t="s">
        <v>9</v>
      </c>
      <c r="C1385" s="7" t="s">
        <v>9</v>
      </c>
      <c r="D1385" s="7" t="s">
        <v>861</v>
      </c>
      <c r="E1385" s="6" t="s">
        <v>862</v>
      </c>
      <c r="F1385" s="8" t="e">
        <f>VLOOKUP($D1385,설문!$C$2:$G$444,3,FALSE)</f>
        <v>#N/A</v>
      </c>
      <c r="G1385" s="8" t="e">
        <f>VLOOKUP($D1385,설문!$C$2:$G$444,4,FALSE)</f>
        <v>#N/A</v>
      </c>
      <c r="H1385" s="8" t="e">
        <f>VLOOKUP($D1385,설문!$C$2:$G$444,5,FALSE)</f>
        <v>#N/A</v>
      </c>
    </row>
    <row r="1386" spans="1:8">
      <c r="A1386" s="6" t="s">
        <v>786</v>
      </c>
      <c r="B1386" s="7" t="s">
        <v>1391</v>
      </c>
      <c r="C1386" s="7" t="s">
        <v>1392</v>
      </c>
      <c r="D1386" s="7" t="s">
        <v>1393</v>
      </c>
      <c r="E1386" s="6" t="s">
        <v>1394</v>
      </c>
      <c r="F1386" s="8" t="e">
        <f>VLOOKUP($D1386,설문!$C$2:$G$444,3,FALSE)</f>
        <v>#N/A</v>
      </c>
      <c r="G1386" s="8" t="e">
        <f>VLOOKUP($D1386,설문!$C$2:$G$444,4,FALSE)</f>
        <v>#N/A</v>
      </c>
      <c r="H1386" s="8" t="e">
        <f>VLOOKUP($D1386,설문!$C$2:$G$444,5,FALSE)</f>
        <v>#N/A</v>
      </c>
    </row>
    <row r="1387" spans="1:8">
      <c r="A1387" s="6" t="s">
        <v>786</v>
      </c>
      <c r="B1387" s="7" t="s">
        <v>1391</v>
      </c>
      <c r="C1387" s="7" t="s">
        <v>1419</v>
      </c>
      <c r="D1387" s="7" t="s">
        <v>1420</v>
      </c>
      <c r="E1387" s="6" t="s">
        <v>1421</v>
      </c>
      <c r="F1387" s="8" t="str">
        <f>VLOOKUP($D1387,설문!$C$2:$G$444,3,FALSE)</f>
        <v>리스크관리(미들)</v>
      </c>
      <c r="G1387" s="8" t="str">
        <f>VLOOKUP($D1387,설문!$C$2:$G$444,4,FALSE)</f>
        <v>기타</v>
      </c>
      <c r="H1387" s="8" t="str">
        <f>VLOOKUP($D1387,설문!$C$2:$G$444,5,FALSE)</f>
        <v>국고채/통안채</v>
      </c>
    </row>
    <row r="1388" spans="1:8">
      <c r="A1388" s="6" t="s">
        <v>786</v>
      </c>
      <c r="B1388" s="7" t="s">
        <v>1391</v>
      </c>
      <c r="C1388" s="7" t="s">
        <v>523</v>
      </c>
      <c r="D1388" s="7" t="s">
        <v>1510</v>
      </c>
      <c r="E1388" s="6" t="s">
        <v>1511</v>
      </c>
      <c r="F1388" s="8" t="e">
        <f>VLOOKUP($D1388,설문!$C$2:$G$444,3,FALSE)</f>
        <v>#N/A</v>
      </c>
      <c r="G1388" s="8" t="e">
        <f>VLOOKUP($D1388,설문!$C$2:$G$444,4,FALSE)</f>
        <v>#N/A</v>
      </c>
      <c r="H1388" s="8" t="e">
        <f>VLOOKUP($D1388,설문!$C$2:$G$444,5,FALSE)</f>
        <v>#N/A</v>
      </c>
    </row>
    <row r="1389" spans="1:8">
      <c r="A1389" s="6" t="s">
        <v>786</v>
      </c>
      <c r="B1389" s="7" t="s">
        <v>1391</v>
      </c>
      <c r="C1389" s="7" t="s">
        <v>2477</v>
      </c>
      <c r="D1389" s="7" t="s">
        <v>2478</v>
      </c>
      <c r="E1389" s="6" t="s">
        <v>875</v>
      </c>
      <c r="F1389" s="8" t="e">
        <f>VLOOKUP($D1389,설문!$C$2:$G$444,3,FALSE)</f>
        <v>#N/A</v>
      </c>
      <c r="G1389" s="8" t="e">
        <f>VLOOKUP($D1389,설문!$C$2:$G$444,4,FALSE)</f>
        <v>#N/A</v>
      </c>
      <c r="H1389" s="8" t="e">
        <f>VLOOKUP($D1389,설문!$C$2:$G$444,5,FALSE)</f>
        <v>#N/A</v>
      </c>
    </row>
    <row r="1390" spans="1:8">
      <c r="A1390" s="6" t="s">
        <v>786</v>
      </c>
      <c r="B1390" s="7" t="s">
        <v>1391</v>
      </c>
      <c r="C1390" s="7" t="s">
        <v>2479</v>
      </c>
      <c r="D1390" s="7" t="s">
        <v>2480</v>
      </c>
      <c r="E1390" s="6" t="s">
        <v>2481</v>
      </c>
      <c r="F1390" s="8" t="e">
        <f>VLOOKUP($D1390,설문!$C$2:$G$444,3,FALSE)</f>
        <v>#N/A</v>
      </c>
      <c r="G1390" s="8" t="e">
        <f>VLOOKUP($D1390,설문!$C$2:$G$444,4,FALSE)</f>
        <v>#N/A</v>
      </c>
      <c r="H1390" s="8" t="e">
        <f>VLOOKUP($D1390,설문!$C$2:$G$444,5,FALSE)</f>
        <v>#N/A</v>
      </c>
    </row>
    <row r="1391" spans="1:8">
      <c r="A1391" s="6" t="s">
        <v>786</v>
      </c>
      <c r="B1391" s="7" t="s">
        <v>1391</v>
      </c>
      <c r="C1391" s="7" t="s">
        <v>2479</v>
      </c>
      <c r="D1391" s="7" t="s">
        <v>2482</v>
      </c>
      <c r="E1391" s="6" t="s">
        <v>2483</v>
      </c>
      <c r="F1391" s="8" t="e">
        <f>VLOOKUP($D1391,설문!$C$2:$G$444,3,FALSE)</f>
        <v>#N/A</v>
      </c>
      <c r="G1391" s="8" t="e">
        <f>VLOOKUP($D1391,설문!$C$2:$G$444,4,FALSE)</f>
        <v>#N/A</v>
      </c>
      <c r="H1391" s="8" t="e">
        <f>VLOOKUP($D1391,설문!$C$2:$G$444,5,FALSE)</f>
        <v>#N/A</v>
      </c>
    </row>
    <row r="1392" spans="1:8">
      <c r="A1392" s="6" t="s">
        <v>786</v>
      </c>
      <c r="B1392" s="7" t="s">
        <v>1391</v>
      </c>
      <c r="C1392" s="7" t="s">
        <v>2484</v>
      </c>
      <c r="D1392" s="7" t="s">
        <v>2485</v>
      </c>
      <c r="E1392" s="6" t="s">
        <v>2486</v>
      </c>
      <c r="F1392" s="8" t="e">
        <f>VLOOKUP($D1392,설문!$C$2:$G$444,3,FALSE)</f>
        <v>#N/A</v>
      </c>
      <c r="G1392" s="8" t="e">
        <f>VLOOKUP($D1392,설문!$C$2:$G$444,4,FALSE)</f>
        <v>#N/A</v>
      </c>
      <c r="H1392" s="8" t="e">
        <f>VLOOKUP($D1392,설문!$C$2:$G$444,5,FALSE)</f>
        <v>#N/A</v>
      </c>
    </row>
    <row r="1393" spans="1:8">
      <c r="A1393" s="6" t="s">
        <v>786</v>
      </c>
      <c r="B1393" s="7" t="s">
        <v>1391</v>
      </c>
      <c r="C1393" s="7" t="s">
        <v>2479</v>
      </c>
      <c r="D1393" s="7" t="s">
        <v>2487</v>
      </c>
      <c r="E1393" s="6" t="s">
        <v>2488</v>
      </c>
      <c r="F1393" s="8" t="str">
        <f>VLOOKUP($D1393,설문!$C$2:$G$444,3,FALSE)</f>
        <v>펀드매니저,분석 및 전략</v>
      </c>
      <c r="G1393" s="8" t="str">
        <f>VLOOKUP($D1393,설문!$C$2:$G$444,4,FALSE)</f>
        <v>금융회사,금융 유관기관,기타</v>
      </c>
      <c r="H1393" s="8" t="str">
        <f>VLOOKUP($D1393,설문!$C$2:$G$444,5,FALSE)</f>
        <v>국내주식/지수,국고채/통안채,회사채,단기자금,해외주식/지수</v>
      </c>
    </row>
    <row r="1394" spans="1:8">
      <c r="A1394" s="6" t="s">
        <v>786</v>
      </c>
      <c r="B1394" s="7" t="s">
        <v>1391</v>
      </c>
      <c r="C1394" s="7" t="s">
        <v>2489</v>
      </c>
      <c r="D1394" s="7" t="s">
        <v>2490</v>
      </c>
      <c r="E1394" s="6" t="s">
        <v>2491</v>
      </c>
      <c r="F1394" s="8" t="e">
        <f>VLOOKUP($D1394,설문!$C$2:$G$444,3,FALSE)</f>
        <v>#N/A</v>
      </c>
      <c r="G1394" s="8" t="e">
        <f>VLOOKUP($D1394,설문!$C$2:$G$444,4,FALSE)</f>
        <v>#N/A</v>
      </c>
      <c r="H1394" s="8" t="e">
        <f>VLOOKUP($D1394,설문!$C$2:$G$444,5,FALSE)</f>
        <v>#N/A</v>
      </c>
    </row>
    <row r="1395" spans="1:8">
      <c r="A1395" s="6" t="s">
        <v>786</v>
      </c>
      <c r="B1395" s="7" t="s">
        <v>1391</v>
      </c>
      <c r="C1395" s="7" t="s">
        <v>2484</v>
      </c>
      <c r="D1395" s="7" t="s">
        <v>2492</v>
      </c>
      <c r="E1395" s="6" t="s">
        <v>1286</v>
      </c>
      <c r="F1395" s="8" t="e">
        <f>VLOOKUP($D1395,설문!$C$2:$G$444,3,FALSE)</f>
        <v>#N/A</v>
      </c>
      <c r="G1395" s="8" t="e">
        <f>VLOOKUP($D1395,설문!$C$2:$G$444,4,FALSE)</f>
        <v>#N/A</v>
      </c>
      <c r="H1395" s="8" t="e">
        <f>VLOOKUP($D1395,설문!$C$2:$G$444,5,FALSE)</f>
        <v>#N/A</v>
      </c>
    </row>
    <row r="1396" spans="1:8">
      <c r="A1396" s="6" t="s">
        <v>786</v>
      </c>
      <c r="B1396" s="7" t="s">
        <v>1391</v>
      </c>
      <c r="C1396" s="7" t="s">
        <v>2493</v>
      </c>
      <c r="D1396" s="7" t="s">
        <v>2494</v>
      </c>
      <c r="E1396" s="6" t="s">
        <v>2495</v>
      </c>
      <c r="F1396" s="8" t="e">
        <f>VLOOKUP($D1396,설문!$C$2:$G$444,3,FALSE)</f>
        <v>#N/A</v>
      </c>
      <c r="G1396" s="8" t="e">
        <f>VLOOKUP($D1396,설문!$C$2:$G$444,4,FALSE)</f>
        <v>#N/A</v>
      </c>
      <c r="H1396" s="8" t="e">
        <f>VLOOKUP($D1396,설문!$C$2:$G$444,5,FALSE)</f>
        <v>#N/A</v>
      </c>
    </row>
    <row r="1397" spans="1:8">
      <c r="A1397" s="6" t="s">
        <v>786</v>
      </c>
      <c r="B1397" s="7" t="s">
        <v>1391</v>
      </c>
      <c r="C1397" s="7" t="s">
        <v>523</v>
      </c>
      <c r="D1397" s="7" t="s">
        <v>2496</v>
      </c>
      <c r="E1397" s="6" t="s">
        <v>2497</v>
      </c>
      <c r="F1397" s="8" t="e">
        <f>VLOOKUP($D1397,설문!$C$2:$G$444,3,FALSE)</f>
        <v>#N/A</v>
      </c>
      <c r="G1397" s="8" t="e">
        <f>VLOOKUP($D1397,설문!$C$2:$G$444,4,FALSE)</f>
        <v>#N/A</v>
      </c>
      <c r="H1397" s="8" t="e">
        <f>VLOOKUP($D1397,설문!$C$2:$G$444,5,FALSE)</f>
        <v>#N/A</v>
      </c>
    </row>
    <row r="1398" spans="1:8">
      <c r="A1398" s="6" t="s">
        <v>786</v>
      </c>
      <c r="B1398" s="7" t="s">
        <v>1391</v>
      </c>
      <c r="C1398" s="7" t="s">
        <v>523</v>
      </c>
      <c r="D1398" s="7" t="s">
        <v>2498</v>
      </c>
      <c r="E1398" s="6" t="s">
        <v>2499</v>
      </c>
      <c r="F1398" s="8" t="e">
        <f>VLOOKUP($D1398,설문!$C$2:$G$444,3,FALSE)</f>
        <v>#N/A</v>
      </c>
      <c r="G1398" s="8" t="e">
        <f>VLOOKUP($D1398,설문!$C$2:$G$444,4,FALSE)</f>
        <v>#N/A</v>
      </c>
      <c r="H1398" s="8" t="e">
        <f>VLOOKUP($D1398,설문!$C$2:$G$444,5,FALSE)</f>
        <v>#N/A</v>
      </c>
    </row>
    <row r="1399" spans="1:8">
      <c r="A1399" s="6" t="s">
        <v>786</v>
      </c>
      <c r="B1399" s="7" t="s">
        <v>1391</v>
      </c>
      <c r="C1399" s="7" t="s">
        <v>2500</v>
      </c>
      <c r="D1399" s="7" t="s">
        <v>2501</v>
      </c>
      <c r="E1399" s="6" t="s">
        <v>2502</v>
      </c>
      <c r="F1399" s="8" t="str">
        <f>VLOOKUP($D1399,설문!$C$2:$G$444,3,FALSE)</f>
        <v>펀드매니저</v>
      </c>
      <c r="G1399" s="8" t="str">
        <f>VLOOKUP($D1399,설문!$C$2:$G$444,4,FALSE)</f>
        <v>금융회사</v>
      </c>
      <c r="H1399" s="8" t="str">
        <f>VLOOKUP($D1399,설문!$C$2:$G$444,5,FALSE)</f>
        <v>국내주식/지수,국고채/통안채,원화 구조화채권</v>
      </c>
    </row>
    <row r="1400" spans="1:8">
      <c r="A1400" s="6" t="s">
        <v>786</v>
      </c>
      <c r="B1400" s="7" t="s">
        <v>1391</v>
      </c>
      <c r="C1400" s="7" t="s">
        <v>523</v>
      </c>
      <c r="D1400" s="7" t="s">
        <v>2503</v>
      </c>
      <c r="E1400" s="6" t="s">
        <v>2504</v>
      </c>
      <c r="F1400" s="8" t="e">
        <f>VLOOKUP($D1400,설문!$C$2:$G$444,3,FALSE)</f>
        <v>#N/A</v>
      </c>
      <c r="G1400" s="8" t="e">
        <f>VLOOKUP($D1400,설문!$C$2:$G$444,4,FALSE)</f>
        <v>#N/A</v>
      </c>
      <c r="H1400" s="8" t="e">
        <f>VLOOKUP($D1400,설문!$C$2:$G$444,5,FALSE)</f>
        <v>#N/A</v>
      </c>
    </row>
    <row r="1401" spans="1:8">
      <c r="A1401" s="6" t="s">
        <v>786</v>
      </c>
      <c r="B1401" s="7" t="s">
        <v>1391</v>
      </c>
      <c r="C1401" s="7" t="s">
        <v>2505</v>
      </c>
      <c r="D1401" s="7" t="s">
        <v>2506</v>
      </c>
      <c r="E1401" s="6" t="s">
        <v>2507</v>
      </c>
      <c r="F1401" s="8" t="e">
        <f>VLOOKUP($D1401,설문!$C$2:$G$444,3,FALSE)</f>
        <v>#N/A</v>
      </c>
      <c r="G1401" s="8" t="e">
        <f>VLOOKUP($D1401,설문!$C$2:$G$444,4,FALSE)</f>
        <v>#N/A</v>
      </c>
      <c r="H1401" s="8" t="e">
        <f>VLOOKUP($D1401,설문!$C$2:$G$444,5,FALSE)</f>
        <v>#N/A</v>
      </c>
    </row>
    <row r="1402" spans="1:8">
      <c r="A1402" s="6" t="s">
        <v>853</v>
      </c>
      <c r="B1402" s="7" t="s">
        <v>854</v>
      </c>
      <c r="C1402" s="7" t="s">
        <v>855</v>
      </c>
      <c r="D1402" s="7" t="s">
        <v>856</v>
      </c>
      <c r="E1402" s="6" t="s">
        <v>857</v>
      </c>
      <c r="F1402" s="8" t="str">
        <f>VLOOKUP($D1402,설문!$C$2:$G$444,3,FALSE)</f>
        <v>펀드매니저,분석 및 전략</v>
      </c>
      <c r="G1402" s="8" t="str">
        <f>VLOOKUP($D1402,설문!$C$2:$G$444,4,FALSE)</f>
        <v>금융회사,금융 유관기관</v>
      </c>
      <c r="H1402" s="8" t="str">
        <f>VLOOKUP($D1402,설문!$C$2:$G$444,5,FALSE)</f>
        <v>대체투자(부동산/인프라)</v>
      </c>
    </row>
    <row r="1403" spans="1:8">
      <c r="A1403" s="6" t="s">
        <v>853</v>
      </c>
      <c r="B1403" s="7" t="s">
        <v>854</v>
      </c>
      <c r="C1403" s="7" t="s">
        <v>858</v>
      </c>
      <c r="D1403" s="7" t="s">
        <v>859</v>
      </c>
      <c r="E1403" s="6" t="s">
        <v>860</v>
      </c>
      <c r="F1403" s="8" t="e">
        <f>VLOOKUP($D1403,설문!$C$2:$G$444,3,FALSE)</f>
        <v>#N/A</v>
      </c>
      <c r="G1403" s="8" t="e">
        <f>VLOOKUP($D1403,설문!$C$2:$G$444,4,FALSE)</f>
        <v>#N/A</v>
      </c>
      <c r="H1403" s="8" t="e">
        <f>VLOOKUP($D1403,설문!$C$2:$G$444,5,FALSE)</f>
        <v>#N/A</v>
      </c>
    </row>
    <row r="1404" spans="1:8">
      <c r="A1404" s="6" t="s">
        <v>853</v>
      </c>
      <c r="B1404" s="7" t="s">
        <v>935</v>
      </c>
      <c r="C1404" s="7" t="s">
        <v>936</v>
      </c>
      <c r="D1404" s="7" t="s">
        <v>937</v>
      </c>
      <c r="E1404" s="6" t="s">
        <v>938</v>
      </c>
      <c r="F1404" s="8" t="e">
        <f>VLOOKUP($D1404,설문!$C$2:$G$444,3,FALSE)</f>
        <v>#N/A</v>
      </c>
      <c r="G1404" s="8" t="e">
        <f>VLOOKUP($D1404,설문!$C$2:$G$444,4,FALSE)</f>
        <v>#N/A</v>
      </c>
      <c r="H1404" s="8" t="e">
        <f>VLOOKUP($D1404,설문!$C$2:$G$444,5,FALSE)</f>
        <v>#N/A</v>
      </c>
    </row>
    <row r="1405" spans="1:8">
      <c r="A1405" s="6" t="s">
        <v>853</v>
      </c>
      <c r="B1405" s="7" t="s">
        <v>935</v>
      </c>
      <c r="C1405" s="7" t="s">
        <v>936</v>
      </c>
      <c r="D1405" s="7" t="s">
        <v>1191</v>
      </c>
      <c r="E1405" s="6" t="s">
        <v>1192</v>
      </c>
      <c r="F1405" s="8" t="e">
        <f>VLOOKUP($D1405,설문!$C$2:$G$444,3,FALSE)</f>
        <v>#N/A</v>
      </c>
      <c r="G1405" s="8" t="e">
        <f>VLOOKUP($D1405,설문!$C$2:$G$444,4,FALSE)</f>
        <v>#N/A</v>
      </c>
      <c r="H1405" s="8" t="e">
        <f>VLOOKUP($D1405,설문!$C$2:$G$444,5,FALSE)</f>
        <v>#N/A</v>
      </c>
    </row>
    <row r="1406" spans="1:8">
      <c r="A1406" s="6" t="s">
        <v>853</v>
      </c>
      <c r="B1406" s="7" t="s">
        <v>1743</v>
      </c>
      <c r="C1406" s="7" t="s">
        <v>1744</v>
      </c>
      <c r="D1406" s="7" t="s">
        <v>1745</v>
      </c>
      <c r="E1406" s="6" t="s">
        <v>1746</v>
      </c>
      <c r="F1406" s="8" t="str">
        <f>VLOOKUP($D1406,설문!$C$2:$G$444,3,FALSE)</f>
        <v>펀드매니저,분석 및 전략</v>
      </c>
      <c r="G1406" s="8" t="str">
        <f>VLOOKUP($D1406,설문!$C$2:$G$444,4,FALSE)</f>
        <v>금융 유관기관</v>
      </c>
      <c r="H1406" s="8" t="str">
        <f>VLOOKUP($D1406,설문!$C$2:$G$444,5,FALSE)</f>
        <v>원화 구조화채권,국내주식/지수관련파생,외화 구조화채권</v>
      </c>
    </row>
    <row r="1407" spans="1:8">
      <c r="A1407" s="6" t="s">
        <v>853</v>
      </c>
      <c r="B1407" s="7" t="s">
        <v>854</v>
      </c>
      <c r="C1407" s="7" t="s">
        <v>2915</v>
      </c>
      <c r="D1407" s="7" t="s">
        <v>3817</v>
      </c>
      <c r="E1407" s="6" t="s">
        <v>3818</v>
      </c>
      <c r="F1407" s="8" t="str">
        <f>VLOOKUP($D1407,설문!$C$2:$G$444,3,FALSE)</f>
        <v>펀드매니저</v>
      </c>
      <c r="G1407" s="8" t="str">
        <f>VLOOKUP($D1407,설문!$C$2:$G$444,4,FALSE)</f>
        <v>금융회사</v>
      </c>
      <c r="H1407" s="8" t="str">
        <f>VLOOKUP($D1407,설문!$C$2:$G$444,5,FALSE)</f>
        <v>대체투자(부동산/인프라)</v>
      </c>
    </row>
    <row r="1408" spans="1:8">
      <c r="A1408" s="6" t="s">
        <v>853</v>
      </c>
      <c r="B1408" s="7" t="s">
        <v>854</v>
      </c>
      <c r="C1408" s="7" t="s">
        <v>2915</v>
      </c>
      <c r="D1408" s="7" t="s">
        <v>3819</v>
      </c>
      <c r="E1408" s="6" t="s">
        <v>3820</v>
      </c>
      <c r="F1408" s="8" t="e">
        <f>VLOOKUP($D1408,설문!$C$2:$G$444,3,FALSE)</f>
        <v>#N/A</v>
      </c>
      <c r="G1408" s="8" t="e">
        <f>VLOOKUP($D1408,설문!$C$2:$G$444,4,FALSE)</f>
        <v>#N/A</v>
      </c>
      <c r="H1408" s="8" t="e">
        <f>VLOOKUP($D1408,설문!$C$2:$G$444,5,FALSE)</f>
        <v>#N/A</v>
      </c>
    </row>
    <row r="1409" spans="1:8">
      <c r="A1409" s="6" t="s">
        <v>853</v>
      </c>
      <c r="B1409" s="7" t="s">
        <v>854</v>
      </c>
      <c r="C1409" s="7" t="s">
        <v>264</v>
      </c>
      <c r="D1409" s="7" t="s">
        <v>3821</v>
      </c>
      <c r="E1409" s="6" t="s">
        <v>3822</v>
      </c>
      <c r="F1409" s="8" t="e">
        <f>VLOOKUP($D1409,설문!$C$2:$G$444,3,FALSE)</f>
        <v>#N/A</v>
      </c>
      <c r="G1409" s="8" t="e">
        <f>VLOOKUP($D1409,설문!$C$2:$G$444,4,FALSE)</f>
        <v>#N/A</v>
      </c>
      <c r="H1409" s="8" t="e">
        <f>VLOOKUP($D1409,설문!$C$2:$G$444,5,FALSE)</f>
        <v>#N/A</v>
      </c>
    </row>
    <row r="1410" spans="1:8">
      <c r="A1410" s="6" t="s">
        <v>853</v>
      </c>
      <c r="B1410" s="7" t="s">
        <v>854</v>
      </c>
      <c r="C1410" s="7" t="s">
        <v>264</v>
      </c>
      <c r="D1410" s="7" t="s">
        <v>3823</v>
      </c>
      <c r="E1410" s="6" t="s">
        <v>3824</v>
      </c>
      <c r="F1410" s="8" t="e">
        <f>VLOOKUP($D1410,설문!$C$2:$G$444,3,FALSE)</f>
        <v>#N/A</v>
      </c>
      <c r="G1410" s="8" t="e">
        <f>VLOOKUP($D1410,설문!$C$2:$G$444,4,FALSE)</f>
        <v>#N/A</v>
      </c>
      <c r="H1410" s="8" t="e">
        <f>VLOOKUP($D1410,설문!$C$2:$G$444,5,FALSE)</f>
        <v>#N/A</v>
      </c>
    </row>
    <row r="1411" spans="1:8">
      <c r="A1411" s="6" t="s">
        <v>853</v>
      </c>
      <c r="B1411" s="7" t="s">
        <v>854</v>
      </c>
      <c r="C1411" s="7" t="s">
        <v>264</v>
      </c>
      <c r="D1411" s="7" t="s">
        <v>3825</v>
      </c>
      <c r="E1411" s="6" t="s">
        <v>816</v>
      </c>
      <c r="F1411" s="8" t="str">
        <f>VLOOKUP($D1411,설문!$C$2:$G$444,3,FALSE)</f>
        <v>펀드매니저</v>
      </c>
      <c r="G1411" s="8" t="str">
        <f>VLOOKUP($D1411,설문!$C$2:$G$444,4,FALSE)</f>
        <v>금융회사</v>
      </c>
      <c r="H1411" s="8" t="str">
        <f>VLOOKUP($D1411,설문!$C$2:$G$444,5,FALSE)</f>
        <v>국고채/통안채,원화 구조화채권</v>
      </c>
    </row>
    <row r="1412" spans="1:8">
      <c r="A1412" s="6" t="s">
        <v>853</v>
      </c>
      <c r="B1412" s="7" t="s">
        <v>854</v>
      </c>
      <c r="C1412" s="7" t="s">
        <v>264</v>
      </c>
      <c r="D1412" s="7" t="s">
        <v>3826</v>
      </c>
      <c r="E1412" s="6" t="s">
        <v>3827</v>
      </c>
      <c r="F1412" s="8" t="str">
        <f>VLOOKUP($D1412,설문!$C$2:$G$444,3,FALSE)</f>
        <v>펀드매니저</v>
      </c>
      <c r="G1412" s="8" t="str">
        <f>VLOOKUP($D1412,설문!$C$2:$G$444,4,FALSE)</f>
        <v>금융회사</v>
      </c>
      <c r="H1412" s="8" t="str">
        <f>VLOOKUP($D1412,설문!$C$2:$G$444,5,FALSE)</f>
        <v>국고채/통안채,회사채</v>
      </c>
    </row>
    <row r="1413" spans="1:8">
      <c r="A1413" s="6" t="s">
        <v>853</v>
      </c>
      <c r="B1413" s="7" t="s">
        <v>854</v>
      </c>
      <c r="C1413" s="7" t="s">
        <v>264</v>
      </c>
      <c r="D1413" s="7" t="s">
        <v>3828</v>
      </c>
      <c r="E1413" s="6" t="s">
        <v>3829</v>
      </c>
      <c r="F1413" s="8" t="e">
        <f>VLOOKUP($D1413,설문!$C$2:$G$444,3,FALSE)</f>
        <v>#N/A</v>
      </c>
      <c r="G1413" s="8" t="e">
        <f>VLOOKUP($D1413,설문!$C$2:$G$444,4,FALSE)</f>
        <v>#N/A</v>
      </c>
      <c r="H1413" s="8" t="e">
        <f>VLOOKUP($D1413,설문!$C$2:$G$444,5,FALSE)</f>
        <v>#N/A</v>
      </c>
    </row>
    <row r="1414" spans="1:8">
      <c r="A1414" s="6" t="s">
        <v>853</v>
      </c>
      <c r="B1414" s="7" t="s">
        <v>854</v>
      </c>
      <c r="C1414" s="7" t="s">
        <v>620</v>
      </c>
      <c r="D1414" s="7" t="s">
        <v>3830</v>
      </c>
      <c r="E1414" s="6" t="s">
        <v>3831</v>
      </c>
      <c r="F1414" s="8" t="e">
        <f>VLOOKUP($D1414,설문!$C$2:$G$444,3,FALSE)</f>
        <v>#N/A</v>
      </c>
      <c r="G1414" s="8" t="e">
        <f>VLOOKUP($D1414,설문!$C$2:$G$444,4,FALSE)</f>
        <v>#N/A</v>
      </c>
      <c r="H1414" s="8" t="e">
        <f>VLOOKUP($D1414,설문!$C$2:$G$444,5,FALSE)</f>
        <v>#N/A</v>
      </c>
    </row>
    <row r="1415" spans="1:8">
      <c r="A1415" s="6" t="s">
        <v>853</v>
      </c>
      <c r="B1415" s="7" t="s">
        <v>854</v>
      </c>
      <c r="C1415" s="7" t="s">
        <v>620</v>
      </c>
      <c r="D1415" s="7" t="s">
        <v>3832</v>
      </c>
      <c r="E1415" s="6" t="s">
        <v>3833</v>
      </c>
      <c r="F1415" s="8" t="str">
        <f>VLOOKUP($D1415,설문!$C$2:$G$444,3,FALSE)</f>
        <v>펀드매니저</v>
      </c>
      <c r="G1415" s="8" t="str">
        <f>VLOOKUP($D1415,설문!$C$2:$G$444,4,FALSE)</f>
        <v>금융회사</v>
      </c>
      <c r="H1415" s="8" t="str">
        <f>VLOOKUP($D1415,설문!$C$2:$G$444,5,FALSE)</f>
        <v>IB(발행, M&amp;A 등),대체투자(부동산/인프라)</v>
      </c>
    </row>
    <row r="1416" spans="1:8">
      <c r="A1416" s="6" t="s">
        <v>853</v>
      </c>
      <c r="B1416" s="7" t="s">
        <v>854</v>
      </c>
      <c r="C1416" s="7" t="s">
        <v>116</v>
      </c>
      <c r="D1416" s="7" t="s">
        <v>3834</v>
      </c>
      <c r="E1416" s="6" t="s">
        <v>3835</v>
      </c>
      <c r="F1416" s="8" t="e">
        <f>VLOOKUP($D1416,설문!$C$2:$G$444,3,FALSE)</f>
        <v>#N/A</v>
      </c>
      <c r="G1416" s="8" t="e">
        <f>VLOOKUP($D1416,설문!$C$2:$G$444,4,FALSE)</f>
        <v>#N/A</v>
      </c>
      <c r="H1416" s="8" t="e">
        <f>VLOOKUP($D1416,설문!$C$2:$G$444,5,FALSE)</f>
        <v>#N/A</v>
      </c>
    </row>
    <row r="1417" spans="1:8">
      <c r="A1417" s="6" t="s">
        <v>853</v>
      </c>
      <c r="B1417" s="7" t="s">
        <v>854</v>
      </c>
      <c r="C1417" s="7" t="s">
        <v>78</v>
      </c>
      <c r="D1417" s="7" t="s">
        <v>3836</v>
      </c>
      <c r="E1417" s="6" t="s">
        <v>3837</v>
      </c>
      <c r="F1417" s="8" t="e">
        <f>VLOOKUP($D1417,설문!$C$2:$G$444,3,FALSE)</f>
        <v>#N/A</v>
      </c>
      <c r="G1417" s="8" t="e">
        <f>VLOOKUP($D1417,설문!$C$2:$G$444,4,FALSE)</f>
        <v>#N/A</v>
      </c>
      <c r="H1417" s="8" t="e">
        <f>VLOOKUP($D1417,설문!$C$2:$G$444,5,FALSE)</f>
        <v>#N/A</v>
      </c>
    </row>
    <row r="1418" spans="1:8">
      <c r="A1418" s="6" t="s">
        <v>853</v>
      </c>
      <c r="B1418" s="7" t="s">
        <v>854</v>
      </c>
      <c r="C1418" s="7" t="s">
        <v>3838</v>
      </c>
      <c r="D1418" s="7" t="s">
        <v>3839</v>
      </c>
      <c r="E1418" s="6" t="s">
        <v>3840</v>
      </c>
      <c r="F1418" s="8" t="e">
        <f>VLOOKUP($D1418,설문!$C$2:$G$444,3,FALSE)</f>
        <v>#N/A</v>
      </c>
      <c r="G1418" s="8" t="e">
        <f>VLOOKUP($D1418,설문!$C$2:$G$444,4,FALSE)</f>
        <v>#N/A</v>
      </c>
      <c r="H1418" s="8" t="e">
        <f>VLOOKUP($D1418,설문!$C$2:$G$444,5,FALSE)</f>
        <v>#N/A</v>
      </c>
    </row>
    <row r="1419" spans="1:8">
      <c r="A1419" s="6" t="s">
        <v>853</v>
      </c>
      <c r="B1419" s="7" t="s">
        <v>854</v>
      </c>
      <c r="C1419" s="7" t="s">
        <v>2915</v>
      </c>
      <c r="D1419" s="7" t="s">
        <v>3841</v>
      </c>
      <c r="E1419" s="6" t="s">
        <v>3842</v>
      </c>
      <c r="F1419" s="8" t="e">
        <f>VLOOKUP($D1419,설문!$C$2:$G$444,3,FALSE)</f>
        <v>#N/A</v>
      </c>
      <c r="G1419" s="8" t="e">
        <f>VLOOKUP($D1419,설문!$C$2:$G$444,4,FALSE)</f>
        <v>#N/A</v>
      </c>
      <c r="H1419" s="8" t="e">
        <f>VLOOKUP($D1419,설문!$C$2:$G$444,5,FALSE)</f>
        <v>#N/A</v>
      </c>
    </row>
    <row r="1420" spans="1:8">
      <c r="A1420" s="6" t="s">
        <v>853</v>
      </c>
      <c r="B1420" s="7" t="s">
        <v>854</v>
      </c>
      <c r="C1420" s="7" t="s">
        <v>116</v>
      </c>
      <c r="D1420" s="7" t="s">
        <v>3843</v>
      </c>
      <c r="E1420" s="6" t="s">
        <v>3844</v>
      </c>
      <c r="F1420" s="8" t="str">
        <f>VLOOKUP($D1420,설문!$C$2:$G$444,3,FALSE)</f>
        <v>펀드매니저,분석 및 전략</v>
      </c>
      <c r="G1420" s="8" t="str">
        <f>VLOOKUP($D1420,설문!$C$2:$G$444,4,FALSE)</f>
        <v>금융회사</v>
      </c>
      <c r="H1420" s="8" t="str">
        <f>VLOOKUP($D1420,설문!$C$2:$G$444,5,FALSE)</f>
        <v>국내주식/지수,ETF/ETN</v>
      </c>
    </row>
    <row r="1421" spans="1:8">
      <c r="A1421" s="6" t="s">
        <v>853</v>
      </c>
      <c r="B1421" s="7" t="s">
        <v>854</v>
      </c>
      <c r="C1421" s="7" t="s">
        <v>78</v>
      </c>
      <c r="D1421" s="7" t="s">
        <v>3845</v>
      </c>
      <c r="E1421" s="6" t="s">
        <v>586</v>
      </c>
      <c r="F1421" s="8" t="e">
        <f>VLOOKUP($D1421,설문!$C$2:$G$444,3,FALSE)</f>
        <v>#N/A</v>
      </c>
      <c r="G1421" s="8" t="e">
        <f>VLOOKUP($D1421,설문!$C$2:$G$444,4,FALSE)</f>
        <v>#N/A</v>
      </c>
      <c r="H1421" s="8" t="e">
        <f>VLOOKUP($D1421,설문!$C$2:$G$444,5,FALSE)</f>
        <v>#N/A</v>
      </c>
    </row>
    <row r="1422" spans="1:8">
      <c r="A1422" s="6" t="s">
        <v>853</v>
      </c>
      <c r="B1422" s="7" t="s">
        <v>854</v>
      </c>
      <c r="C1422" s="7" t="s">
        <v>264</v>
      </c>
      <c r="D1422" s="7" t="s">
        <v>3846</v>
      </c>
      <c r="E1422" s="6" t="s">
        <v>3847</v>
      </c>
      <c r="F1422" s="8" t="str">
        <f>VLOOKUP($D1422,설문!$C$2:$G$444,3,FALSE)</f>
        <v>펀드매니저</v>
      </c>
      <c r="G1422" s="8" t="str">
        <f>VLOOKUP($D1422,설문!$C$2:$G$444,4,FALSE)</f>
        <v>금융회사</v>
      </c>
      <c r="H1422" s="8" t="str">
        <f>VLOOKUP($D1422,설문!$C$2:$G$444,5,FALSE)</f>
        <v>회사채</v>
      </c>
    </row>
    <row r="1423" spans="1:8">
      <c r="A1423" s="6" t="s">
        <v>853</v>
      </c>
      <c r="B1423" s="7" t="s">
        <v>854</v>
      </c>
      <c r="C1423" s="7" t="s">
        <v>620</v>
      </c>
      <c r="D1423" s="7" t="s">
        <v>3848</v>
      </c>
      <c r="E1423" s="6" t="s">
        <v>3849</v>
      </c>
      <c r="F1423" s="8" t="e">
        <f>VLOOKUP($D1423,설문!$C$2:$G$444,3,FALSE)</f>
        <v>#N/A</v>
      </c>
      <c r="G1423" s="8" t="e">
        <f>VLOOKUP($D1423,설문!$C$2:$G$444,4,FALSE)</f>
        <v>#N/A</v>
      </c>
      <c r="H1423" s="8" t="e">
        <f>VLOOKUP($D1423,설문!$C$2:$G$444,5,FALSE)</f>
        <v>#N/A</v>
      </c>
    </row>
    <row r="1424" spans="1:8">
      <c r="A1424" s="6" t="s">
        <v>853</v>
      </c>
      <c r="B1424" s="7" t="s">
        <v>854</v>
      </c>
      <c r="C1424" s="7" t="s">
        <v>620</v>
      </c>
      <c r="D1424" s="7" t="s">
        <v>3850</v>
      </c>
      <c r="E1424" s="6" t="s">
        <v>3851</v>
      </c>
      <c r="F1424" s="8" t="str">
        <f>VLOOKUP($D1424,설문!$C$2:$G$444,3,FALSE)</f>
        <v>펀드매니저</v>
      </c>
      <c r="G1424" s="8" t="str">
        <f>VLOOKUP($D1424,설문!$C$2:$G$444,4,FALSE)</f>
        <v>금융회사,금융 유관기관</v>
      </c>
      <c r="H1424" s="8" t="str">
        <f>VLOOKUP($D1424,설문!$C$2:$G$444,5,FALSE)</f>
        <v>ELS/DLS,IB(발행, M&amp;A 등),대체투자(부동산/인프라)</v>
      </c>
    </row>
    <row r="1425" spans="1:8">
      <c r="A1425" s="6" t="s">
        <v>853</v>
      </c>
      <c r="B1425" s="7" t="s">
        <v>854</v>
      </c>
      <c r="C1425" s="7" t="s">
        <v>116</v>
      </c>
      <c r="D1425" s="7" t="s">
        <v>3852</v>
      </c>
      <c r="E1425" s="6" t="s">
        <v>3853</v>
      </c>
      <c r="F1425" s="8" t="e">
        <f>VLOOKUP($D1425,설문!$C$2:$G$444,3,FALSE)</f>
        <v>#N/A</v>
      </c>
      <c r="G1425" s="8" t="e">
        <f>VLOOKUP($D1425,설문!$C$2:$G$444,4,FALSE)</f>
        <v>#N/A</v>
      </c>
      <c r="H1425" s="8" t="e">
        <f>VLOOKUP($D1425,설문!$C$2:$G$444,5,FALSE)</f>
        <v>#N/A</v>
      </c>
    </row>
    <row r="1426" spans="1:8">
      <c r="A1426" s="6" t="s">
        <v>853</v>
      </c>
      <c r="B1426" s="7" t="s">
        <v>3854</v>
      </c>
      <c r="C1426" s="7" t="s">
        <v>106</v>
      </c>
      <c r="D1426" s="7" t="s">
        <v>3855</v>
      </c>
      <c r="E1426" s="6" t="s">
        <v>3856</v>
      </c>
      <c r="F1426" s="8" t="e">
        <f>VLOOKUP($D1426,설문!$C$2:$G$444,3,FALSE)</f>
        <v>#N/A</v>
      </c>
      <c r="G1426" s="8" t="e">
        <f>VLOOKUP($D1426,설문!$C$2:$G$444,4,FALSE)</f>
        <v>#N/A</v>
      </c>
      <c r="H1426" s="8" t="e">
        <f>VLOOKUP($D1426,설문!$C$2:$G$444,5,FALSE)</f>
        <v>#N/A</v>
      </c>
    </row>
    <row r="1427" spans="1:8">
      <c r="A1427" s="6" t="s">
        <v>853</v>
      </c>
      <c r="B1427" s="7" t="s">
        <v>1743</v>
      </c>
      <c r="C1427" s="7" t="s">
        <v>1744</v>
      </c>
      <c r="D1427" s="7" t="s">
        <v>3857</v>
      </c>
      <c r="E1427" s="6" t="s">
        <v>3858</v>
      </c>
      <c r="F1427" s="8" t="e">
        <f>VLOOKUP($D1427,설문!$C$2:$G$444,3,FALSE)</f>
        <v>#N/A</v>
      </c>
      <c r="G1427" s="8" t="e">
        <f>VLOOKUP($D1427,설문!$C$2:$G$444,4,FALSE)</f>
        <v>#N/A</v>
      </c>
      <c r="H1427" s="8" t="e">
        <f>VLOOKUP($D1427,설문!$C$2:$G$444,5,FALSE)</f>
        <v>#N/A</v>
      </c>
    </row>
    <row r="1428" spans="1:8">
      <c r="A1428" s="6" t="s">
        <v>853</v>
      </c>
      <c r="B1428" s="7" t="s">
        <v>935</v>
      </c>
      <c r="C1428" s="7" t="s">
        <v>936</v>
      </c>
      <c r="D1428" s="7" t="s">
        <v>3859</v>
      </c>
      <c r="E1428" s="6" t="s">
        <v>3860</v>
      </c>
      <c r="F1428" s="8" t="e">
        <f>VLOOKUP($D1428,설문!$C$2:$G$444,3,FALSE)</f>
        <v>#N/A</v>
      </c>
      <c r="G1428" s="8" t="e">
        <f>VLOOKUP($D1428,설문!$C$2:$G$444,4,FALSE)</f>
        <v>#N/A</v>
      </c>
      <c r="H1428" s="8" t="e">
        <f>VLOOKUP($D1428,설문!$C$2:$G$444,5,FALSE)</f>
        <v>#N/A</v>
      </c>
    </row>
    <row r="1429" spans="1:8">
      <c r="A1429" s="6" t="s">
        <v>853</v>
      </c>
      <c r="B1429" s="7" t="s">
        <v>935</v>
      </c>
      <c r="C1429" s="7" t="s">
        <v>936</v>
      </c>
      <c r="D1429" s="7" t="s">
        <v>3861</v>
      </c>
      <c r="E1429" s="6" t="s">
        <v>3862</v>
      </c>
      <c r="F1429" s="8" t="e">
        <f>VLOOKUP($D1429,설문!$C$2:$G$444,3,FALSE)</f>
        <v>#N/A</v>
      </c>
      <c r="G1429" s="8" t="e">
        <f>VLOOKUP($D1429,설문!$C$2:$G$444,4,FALSE)</f>
        <v>#N/A</v>
      </c>
      <c r="H1429" s="8" t="e">
        <f>VLOOKUP($D1429,설문!$C$2:$G$444,5,FALSE)</f>
        <v>#N/A</v>
      </c>
    </row>
    <row r="1430" spans="1:8">
      <c r="A1430" s="6" t="s">
        <v>853</v>
      </c>
      <c r="B1430" s="7" t="s">
        <v>935</v>
      </c>
      <c r="C1430" s="7" t="s">
        <v>936</v>
      </c>
      <c r="D1430" s="7" t="s">
        <v>3863</v>
      </c>
      <c r="E1430" s="6" t="s">
        <v>3864</v>
      </c>
      <c r="F1430" s="8" t="str">
        <f>VLOOKUP($D1430,설문!$C$2:$G$444,3,FALSE)</f>
        <v>분석 및 전략</v>
      </c>
      <c r="G1430" s="8" t="str">
        <f>VLOOKUP($D1430,설문!$C$2:$G$444,4,FALSE)</f>
        <v>금융회사</v>
      </c>
      <c r="H1430" s="8" t="str">
        <f>VLOOKUP($D1430,설문!$C$2:$G$444,5,FALSE)</f>
        <v>IB(발행, M&amp;A 등),대체투자(부동산/인프라)</v>
      </c>
    </row>
    <row r="1431" spans="1:8">
      <c r="A1431" s="6" t="s">
        <v>853</v>
      </c>
      <c r="B1431" s="7" t="s">
        <v>935</v>
      </c>
      <c r="C1431" s="7" t="s">
        <v>1131</v>
      </c>
      <c r="D1431" s="7" t="s">
        <v>3865</v>
      </c>
      <c r="E1431" s="6" t="s">
        <v>3866</v>
      </c>
      <c r="F1431" s="8" t="str">
        <f>VLOOKUP($D1431,설문!$C$2:$G$444,3,FALSE)</f>
        <v>리스크관리(미들)</v>
      </c>
      <c r="G1431" s="8" t="str">
        <f>VLOOKUP($D1431,설문!$C$2:$G$444,4,FALSE)</f>
        <v>금융회사</v>
      </c>
      <c r="H1431" s="8" t="str">
        <f>VLOOKUP($D1431,설문!$C$2:$G$444,5,FALSE)</f>
        <v>국내주식/지수,국고채/통안채,원화 구조화채권</v>
      </c>
    </row>
    <row r="1432" spans="1:8">
      <c r="A1432" s="6" t="s">
        <v>746</v>
      </c>
      <c r="B1432" s="7" t="s">
        <v>747</v>
      </c>
      <c r="C1432" s="7" t="s">
        <v>747</v>
      </c>
      <c r="D1432" s="7" t="s">
        <v>748</v>
      </c>
      <c r="E1432" s="6" t="s">
        <v>749</v>
      </c>
      <c r="F1432" s="8" t="e">
        <f>VLOOKUP($D1432,설문!$C$2:$G$444,3,FALSE)</f>
        <v>#N/A</v>
      </c>
      <c r="G1432" s="8" t="e">
        <f>VLOOKUP($D1432,설문!$C$2:$G$444,4,FALSE)</f>
        <v>#N/A</v>
      </c>
      <c r="H1432" s="8" t="e">
        <f>VLOOKUP($D1432,설문!$C$2:$G$444,5,FALSE)</f>
        <v>#N/A</v>
      </c>
    </row>
    <row r="1433" spans="1:8">
      <c r="A1433" s="6" t="s">
        <v>746</v>
      </c>
      <c r="B1433" s="7" t="s">
        <v>747</v>
      </c>
      <c r="C1433" s="7" t="s">
        <v>2225</v>
      </c>
      <c r="D1433" s="7" t="s">
        <v>2344</v>
      </c>
      <c r="E1433" s="6" t="s">
        <v>2345</v>
      </c>
      <c r="F1433" s="8" t="e">
        <f>VLOOKUP($D1433,설문!$C$2:$G$444,3,FALSE)</f>
        <v>#N/A</v>
      </c>
      <c r="G1433" s="8" t="e">
        <f>VLOOKUP($D1433,설문!$C$2:$G$444,4,FALSE)</f>
        <v>#N/A</v>
      </c>
      <c r="H1433" s="8" t="e">
        <f>VLOOKUP($D1433,설문!$C$2:$G$444,5,FALSE)</f>
        <v>#N/A</v>
      </c>
    </row>
    <row r="1434" spans="1:8">
      <c r="A1434" s="6" t="s">
        <v>746</v>
      </c>
      <c r="B1434" s="7" t="s">
        <v>747</v>
      </c>
      <c r="C1434" s="7" t="s">
        <v>747</v>
      </c>
      <c r="D1434" s="7" t="s">
        <v>2346</v>
      </c>
      <c r="E1434" s="6" t="s">
        <v>2347</v>
      </c>
      <c r="F1434" s="8" t="e">
        <f>VLOOKUP($D1434,설문!$C$2:$G$444,3,FALSE)</f>
        <v>#N/A</v>
      </c>
      <c r="G1434" s="8" t="e">
        <f>VLOOKUP($D1434,설문!$C$2:$G$444,4,FALSE)</f>
        <v>#N/A</v>
      </c>
      <c r="H1434" s="8" t="e">
        <f>VLOOKUP($D1434,설문!$C$2:$G$444,5,FALSE)</f>
        <v>#N/A</v>
      </c>
    </row>
    <row r="1435" spans="1:8">
      <c r="A1435" s="6" t="s">
        <v>746</v>
      </c>
      <c r="B1435" s="7" t="s">
        <v>747</v>
      </c>
      <c r="C1435" s="7" t="s">
        <v>747</v>
      </c>
      <c r="D1435" s="7" t="s">
        <v>2348</v>
      </c>
      <c r="E1435" s="6" t="s">
        <v>2349</v>
      </c>
      <c r="F1435" s="8" t="str">
        <f>VLOOKUP($D1435,설문!$C$2:$G$444,3,FALSE)</f>
        <v>펀드매니저,기타</v>
      </c>
      <c r="G1435" s="8" t="str">
        <f>VLOOKUP($D1435,설문!$C$2:$G$444,4,FALSE)</f>
        <v>금융회사,금융 유관기관</v>
      </c>
      <c r="H1435" s="8" t="str">
        <f>VLOOKUP($D1435,설문!$C$2:$G$444,5,FALSE)</f>
        <v>대체투자(부동산/인프라)</v>
      </c>
    </row>
    <row r="1436" spans="1:8">
      <c r="A1436" s="6" t="s">
        <v>746</v>
      </c>
      <c r="B1436" s="7" t="s">
        <v>747</v>
      </c>
      <c r="C1436" s="7" t="s">
        <v>2351</v>
      </c>
      <c r="D1436" s="7" t="s">
        <v>2352</v>
      </c>
      <c r="E1436" s="6" t="s">
        <v>2353</v>
      </c>
      <c r="F1436" s="8" t="e">
        <f>VLOOKUP($D1436,설문!$C$2:$G$444,3,FALSE)</f>
        <v>#N/A</v>
      </c>
      <c r="G1436" s="8" t="e">
        <f>VLOOKUP($D1436,설문!$C$2:$G$444,4,FALSE)</f>
        <v>#N/A</v>
      </c>
      <c r="H1436" s="8" t="e">
        <f>VLOOKUP($D1436,설문!$C$2:$G$444,5,FALSE)</f>
        <v>#N/A</v>
      </c>
    </row>
    <row r="1437" spans="1:8">
      <c r="A1437" s="6" t="s">
        <v>746</v>
      </c>
      <c r="B1437" s="7" t="s">
        <v>747</v>
      </c>
      <c r="C1437" s="7" t="s">
        <v>2161</v>
      </c>
      <c r="D1437" s="7" t="s">
        <v>2354</v>
      </c>
      <c r="E1437" s="6" t="s">
        <v>2355</v>
      </c>
      <c r="F1437" s="8" t="str">
        <f>VLOOKUP($D1437,설문!$C$2:$G$444,3,FALSE)</f>
        <v>분석 및 전략</v>
      </c>
      <c r="G1437" s="8" t="str">
        <f>VLOOKUP($D1437,설문!$C$2:$G$444,4,FALSE)</f>
        <v>금융회사</v>
      </c>
      <c r="H1437" s="8" t="str">
        <f>VLOOKUP($D1437,설문!$C$2:$G$444,5,FALSE)</f>
        <v>국내주식/지수,대체투자(부동산/인프라)</v>
      </c>
    </row>
    <row r="1438" spans="1:8">
      <c r="A1438" s="6" t="s">
        <v>746</v>
      </c>
      <c r="B1438" s="7" t="s">
        <v>747</v>
      </c>
      <c r="C1438" s="7" t="s">
        <v>2161</v>
      </c>
      <c r="D1438" s="7" t="s">
        <v>2356</v>
      </c>
      <c r="E1438" s="6" t="s">
        <v>2357</v>
      </c>
      <c r="F1438" s="8" t="e">
        <f>VLOOKUP($D1438,설문!$C$2:$G$444,3,FALSE)</f>
        <v>#N/A</v>
      </c>
      <c r="G1438" s="8" t="e">
        <f>VLOOKUP($D1438,설문!$C$2:$G$444,4,FALSE)</f>
        <v>#N/A</v>
      </c>
      <c r="H1438" s="8" t="e">
        <f>VLOOKUP($D1438,설문!$C$2:$G$444,5,FALSE)</f>
        <v>#N/A</v>
      </c>
    </row>
    <row r="1439" spans="1:8">
      <c r="A1439" s="6" t="s">
        <v>746</v>
      </c>
      <c r="B1439" s="7" t="s">
        <v>747</v>
      </c>
      <c r="C1439" s="7" t="s">
        <v>2161</v>
      </c>
      <c r="D1439" s="7" t="s">
        <v>2358</v>
      </c>
      <c r="E1439" s="6" t="s">
        <v>2359</v>
      </c>
      <c r="F1439" s="8" t="e">
        <f>VLOOKUP($D1439,설문!$C$2:$G$444,3,FALSE)</f>
        <v>#N/A</v>
      </c>
      <c r="G1439" s="8" t="e">
        <f>VLOOKUP($D1439,설문!$C$2:$G$444,4,FALSE)</f>
        <v>#N/A</v>
      </c>
      <c r="H1439" s="8" t="e">
        <f>VLOOKUP($D1439,설문!$C$2:$G$444,5,FALSE)</f>
        <v>#N/A</v>
      </c>
    </row>
    <row r="1440" spans="1:8">
      <c r="A1440" s="6" t="s">
        <v>746</v>
      </c>
      <c r="B1440" s="7" t="s">
        <v>747</v>
      </c>
      <c r="C1440" s="7" t="s">
        <v>1512</v>
      </c>
      <c r="D1440" s="7" t="s">
        <v>2360</v>
      </c>
      <c r="E1440" s="6" t="s">
        <v>2361</v>
      </c>
      <c r="F1440" s="8" t="e">
        <f>VLOOKUP($D1440,설문!$C$2:$G$444,3,FALSE)</f>
        <v>#N/A</v>
      </c>
      <c r="G1440" s="8" t="e">
        <f>VLOOKUP($D1440,설문!$C$2:$G$444,4,FALSE)</f>
        <v>#N/A</v>
      </c>
      <c r="H1440" s="8" t="e">
        <f>VLOOKUP($D1440,설문!$C$2:$G$444,5,FALSE)</f>
        <v>#N/A</v>
      </c>
    </row>
    <row r="1441" spans="1:8">
      <c r="A1441" s="6" t="s">
        <v>746</v>
      </c>
      <c r="B1441" s="7" t="s">
        <v>747</v>
      </c>
      <c r="C1441" s="7" t="s">
        <v>1512</v>
      </c>
      <c r="D1441" s="7" t="s">
        <v>2362</v>
      </c>
      <c r="E1441" s="6" t="s">
        <v>2363</v>
      </c>
      <c r="F1441" s="8" t="e">
        <f>VLOOKUP($D1441,설문!$C$2:$G$444,3,FALSE)</f>
        <v>#N/A</v>
      </c>
      <c r="G1441" s="8" t="e">
        <f>VLOOKUP($D1441,설문!$C$2:$G$444,4,FALSE)</f>
        <v>#N/A</v>
      </c>
      <c r="H1441" s="8" t="e">
        <f>VLOOKUP($D1441,설문!$C$2:$G$444,5,FALSE)</f>
        <v>#N/A</v>
      </c>
    </row>
    <row r="1442" spans="1:8">
      <c r="A1442" s="6" t="s">
        <v>746</v>
      </c>
      <c r="B1442" s="7" t="s">
        <v>747</v>
      </c>
      <c r="C1442" s="7" t="s">
        <v>1512</v>
      </c>
      <c r="D1442" s="7" t="s">
        <v>2364</v>
      </c>
      <c r="E1442" s="6" t="s">
        <v>2365</v>
      </c>
      <c r="F1442" s="8" t="e">
        <f>VLOOKUP($D1442,설문!$C$2:$G$444,3,FALSE)</f>
        <v>#N/A</v>
      </c>
      <c r="G1442" s="8" t="e">
        <f>VLOOKUP($D1442,설문!$C$2:$G$444,4,FALSE)</f>
        <v>#N/A</v>
      </c>
      <c r="H1442" s="8" t="e">
        <f>VLOOKUP($D1442,설문!$C$2:$G$444,5,FALSE)</f>
        <v>#N/A</v>
      </c>
    </row>
    <row r="1443" spans="1:8">
      <c r="A1443" s="6" t="s">
        <v>746</v>
      </c>
      <c r="B1443" s="7" t="s">
        <v>747</v>
      </c>
      <c r="C1443" s="7" t="s">
        <v>1512</v>
      </c>
      <c r="D1443" s="7" t="s">
        <v>2366</v>
      </c>
      <c r="E1443" s="6" t="s">
        <v>2367</v>
      </c>
      <c r="F1443" s="8" t="e">
        <f>VLOOKUP($D1443,설문!$C$2:$G$444,3,FALSE)</f>
        <v>#N/A</v>
      </c>
      <c r="G1443" s="8" t="e">
        <f>VLOOKUP($D1443,설문!$C$2:$G$444,4,FALSE)</f>
        <v>#N/A</v>
      </c>
      <c r="H1443" s="8" t="e">
        <f>VLOOKUP($D1443,설문!$C$2:$G$444,5,FALSE)</f>
        <v>#N/A</v>
      </c>
    </row>
    <row r="1444" spans="1:8">
      <c r="A1444" s="6" t="s">
        <v>746</v>
      </c>
      <c r="B1444" s="7" t="s">
        <v>747</v>
      </c>
      <c r="C1444" s="7" t="s">
        <v>1512</v>
      </c>
      <c r="D1444" s="7" t="s">
        <v>2368</v>
      </c>
      <c r="E1444" s="6" t="s">
        <v>2369</v>
      </c>
      <c r="F1444" s="8" t="e">
        <f>VLOOKUP($D1444,설문!$C$2:$G$444,3,FALSE)</f>
        <v>#N/A</v>
      </c>
      <c r="G1444" s="8" t="e">
        <f>VLOOKUP($D1444,설문!$C$2:$G$444,4,FALSE)</f>
        <v>#N/A</v>
      </c>
      <c r="H1444" s="8" t="e">
        <f>VLOOKUP($D1444,설문!$C$2:$G$444,5,FALSE)</f>
        <v>#N/A</v>
      </c>
    </row>
    <row r="1445" spans="1:8">
      <c r="A1445" s="6" t="s">
        <v>746</v>
      </c>
      <c r="B1445" s="7" t="s">
        <v>747</v>
      </c>
      <c r="C1445" s="7" t="s">
        <v>2161</v>
      </c>
      <c r="D1445" s="7" t="s">
        <v>2370</v>
      </c>
      <c r="E1445" s="6" t="s">
        <v>2371</v>
      </c>
      <c r="F1445" s="8" t="e">
        <f>VLOOKUP($D1445,설문!$C$2:$G$444,3,FALSE)</f>
        <v>#N/A</v>
      </c>
      <c r="G1445" s="8" t="e">
        <f>VLOOKUP($D1445,설문!$C$2:$G$444,4,FALSE)</f>
        <v>#N/A</v>
      </c>
      <c r="H1445" s="8" t="e">
        <f>VLOOKUP($D1445,설문!$C$2:$G$444,5,FALSE)</f>
        <v>#N/A</v>
      </c>
    </row>
    <row r="1446" spans="1:8">
      <c r="A1446" s="6" t="s">
        <v>1206</v>
      </c>
      <c r="B1446" s="7" t="s">
        <v>9</v>
      </c>
      <c r="C1446" s="7" t="s">
        <v>1207</v>
      </c>
      <c r="D1446" s="7" t="s">
        <v>1208</v>
      </c>
      <c r="E1446" s="6" t="s">
        <v>1209</v>
      </c>
      <c r="F1446" s="8" t="str">
        <f>VLOOKUP($D1446,설문!$C$2:$G$444,3,FALSE)</f>
        <v>브로커</v>
      </c>
      <c r="G1446" s="8" t="str">
        <f>VLOOKUP($D1446,설문!$C$2:$G$444,4,FALSE)</f>
        <v>금융회사</v>
      </c>
      <c r="H1446" s="8" t="str">
        <f>VLOOKUP($D1446,설문!$C$2:$G$444,5,FALSE)</f>
        <v>국고채/통안채,회사채</v>
      </c>
    </row>
    <row r="1447" spans="1:8">
      <c r="A1447" s="6" t="s">
        <v>1206</v>
      </c>
      <c r="B1447" s="7" t="s">
        <v>1207</v>
      </c>
      <c r="C1447" s="7" t="s">
        <v>1207</v>
      </c>
      <c r="D1447" s="7" t="s">
        <v>3734</v>
      </c>
      <c r="E1447" s="6" t="s">
        <v>3735</v>
      </c>
      <c r="F1447" s="8" t="e">
        <f>VLOOKUP($D1447,설문!$C$2:$G$444,3,FALSE)</f>
        <v>#N/A</v>
      </c>
      <c r="G1447" s="8" t="e">
        <f>VLOOKUP($D1447,설문!$C$2:$G$444,4,FALSE)</f>
        <v>#N/A</v>
      </c>
      <c r="H1447" s="8" t="e">
        <f>VLOOKUP($D1447,설문!$C$2:$G$444,5,FALSE)</f>
        <v>#N/A</v>
      </c>
    </row>
    <row r="1448" spans="1:8">
      <c r="A1448" s="6" t="s">
        <v>1206</v>
      </c>
      <c r="B1448" s="7" t="s">
        <v>1207</v>
      </c>
      <c r="C1448" s="7" t="s">
        <v>1207</v>
      </c>
      <c r="D1448" s="7" t="s">
        <v>3736</v>
      </c>
      <c r="E1448" s="6" t="s">
        <v>3737</v>
      </c>
      <c r="F1448" s="8" t="e">
        <f>VLOOKUP($D1448,설문!$C$2:$G$444,3,FALSE)</f>
        <v>#N/A</v>
      </c>
      <c r="G1448" s="8" t="e">
        <f>VLOOKUP($D1448,설문!$C$2:$G$444,4,FALSE)</f>
        <v>#N/A</v>
      </c>
      <c r="H1448" s="8" t="e">
        <f>VLOOKUP($D1448,설문!$C$2:$G$444,5,FALSE)</f>
        <v>#N/A</v>
      </c>
    </row>
    <row r="1449" spans="1:8">
      <c r="A1449" s="6" t="s">
        <v>1206</v>
      </c>
      <c r="B1449" s="7" t="s">
        <v>3738</v>
      </c>
      <c r="C1449" s="7" t="s">
        <v>3739</v>
      </c>
      <c r="D1449" s="7" t="s">
        <v>3740</v>
      </c>
      <c r="E1449" s="6" t="s">
        <v>3741</v>
      </c>
      <c r="F1449" s="8" t="e">
        <f>VLOOKUP($D1449,설문!$C$2:$G$444,3,FALSE)</f>
        <v>#N/A</v>
      </c>
      <c r="G1449" s="8" t="e">
        <f>VLOOKUP($D1449,설문!$C$2:$G$444,4,FALSE)</f>
        <v>#N/A</v>
      </c>
      <c r="H1449" s="8" t="e">
        <f>VLOOKUP($D1449,설문!$C$2:$G$444,5,FALSE)</f>
        <v>#N/A</v>
      </c>
    </row>
    <row r="1450" spans="1:8">
      <c r="A1450" s="6" t="s">
        <v>1206</v>
      </c>
      <c r="B1450" s="7" t="s">
        <v>3742</v>
      </c>
      <c r="C1450" s="7" t="s">
        <v>3738</v>
      </c>
      <c r="D1450" s="7" t="s">
        <v>3743</v>
      </c>
      <c r="E1450" s="6" t="s">
        <v>3744</v>
      </c>
      <c r="F1450" s="8" t="e">
        <f>VLOOKUP($D1450,설문!$C$2:$G$444,3,FALSE)</f>
        <v>#N/A</v>
      </c>
      <c r="G1450" s="8" t="e">
        <f>VLOOKUP($D1450,설문!$C$2:$G$444,4,FALSE)</f>
        <v>#N/A</v>
      </c>
      <c r="H1450" s="8" t="e">
        <f>VLOOKUP($D1450,설문!$C$2:$G$444,5,FALSE)</f>
        <v>#N/A</v>
      </c>
    </row>
    <row r="1451" spans="1:8">
      <c r="A1451" s="6" t="s">
        <v>1206</v>
      </c>
      <c r="B1451" s="7" t="s">
        <v>3745</v>
      </c>
      <c r="C1451" s="7" t="s">
        <v>3738</v>
      </c>
      <c r="D1451" s="7" t="s">
        <v>3746</v>
      </c>
      <c r="E1451" s="6" t="s">
        <v>3747</v>
      </c>
      <c r="F1451" s="8" t="e">
        <f>VLOOKUP($D1451,설문!$C$2:$G$444,3,FALSE)</f>
        <v>#N/A</v>
      </c>
      <c r="G1451" s="8" t="e">
        <f>VLOOKUP($D1451,설문!$C$2:$G$444,4,FALSE)</f>
        <v>#N/A</v>
      </c>
      <c r="H1451" s="8" t="e">
        <f>VLOOKUP($D1451,설문!$C$2:$G$444,5,FALSE)</f>
        <v>#N/A</v>
      </c>
    </row>
    <row r="1452" spans="1:8">
      <c r="A1452" s="6" t="s">
        <v>4683</v>
      </c>
      <c r="B1452" s="7" t="s">
        <v>9</v>
      </c>
      <c r="C1452" s="7" t="s">
        <v>9</v>
      </c>
      <c r="D1452" s="7" t="s">
        <v>4684</v>
      </c>
      <c r="E1452" s="6" t="s">
        <v>4685</v>
      </c>
      <c r="F1452" s="8" t="e">
        <f>VLOOKUP($D1452,설문!$C$2:$G$444,3,FALSE)</f>
        <v>#N/A</v>
      </c>
      <c r="G1452" s="8" t="e">
        <f>VLOOKUP($D1452,설문!$C$2:$G$444,4,FALSE)</f>
        <v>#N/A</v>
      </c>
      <c r="H1452" s="8" t="e">
        <f>VLOOKUP($D1452,설문!$C$2:$G$444,5,FALSE)</f>
        <v>#N/A</v>
      </c>
    </row>
    <row r="1453" spans="1:8">
      <c r="A1453" s="6" t="s">
        <v>4683</v>
      </c>
      <c r="B1453" s="7" t="s">
        <v>4686</v>
      </c>
      <c r="C1453" s="7" t="s">
        <v>4687</v>
      </c>
      <c r="D1453" s="7" t="s">
        <v>4688</v>
      </c>
      <c r="E1453" s="6" t="s">
        <v>4689</v>
      </c>
      <c r="F1453" s="8" t="e">
        <f>VLOOKUP($D1453,설문!$C$2:$G$444,3,FALSE)</f>
        <v>#N/A</v>
      </c>
      <c r="G1453" s="8" t="e">
        <f>VLOOKUP($D1453,설문!$C$2:$G$444,4,FALSE)</f>
        <v>#N/A</v>
      </c>
      <c r="H1453" s="8" t="e">
        <f>VLOOKUP($D1453,설문!$C$2:$G$444,5,FALSE)</f>
        <v>#N/A</v>
      </c>
    </row>
    <row r="1454" spans="1:8">
      <c r="A1454" s="6" t="s">
        <v>1980</v>
      </c>
      <c r="B1454" s="7" t="s">
        <v>9</v>
      </c>
      <c r="C1454" s="7" t="s">
        <v>9</v>
      </c>
      <c r="D1454" s="7" t="s">
        <v>1981</v>
      </c>
      <c r="E1454" s="6" t="s">
        <v>1982</v>
      </c>
      <c r="F1454" s="8" t="e">
        <f>VLOOKUP($D1454,설문!$C$2:$G$444,3,FALSE)</f>
        <v>#N/A</v>
      </c>
      <c r="G1454" s="8" t="e">
        <f>VLOOKUP($D1454,설문!$C$2:$G$444,4,FALSE)</f>
        <v>#N/A</v>
      </c>
      <c r="H1454" s="8" t="e">
        <f>VLOOKUP($D1454,설문!$C$2:$G$444,5,FALSE)</f>
        <v>#N/A</v>
      </c>
    </row>
    <row r="1455" spans="1:8">
      <c r="A1455" s="6" t="s">
        <v>1416</v>
      </c>
      <c r="B1455" s="7" t="s">
        <v>1319</v>
      </c>
      <c r="C1455" s="7" t="s">
        <v>1319</v>
      </c>
      <c r="D1455" s="7" t="s">
        <v>1417</v>
      </c>
      <c r="E1455" s="6" t="s">
        <v>1418</v>
      </c>
      <c r="F1455" s="8" t="e">
        <f>VLOOKUP($D1455,설문!$C$2:$G$444,3,FALSE)</f>
        <v>#N/A</v>
      </c>
      <c r="G1455" s="8" t="e">
        <f>VLOOKUP($D1455,설문!$C$2:$G$444,4,FALSE)</f>
        <v>#N/A</v>
      </c>
      <c r="H1455" s="8" t="e">
        <f>VLOOKUP($D1455,설문!$C$2:$G$444,5,FALSE)</f>
        <v>#N/A</v>
      </c>
    </row>
    <row r="1456" spans="1:8">
      <c r="A1456" s="6" t="s">
        <v>1416</v>
      </c>
      <c r="B1456" s="7" t="s">
        <v>3958</v>
      </c>
      <c r="C1456" s="7" t="s">
        <v>3958</v>
      </c>
      <c r="D1456" s="7" t="s">
        <v>3959</v>
      </c>
      <c r="E1456" s="6" t="s">
        <v>3960</v>
      </c>
      <c r="F1456" s="8" t="e">
        <f>VLOOKUP($D1456,설문!$C$2:$G$444,3,FALSE)</f>
        <v>#N/A</v>
      </c>
      <c r="G1456" s="8" t="e">
        <f>VLOOKUP($D1456,설문!$C$2:$G$444,4,FALSE)</f>
        <v>#N/A</v>
      </c>
      <c r="H1456" s="8" t="e">
        <f>VLOOKUP($D1456,설문!$C$2:$G$444,5,FALSE)</f>
        <v>#N/A</v>
      </c>
    </row>
    <row r="1457" spans="1:8">
      <c r="A1457" s="6" t="s">
        <v>1416</v>
      </c>
      <c r="B1457" s="7" t="s">
        <v>1319</v>
      </c>
      <c r="C1457" s="7" t="s">
        <v>1319</v>
      </c>
      <c r="D1457" s="7" t="s">
        <v>3977</v>
      </c>
      <c r="E1457" s="6" t="s">
        <v>3978</v>
      </c>
      <c r="F1457" s="8" t="str">
        <f>VLOOKUP($D1457,설문!$C$2:$G$444,3,FALSE)</f>
        <v>백오피스</v>
      </c>
      <c r="G1457" s="8" t="str">
        <f>VLOOKUP($D1457,설문!$C$2:$G$444,4,FALSE)</f>
        <v>금융회사</v>
      </c>
      <c r="H1457" s="8" t="str">
        <f>VLOOKUP($D1457,설문!$C$2:$G$444,5,FALSE)</f>
        <v>국내주식/지수,국고채/통안채,원화 구조화채권,원화 이자율스왑</v>
      </c>
    </row>
    <row r="1458" spans="1:8">
      <c r="A1458" s="6" t="s">
        <v>1416</v>
      </c>
      <c r="B1458" s="7" t="s">
        <v>1319</v>
      </c>
      <c r="C1458" s="7" t="s">
        <v>1319</v>
      </c>
      <c r="D1458" s="7" t="s">
        <v>3979</v>
      </c>
      <c r="E1458" s="6" t="s">
        <v>3980</v>
      </c>
      <c r="F1458" s="8" t="e">
        <f>VLOOKUP($D1458,설문!$C$2:$G$444,3,FALSE)</f>
        <v>#N/A</v>
      </c>
      <c r="G1458" s="8" t="e">
        <f>VLOOKUP($D1458,설문!$C$2:$G$444,4,FALSE)</f>
        <v>#N/A</v>
      </c>
      <c r="H1458" s="8" t="e">
        <f>VLOOKUP($D1458,설문!$C$2:$G$444,5,FALSE)</f>
        <v>#N/A</v>
      </c>
    </row>
    <row r="1459" spans="1:8">
      <c r="A1459" s="6" t="s">
        <v>1416</v>
      </c>
      <c r="B1459" s="7" t="s">
        <v>1319</v>
      </c>
      <c r="C1459" s="7" t="s">
        <v>1319</v>
      </c>
      <c r="D1459" s="7" t="s">
        <v>3981</v>
      </c>
      <c r="E1459" s="6" t="s">
        <v>3982</v>
      </c>
      <c r="F1459" s="8" t="str">
        <f>VLOOKUP($D1459,설문!$C$2:$G$444,3,FALSE)</f>
        <v>백오피스</v>
      </c>
      <c r="G1459" s="8" t="str">
        <f>VLOOKUP($D1459,설문!$C$2:$G$444,4,FALSE)</f>
        <v>금융회사</v>
      </c>
      <c r="H1459" s="8" t="str">
        <f>VLOOKUP($D1459,설문!$C$2:$G$444,5,FALSE)</f>
        <v>국내주식/지수,국고채/통안채,회사채,국채선물</v>
      </c>
    </row>
    <row r="1460" spans="1:8">
      <c r="A1460" s="6" t="s">
        <v>1416</v>
      </c>
      <c r="B1460" s="7" t="s">
        <v>3958</v>
      </c>
      <c r="C1460" s="7" t="s">
        <v>3958</v>
      </c>
      <c r="D1460" s="7" t="s">
        <v>3983</v>
      </c>
      <c r="E1460" s="6" t="s">
        <v>3960</v>
      </c>
      <c r="F1460" s="8" t="e">
        <f>VLOOKUP($D1460,설문!$C$2:$G$444,3,FALSE)</f>
        <v>#N/A</v>
      </c>
      <c r="G1460" s="8" t="e">
        <f>VLOOKUP($D1460,설문!$C$2:$G$444,4,FALSE)</f>
        <v>#N/A</v>
      </c>
      <c r="H1460" s="8" t="e">
        <f>VLOOKUP($D1460,설문!$C$2:$G$444,5,FALSE)</f>
        <v>#N/A</v>
      </c>
    </row>
    <row r="1461" spans="1:8">
      <c r="A1461" s="6" t="s">
        <v>1416</v>
      </c>
      <c r="B1461" s="7" t="s">
        <v>3984</v>
      </c>
      <c r="C1461" s="7" t="s">
        <v>3984</v>
      </c>
      <c r="D1461" s="7" t="s">
        <v>3985</v>
      </c>
      <c r="E1461" s="6" t="s">
        <v>3986</v>
      </c>
      <c r="F1461" s="8" t="e">
        <f>VLOOKUP($D1461,설문!$C$2:$G$444,3,FALSE)</f>
        <v>#N/A</v>
      </c>
      <c r="G1461" s="8" t="e">
        <f>VLOOKUP($D1461,설문!$C$2:$G$444,4,FALSE)</f>
        <v>#N/A</v>
      </c>
      <c r="H1461" s="8" t="e">
        <f>VLOOKUP($D1461,설문!$C$2:$G$444,5,FALSE)</f>
        <v>#N/A</v>
      </c>
    </row>
    <row r="1462" spans="1:8">
      <c r="A1462" s="6" t="s">
        <v>3961</v>
      </c>
      <c r="B1462" s="7" t="s">
        <v>414</v>
      </c>
      <c r="C1462" s="7" t="s">
        <v>1131</v>
      </c>
      <c r="D1462" s="7" t="s">
        <v>3962</v>
      </c>
      <c r="E1462" s="6" t="s">
        <v>3963</v>
      </c>
      <c r="F1462" s="8" t="str">
        <f>VLOOKUP($D1462,설문!$C$2:$G$444,3,FALSE)</f>
        <v>리스크관리(미들)</v>
      </c>
      <c r="G1462" s="8" t="str">
        <f>VLOOKUP($D1462,설문!$C$2:$G$444,4,FALSE)</f>
        <v>금융회사,금융 유관기관</v>
      </c>
      <c r="H1462" s="8" t="str">
        <f>VLOOKUP($D1462,설문!$C$2:$G$444,5,FALSE)</f>
        <v>국고채/통안채,회사채</v>
      </c>
    </row>
    <row r="1463" spans="1:8">
      <c r="A1463" s="6" t="s">
        <v>3961</v>
      </c>
      <c r="B1463" s="7" t="s">
        <v>414</v>
      </c>
      <c r="C1463" s="7" t="s">
        <v>1131</v>
      </c>
      <c r="D1463" s="7" t="s">
        <v>3964</v>
      </c>
      <c r="E1463" s="6" t="s">
        <v>3965</v>
      </c>
      <c r="F1463" s="8" t="e">
        <f>VLOOKUP($D1463,설문!$C$2:$G$444,3,FALSE)</f>
        <v>#N/A</v>
      </c>
      <c r="G1463" s="8" t="e">
        <f>VLOOKUP($D1463,설문!$C$2:$G$444,4,FALSE)</f>
        <v>#N/A</v>
      </c>
      <c r="H1463" s="8" t="e">
        <f>VLOOKUP($D1463,설문!$C$2:$G$444,5,FALSE)</f>
        <v>#N/A</v>
      </c>
    </row>
    <row r="1464" spans="1:8">
      <c r="A1464" s="6" t="s">
        <v>3961</v>
      </c>
      <c r="B1464" s="7" t="s">
        <v>661</v>
      </c>
      <c r="C1464" s="7" t="s">
        <v>3966</v>
      </c>
      <c r="D1464" s="7" t="s">
        <v>3967</v>
      </c>
      <c r="E1464" s="6" t="s">
        <v>3968</v>
      </c>
      <c r="F1464" s="8" t="str">
        <f>VLOOKUP($D1464,설문!$C$2:$G$444,3,FALSE)</f>
        <v>백오피스</v>
      </c>
      <c r="G1464" s="8" t="str">
        <f>VLOOKUP($D1464,설문!$C$2:$G$444,4,FALSE)</f>
        <v>금융회사</v>
      </c>
      <c r="H1464" s="8" t="str">
        <f>VLOOKUP($D1464,설문!$C$2:$G$444,5,FALSE)</f>
        <v>국고채/통안채,회사채,ETF/ETN,대체투자(부동산/인프라)</v>
      </c>
    </row>
    <row r="1465" spans="1:8">
      <c r="A1465" s="6" t="s">
        <v>3961</v>
      </c>
      <c r="B1465" s="7" t="s">
        <v>661</v>
      </c>
      <c r="C1465" s="7" t="s">
        <v>264</v>
      </c>
      <c r="D1465" s="7" t="s">
        <v>3969</v>
      </c>
      <c r="E1465" s="6" t="s">
        <v>3970</v>
      </c>
      <c r="F1465" s="8" t="e">
        <f>VLOOKUP($D1465,설문!$C$2:$G$444,3,FALSE)</f>
        <v>#N/A</v>
      </c>
      <c r="G1465" s="8" t="e">
        <f>VLOOKUP($D1465,설문!$C$2:$G$444,4,FALSE)</f>
        <v>#N/A</v>
      </c>
      <c r="H1465" s="8" t="e">
        <f>VLOOKUP($D1465,설문!$C$2:$G$444,5,FALSE)</f>
        <v>#N/A</v>
      </c>
    </row>
    <row r="1466" spans="1:8">
      <c r="A1466" s="6" t="s">
        <v>3961</v>
      </c>
      <c r="B1466" s="7" t="s">
        <v>661</v>
      </c>
      <c r="C1466" s="7" t="s">
        <v>264</v>
      </c>
      <c r="D1466" s="7" t="s">
        <v>3971</v>
      </c>
      <c r="E1466" s="6" t="s">
        <v>3972</v>
      </c>
      <c r="F1466" s="8" t="str">
        <f>VLOOKUP($D1466,설문!$C$2:$G$444,3,FALSE)</f>
        <v>딜러</v>
      </c>
      <c r="G1466" s="8" t="str">
        <f>VLOOKUP($D1466,설문!$C$2:$G$444,4,FALSE)</f>
        <v>금융회사</v>
      </c>
      <c r="H1466" s="8" t="str">
        <f>VLOOKUP($D1466,설문!$C$2:$G$444,5,FALSE)</f>
        <v>국고채/통안채,회사채</v>
      </c>
    </row>
    <row r="1467" spans="1:8">
      <c r="A1467" s="6" t="s">
        <v>3961</v>
      </c>
      <c r="B1467" s="7" t="s">
        <v>661</v>
      </c>
      <c r="C1467" s="7" t="s">
        <v>3966</v>
      </c>
      <c r="D1467" s="7" t="s">
        <v>3973</v>
      </c>
      <c r="E1467" s="6" t="s">
        <v>3974</v>
      </c>
      <c r="F1467" s="8" t="e">
        <f>VLOOKUP($D1467,설문!$C$2:$G$444,3,FALSE)</f>
        <v>#N/A</v>
      </c>
      <c r="G1467" s="8" t="e">
        <f>VLOOKUP($D1467,설문!$C$2:$G$444,4,FALSE)</f>
        <v>#N/A</v>
      </c>
      <c r="H1467" s="8" t="e">
        <f>VLOOKUP($D1467,설문!$C$2:$G$444,5,FALSE)</f>
        <v>#N/A</v>
      </c>
    </row>
    <row r="1468" spans="1:8">
      <c r="A1468" s="6" t="s">
        <v>3961</v>
      </c>
      <c r="B1468" s="7" t="s">
        <v>661</v>
      </c>
      <c r="C1468" s="7" t="s">
        <v>264</v>
      </c>
      <c r="D1468" s="7" t="s">
        <v>3975</v>
      </c>
      <c r="E1468" s="6" t="s">
        <v>3976</v>
      </c>
      <c r="F1468" s="8" t="str">
        <f>VLOOKUP($D1468,설문!$C$2:$G$444,3,FALSE)</f>
        <v>펀드매니저</v>
      </c>
      <c r="G1468" s="8" t="str">
        <f>VLOOKUP($D1468,설문!$C$2:$G$444,4,FALSE)</f>
        <v>금융회사,금융 유관기관,기타</v>
      </c>
      <c r="H1468" s="8" t="str">
        <f>VLOOKUP($D1468,설문!$C$2:$G$444,5,FALSE)</f>
        <v>국고채/통안채,회사채,단기자금,국채선물</v>
      </c>
    </row>
    <row r="1469" spans="1:8">
      <c r="A1469" s="6" t="s">
        <v>914</v>
      </c>
      <c r="B1469" s="7" t="s">
        <v>9</v>
      </c>
      <c r="C1469" s="7" t="s">
        <v>9</v>
      </c>
      <c r="D1469" s="7" t="s">
        <v>915</v>
      </c>
      <c r="E1469" s="6" t="s">
        <v>916</v>
      </c>
      <c r="F1469" s="8" t="e">
        <f>VLOOKUP($D1469,설문!$C$2:$G$444,3,FALSE)</f>
        <v>#N/A</v>
      </c>
      <c r="G1469" s="8" t="e">
        <f>VLOOKUP($D1469,설문!$C$2:$G$444,4,FALSE)</f>
        <v>#N/A</v>
      </c>
      <c r="H1469" s="8" t="e">
        <f>VLOOKUP($D1469,설문!$C$2:$G$444,5,FALSE)</f>
        <v>#N/A</v>
      </c>
    </row>
    <row r="1470" spans="1:8">
      <c r="A1470" s="6" t="s">
        <v>914</v>
      </c>
      <c r="B1470" s="7" t="s">
        <v>2161</v>
      </c>
      <c r="C1470" s="7" t="s">
        <v>3654</v>
      </c>
      <c r="D1470" s="7" t="s">
        <v>3655</v>
      </c>
      <c r="E1470" s="6" t="s">
        <v>3656</v>
      </c>
      <c r="F1470" s="8" t="e">
        <f>VLOOKUP($D1470,설문!$C$2:$G$444,3,FALSE)</f>
        <v>#N/A</v>
      </c>
      <c r="G1470" s="8" t="e">
        <f>VLOOKUP($D1470,설문!$C$2:$G$444,4,FALSE)</f>
        <v>#N/A</v>
      </c>
      <c r="H1470" s="8" t="e">
        <f>VLOOKUP($D1470,설문!$C$2:$G$444,5,FALSE)</f>
        <v>#N/A</v>
      </c>
    </row>
    <row r="1471" spans="1:8">
      <c r="A1471" s="6" t="s">
        <v>914</v>
      </c>
      <c r="B1471" s="7" t="s">
        <v>9</v>
      </c>
      <c r="C1471" s="7" t="s">
        <v>3657</v>
      </c>
      <c r="D1471" s="7" t="s">
        <v>3658</v>
      </c>
      <c r="E1471" s="6" t="s">
        <v>3659</v>
      </c>
      <c r="F1471" s="8" t="str">
        <f>VLOOKUP($D1471,설문!$C$2:$G$444,3,FALSE)</f>
        <v>펀드매니저</v>
      </c>
      <c r="G1471" s="8" t="str">
        <f>VLOOKUP($D1471,설문!$C$2:$G$444,4,FALSE)</f>
        <v>금융 유관기관</v>
      </c>
      <c r="H1471" s="8" t="str">
        <f>VLOOKUP($D1471,설문!$C$2:$G$444,5,FALSE)</f>
        <v>국고채/통안채,FX Spot &amp; FX Swap,FRA/이자율옵션,해외주식/지수,대체투자(부동산/인프라)</v>
      </c>
    </row>
    <row r="1472" spans="1:8">
      <c r="A1472" s="6" t="s">
        <v>1989</v>
      </c>
      <c r="B1472" s="7" t="s">
        <v>9</v>
      </c>
      <c r="C1472" s="7" t="s">
        <v>9</v>
      </c>
      <c r="D1472" s="7" t="s">
        <v>1990</v>
      </c>
      <c r="E1472" s="6" t="s">
        <v>1991</v>
      </c>
      <c r="F1472" s="8" t="str">
        <f>VLOOKUP($D1472,설문!$C$2:$G$444,3,FALSE)</f>
        <v>펀드매니저</v>
      </c>
      <c r="G1472" s="8" t="str">
        <f>VLOOKUP($D1472,설문!$C$2:$G$444,4,FALSE)</f>
        <v>개인고객</v>
      </c>
      <c r="H1472" s="8" t="str">
        <f>VLOOKUP($D1472,설문!$C$2:$G$444,5,FALSE)</f>
        <v>국고채/통안채,회사채</v>
      </c>
    </row>
    <row r="1473" spans="1:8">
      <c r="A1473" s="6" t="s">
        <v>111</v>
      </c>
      <c r="B1473" s="7" t="s">
        <v>112</v>
      </c>
      <c r="C1473" s="7" t="s">
        <v>112</v>
      </c>
      <c r="D1473" s="7" t="s">
        <v>113</v>
      </c>
      <c r="E1473" s="6" t="s">
        <v>114</v>
      </c>
      <c r="F1473" s="8" t="e">
        <f>VLOOKUP($D1473,설문!$C$2:$G$444,3,FALSE)</f>
        <v>#N/A</v>
      </c>
      <c r="G1473" s="8" t="e">
        <f>VLOOKUP($D1473,설문!$C$2:$G$444,4,FALSE)</f>
        <v>#N/A</v>
      </c>
      <c r="H1473" s="8" t="e">
        <f>VLOOKUP($D1473,설문!$C$2:$G$444,5,FALSE)</f>
        <v>#N/A</v>
      </c>
    </row>
    <row r="1474" spans="1:8">
      <c r="A1474" s="6" t="s">
        <v>111</v>
      </c>
      <c r="B1474" s="7" t="s">
        <v>112</v>
      </c>
      <c r="C1474" s="7" t="s">
        <v>112</v>
      </c>
      <c r="D1474" s="7" t="s">
        <v>511</v>
      </c>
      <c r="E1474" s="6" t="s">
        <v>512</v>
      </c>
      <c r="F1474" s="8" t="e">
        <f>VLOOKUP($D1474,설문!$C$2:$G$444,3,FALSE)</f>
        <v>#N/A</v>
      </c>
      <c r="G1474" s="8" t="e">
        <f>VLOOKUP($D1474,설문!$C$2:$G$444,4,FALSE)</f>
        <v>#N/A</v>
      </c>
      <c r="H1474" s="8" t="e">
        <f>VLOOKUP($D1474,설문!$C$2:$G$444,5,FALSE)</f>
        <v>#N/A</v>
      </c>
    </row>
    <row r="1475" spans="1:8">
      <c r="A1475" s="6" t="s">
        <v>111</v>
      </c>
      <c r="B1475" s="7" t="s">
        <v>1805</v>
      </c>
      <c r="C1475" s="7" t="s">
        <v>1805</v>
      </c>
      <c r="D1475" s="7" t="s">
        <v>1806</v>
      </c>
      <c r="E1475" s="6" t="s">
        <v>1807</v>
      </c>
      <c r="F1475" s="8" t="e">
        <f>VLOOKUP($D1475,설문!$C$2:$G$444,3,FALSE)</f>
        <v>#N/A</v>
      </c>
      <c r="G1475" s="8" t="e">
        <f>VLOOKUP($D1475,설문!$C$2:$G$444,4,FALSE)</f>
        <v>#N/A</v>
      </c>
      <c r="H1475" s="8" t="e">
        <f>VLOOKUP($D1475,설문!$C$2:$G$444,5,FALSE)</f>
        <v>#N/A</v>
      </c>
    </row>
    <row r="1476" spans="1:8">
      <c r="A1476" s="6" t="s">
        <v>111</v>
      </c>
      <c r="B1476" s="7" t="s">
        <v>6600</v>
      </c>
      <c r="C1476" s="7" t="s">
        <v>6601</v>
      </c>
      <c r="D1476" s="7" t="s">
        <v>6602</v>
      </c>
      <c r="E1476" s="6" t="s">
        <v>6603</v>
      </c>
      <c r="F1476" s="8" t="e">
        <f>VLOOKUP($D1476,설문!$C$2:$G$444,3,FALSE)</f>
        <v>#N/A</v>
      </c>
      <c r="G1476" s="8" t="e">
        <f>VLOOKUP($D1476,설문!$C$2:$G$444,4,FALSE)</f>
        <v>#N/A</v>
      </c>
      <c r="H1476" s="8" t="e">
        <f>VLOOKUP($D1476,설문!$C$2:$G$444,5,FALSE)</f>
        <v>#N/A</v>
      </c>
    </row>
    <row r="1477" spans="1:8">
      <c r="A1477" s="6" t="s">
        <v>111</v>
      </c>
      <c r="B1477" s="7" t="s">
        <v>6604</v>
      </c>
      <c r="C1477" s="7" t="s">
        <v>880</v>
      </c>
      <c r="D1477" s="7" t="s">
        <v>6605</v>
      </c>
      <c r="E1477" s="6" t="s">
        <v>4346</v>
      </c>
      <c r="F1477" s="8" t="e">
        <f>VLOOKUP($D1477,설문!$C$2:$G$444,3,FALSE)</f>
        <v>#N/A</v>
      </c>
      <c r="G1477" s="8" t="e">
        <f>VLOOKUP($D1477,설문!$C$2:$G$444,4,FALSE)</f>
        <v>#N/A</v>
      </c>
      <c r="H1477" s="8" t="e">
        <f>VLOOKUP($D1477,설문!$C$2:$G$444,5,FALSE)</f>
        <v>#N/A</v>
      </c>
    </row>
    <row r="1478" spans="1:8">
      <c r="A1478" s="6" t="s">
        <v>111</v>
      </c>
      <c r="B1478" s="7" t="s">
        <v>112</v>
      </c>
      <c r="C1478" s="7" t="s">
        <v>149</v>
      </c>
      <c r="D1478" s="7" t="s">
        <v>6606</v>
      </c>
      <c r="E1478" s="6" t="s">
        <v>6607</v>
      </c>
      <c r="F1478" s="8" t="e">
        <f>VLOOKUP($D1478,설문!$C$2:$G$444,3,FALSE)</f>
        <v>#N/A</v>
      </c>
      <c r="G1478" s="8" t="e">
        <f>VLOOKUP($D1478,설문!$C$2:$G$444,4,FALSE)</f>
        <v>#N/A</v>
      </c>
      <c r="H1478" s="8" t="e">
        <f>VLOOKUP($D1478,설문!$C$2:$G$444,5,FALSE)</f>
        <v>#N/A</v>
      </c>
    </row>
    <row r="1479" spans="1:8">
      <c r="A1479" s="6" t="s">
        <v>111</v>
      </c>
      <c r="B1479" s="7" t="s">
        <v>112</v>
      </c>
      <c r="C1479" s="7" t="s">
        <v>149</v>
      </c>
      <c r="D1479" s="7" t="s">
        <v>6608</v>
      </c>
      <c r="E1479" s="6" t="s">
        <v>6609</v>
      </c>
      <c r="F1479" s="8" t="str">
        <f>VLOOKUP($D1479,설문!$C$2:$G$444,3,FALSE)</f>
        <v>브로커</v>
      </c>
      <c r="G1479" s="8" t="str">
        <f>VLOOKUP($D1479,설문!$C$2:$G$444,4,FALSE)</f>
        <v>금융회사,기타</v>
      </c>
      <c r="H1479" s="8" t="str">
        <f>VLOOKUP($D1479,설문!$C$2:$G$444,5,FALSE)</f>
        <v>단기자금</v>
      </c>
    </row>
    <row r="1480" spans="1:8">
      <c r="A1480" s="6" t="s">
        <v>111</v>
      </c>
      <c r="B1480" s="7" t="s">
        <v>112</v>
      </c>
      <c r="C1480" s="7" t="s">
        <v>149</v>
      </c>
      <c r="D1480" s="7" t="s">
        <v>6610</v>
      </c>
      <c r="E1480" s="6" t="s">
        <v>6611</v>
      </c>
      <c r="F1480" s="8" t="e">
        <f>VLOOKUP($D1480,설문!$C$2:$G$444,3,FALSE)</f>
        <v>#N/A</v>
      </c>
      <c r="G1480" s="8" t="e">
        <f>VLOOKUP($D1480,설문!$C$2:$G$444,4,FALSE)</f>
        <v>#N/A</v>
      </c>
      <c r="H1480" s="8" t="e">
        <f>VLOOKUP($D1480,설문!$C$2:$G$444,5,FALSE)</f>
        <v>#N/A</v>
      </c>
    </row>
    <row r="1481" spans="1:8">
      <c r="A1481" s="6" t="s">
        <v>111</v>
      </c>
      <c r="B1481" s="7" t="s">
        <v>112</v>
      </c>
      <c r="C1481" s="7" t="s">
        <v>149</v>
      </c>
      <c r="D1481" s="7" t="s">
        <v>6612</v>
      </c>
      <c r="E1481" s="6" t="s">
        <v>2867</v>
      </c>
      <c r="F1481" s="8" t="e">
        <f>VLOOKUP($D1481,설문!$C$2:$G$444,3,FALSE)</f>
        <v>#N/A</v>
      </c>
      <c r="G1481" s="8" t="e">
        <f>VLOOKUP($D1481,설문!$C$2:$G$444,4,FALSE)</f>
        <v>#N/A</v>
      </c>
      <c r="H1481" s="8" t="e">
        <f>VLOOKUP($D1481,설문!$C$2:$G$444,5,FALSE)</f>
        <v>#N/A</v>
      </c>
    </row>
    <row r="1482" spans="1:8">
      <c r="A1482" s="6" t="s">
        <v>111</v>
      </c>
      <c r="B1482" s="7" t="s">
        <v>112</v>
      </c>
      <c r="C1482" s="7" t="s">
        <v>149</v>
      </c>
      <c r="D1482" s="7" t="s">
        <v>6613</v>
      </c>
      <c r="E1482" s="6" t="s">
        <v>6614</v>
      </c>
      <c r="F1482" s="8" t="e">
        <f>VLOOKUP($D1482,설문!$C$2:$G$444,3,FALSE)</f>
        <v>#N/A</v>
      </c>
      <c r="G1482" s="8" t="e">
        <f>VLOOKUP($D1482,설문!$C$2:$G$444,4,FALSE)</f>
        <v>#N/A</v>
      </c>
      <c r="H1482" s="8" t="e">
        <f>VLOOKUP($D1482,설문!$C$2:$G$444,5,FALSE)</f>
        <v>#N/A</v>
      </c>
    </row>
    <row r="1483" spans="1:8">
      <c r="A1483" s="6" t="s">
        <v>111</v>
      </c>
      <c r="B1483" s="7" t="s">
        <v>112</v>
      </c>
      <c r="C1483" s="7" t="s">
        <v>149</v>
      </c>
      <c r="D1483" s="7" t="s">
        <v>6615</v>
      </c>
      <c r="E1483" s="6" t="s">
        <v>1733</v>
      </c>
      <c r="F1483" s="8" t="e">
        <f>VLOOKUP($D1483,설문!$C$2:$G$444,3,FALSE)</f>
        <v>#N/A</v>
      </c>
      <c r="G1483" s="8" t="e">
        <f>VLOOKUP($D1483,설문!$C$2:$G$444,4,FALSE)</f>
        <v>#N/A</v>
      </c>
      <c r="H1483" s="8" t="e">
        <f>VLOOKUP($D1483,설문!$C$2:$G$444,5,FALSE)</f>
        <v>#N/A</v>
      </c>
    </row>
    <row r="1484" spans="1:8">
      <c r="A1484" s="6" t="s">
        <v>111</v>
      </c>
      <c r="B1484" s="7" t="s">
        <v>112</v>
      </c>
      <c r="C1484" s="7" t="s">
        <v>149</v>
      </c>
      <c r="D1484" s="7" t="s">
        <v>6616</v>
      </c>
      <c r="E1484" s="6" t="s">
        <v>6617</v>
      </c>
      <c r="F1484" s="8" t="str">
        <f>VLOOKUP($D1484,설문!$C$2:$G$444,3,FALSE)</f>
        <v>브로커</v>
      </c>
      <c r="G1484" s="8" t="str">
        <f>VLOOKUP($D1484,설문!$C$2:$G$444,4,FALSE)</f>
        <v>금융회사</v>
      </c>
      <c r="H1484" s="8" t="str">
        <f>VLOOKUP($D1484,설문!$C$2:$G$444,5,FALSE)</f>
        <v>국고채/통안채,회사채,원화 구조화채권</v>
      </c>
    </row>
    <row r="1485" spans="1:8">
      <c r="A1485" s="6" t="s">
        <v>111</v>
      </c>
      <c r="B1485" s="7" t="s">
        <v>112</v>
      </c>
      <c r="C1485" s="7" t="s">
        <v>149</v>
      </c>
      <c r="D1485" s="7" t="s">
        <v>6618</v>
      </c>
      <c r="E1485" s="6" t="s">
        <v>6619</v>
      </c>
      <c r="F1485" s="8" t="e">
        <f>VLOOKUP($D1485,설문!$C$2:$G$444,3,FALSE)</f>
        <v>#N/A</v>
      </c>
      <c r="G1485" s="8" t="e">
        <f>VLOOKUP($D1485,설문!$C$2:$G$444,4,FALSE)</f>
        <v>#N/A</v>
      </c>
      <c r="H1485" s="8" t="e">
        <f>VLOOKUP($D1485,설문!$C$2:$G$444,5,FALSE)</f>
        <v>#N/A</v>
      </c>
    </row>
    <row r="1486" spans="1:8">
      <c r="A1486" s="6" t="s">
        <v>111</v>
      </c>
      <c r="B1486" s="7" t="s">
        <v>2330</v>
      </c>
      <c r="C1486" s="7" t="s">
        <v>2330</v>
      </c>
      <c r="D1486" s="7" t="s">
        <v>6620</v>
      </c>
      <c r="E1486" s="6" t="s">
        <v>6621</v>
      </c>
      <c r="F1486" s="8" t="e">
        <f>VLOOKUP($D1486,설문!$C$2:$G$444,3,FALSE)</f>
        <v>#N/A</v>
      </c>
      <c r="G1486" s="8" t="e">
        <f>VLOOKUP($D1486,설문!$C$2:$G$444,4,FALSE)</f>
        <v>#N/A</v>
      </c>
      <c r="H1486" s="8" t="e">
        <f>VLOOKUP($D1486,설문!$C$2:$G$444,5,FALSE)</f>
        <v>#N/A</v>
      </c>
    </row>
    <row r="1487" spans="1:8">
      <c r="A1487" s="6" t="s">
        <v>111</v>
      </c>
      <c r="B1487" s="7" t="s">
        <v>6622</v>
      </c>
      <c r="C1487" s="7" t="s">
        <v>6623</v>
      </c>
      <c r="D1487" s="7" t="s">
        <v>6624</v>
      </c>
      <c r="E1487" s="6" t="s">
        <v>6625</v>
      </c>
      <c r="F1487" s="8" t="e">
        <f>VLOOKUP($D1487,설문!$C$2:$G$444,3,FALSE)</f>
        <v>#N/A</v>
      </c>
      <c r="G1487" s="8" t="e">
        <f>VLOOKUP($D1487,설문!$C$2:$G$444,4,FALSE)</f>
        <v>#N/A</v>
      </c>
      <c r="H1487" s="8" t="e">
        <f>VLOOKUP($D1487,설문!$C$2:$G$444,5,FALSE)</f>
        <v>#N/A</v>
      </c>
    </row>
    <row r="1488" spans="1:8">
      <c r="A1488" s="6" t="s">
        <v>111</v>
      </c>
      <c r="B1488" s="7" t="s">
        <v>162</v>
      </c>
      <c r="C1488" s="7" t="s">
        <v>162</v>
      </c>
      <c r="D1488" s="7" t="s">
        <v>6626</v>
      </c>
      <c r="E1488" s="6" t="s">
        <v>2117</v>
      </c>
      <c r="F1488" s="8" t="e">
        <f>VLOOKUP($D1488,설문!$C$2:$G$444,3,FALSE)</f>
        <v>#N/A</v>
      </c>
      <c r="G1488" s="8" t="e">
        <f>VLOOKUP($D1488,설문!$C$2:$G$444,4,FALSE)</f>
        <v>#N/A</v>
      </c>
      <c r="H1488" s="8" t="e">
        <f>VLOOKUP($D1488,설문!$C$2:$G$444,5,FALSE)</f>
        <v>#N/A</v>
      </c>
    </row>
    <row r="1489" spans="1:8">
      <c r="A1489" s="6" t="s">
        <v>111</v>
      </c>
      <c r="B1489" s="7" t="s">
        <v>264</v>
      </c>
      <c r="C1489" s="7" t="s">
        <v>650</v>
      </c>
      <c r="D1489" s="7" t="s">
        <v>6627</v>
      </c>
      <c r="E1489" s="6" t="s">
        <v>6628</v>
      </c>
      <c r="F1489" s="8" t="e">
        <f>VLOOKUP($D1489,설문!$C$2:$G$444,3,FALSE)</f>
        <v>#N/A</v>
      </c>
      <c r="G1489" s="8" t="e">
        <f>VLOOKUP($D1489,설문!$C$2:$G$444,4,FALSE)</f>
        <v>#N/A</v>
      </c>
      <c r="H1489" s="8" t="e">
        <f>VLOOKUP($D1489,설문!$C$2:$G$444,5,FALSE)</f>
        <v>#N/A</v>
      </c>
    </row>
    <row r="1490" spans="1:8">
      <c r="A1490" s="6" t="s">
        <v>111</v>
      </c>
      <c r="B1490" s="7" t="s">
        <v>264</v>
      </c>
      <c r="C1490" s="7" t="s">
        <v>650</v>
      </c>
      <c r="D1490" s="7" t="s">
        <v>6629</v>
      </c>
      <c r="E1490" s="6" t="s">
        <v>6630</v>
      </c>
      <c r="F1490" s="8" t="e">
        <f>VLOOKUP($D1490,설문!$C$2:$G$444,3,FALSE)</f>
        <v>#N/A</v>
      </c>
      <c r="G1490" s="8" t="e">
        <f>VLOOKUP($D1490,설문!$C$2:$G$444,4,FALSE)</f>
        <v>#N/A</v>
      </c>
      <c r="H1490" s="8" t="e">
        <f>VLOOKUP($D1490,설문!$C$2:$G$444,5,FALSE)</f>
        <v>#N/A</v>
      </c>
    </row>
    <row r="1491" spans="1:8">
      <c r="A1491" s="6" t="s">
        <v>890</v>
      </c>
      <c r="B1491" s="7" t="s">
        <v>891</v>
      </c>
      <c r="C1491" s="7" t="s">
        <v>892</v>
      </c>
      <c r="D1491" s="7" t="s">
        <v>893</v>
      </c>
      <c r="E1491" s="6" t="s">
        <v>894</v>
      </c>
      <c r="F1491" s="8" t="e">
        <f>VLOOKUP($D1491,설문!$C$2:$G$444,3,FALSE)</f>
        <v>#N/A</v>
      </c>
      <c r="G1491" s="8" t="e">
        <f>VLOOKUP($D1491,설문!$C$2:$G$444,4,FALSE)</f>
        <v>#N/A</v>
      </c>
      <c r="H1491" s="8" t="e">
        <f>VLOOKUP($D1491,설문!$C$2:$G$444,5,FALSE)</f>
        <v>#N/A</v>
      </c>
    </row>
    <row r="1492" spans="1:8">
      <c r="A1492" s="6" t="s">
        <v>890</v>
      </c>
      <c r="B1492" s="7" t="s">
        <v>3790</v>
      </c>
      <c r="C1492" s="7" t="s">
        <v>3791</v>
      </c>
      <c r="D1492" s="7" t="s">
        <v>3792</v>
      </c>
      <c r="E1492" s="6" t="s">
        <v>3793</v>
      </c>
      <c r="F1492" s="8" t="str">
        <f>VLOOKUP($D1492,설문!$C$2:$G$444,3,FALSE)</f>
        <v>펀드매니저,분석 및 전략</v>
      </c>
      <c r="G1492" s="8" t="str">
        <f>VLOOKUP($D1492,설문!$C$2:$G$444,4,FALSE)</f>
        <v>금융 유관기관</v>
      </c>
      <c r="H1492" s="8" t="str">
        <f>VLOOKUP($D1492,설문!$C$2:$G$444,5,FALSE)</f>
        <v>국고채/통안채,회사채</v>
      </c>
    </row>
    <row r="1493" spans="1:8">
      <c r="A1493" s="6" t="s">
        <v>890</v>
      </c>
      <c r="B1493" s="7" t="s">
        <v>3790</v>
      </c>
      <c r="C1493" s="7" t="s">
        <v>3794</v>
      </c>
      <c r="D1493" s="7" t="s">
        <v>3795</v>
      </c>
      <c r="E1493" s="6" t="s">
        <v>369</v>
      </c>
      <c r="F1493" s="8" t="e">
        <f>VLOOKUP($D1493,설문!$C$2:$G$444,3,FALSE)</f>
        <v>#N/A</v>
      </c>
      <c r="G1493" s="8" t="e">
        <f>VLOOKUP($D1493,설문!$C$2:$G$444,4,FALSE)</f>
        <v>#N/A</v>
      </c>
      <c r="H1493" s="8" t="e">
        <f>VLOOKUP($D1493,설문!$C$2:$G$444,5,FALSE)</f>
        <v>#N/A</v>
      </c>
    </row>
    <row r="1494" spans="1:8">
      <c r="A1494" s="6" t="s">
        <v>890</v>
      </c>
      <c r="B1494" s="7" t="s">
        <v>3790</v>
      </c>
      <c r="C1494" s="7" t="s">
        <v>3790</v>
      </c>
      <c r="D1494" s="7" t="s">
        <v>3796</v>
      </c>
      <c r="E1494" s="6" t="s">
        <v>3797</v>
      </c>
      <c r="F1494" s="8" t="e">
        <f>VLOOKUP($D1494,설문!$C$2:$G$444,3,FALSE)</f>
        <v>#N/A</v>
      </c>
      <c r="G1494" s="8" t="e">
        <f>VLOOKUP($D1494,설문!$C$2:$G$444,4,FALSE)</f>
        <v>#N/A</v>
      </c>
      <c r="H1494" s="8" t="e">
        <f>VLOOKUP($D1494,설문!$C$2:$G$444,5,FALSE)</f>
        <v>#N/A</v>
      </c>
    </row>
    <row r="1495" spans="1:8">
      <c r="A1495" s="6" t="s">
        <v>890</v>
      </c>
      <c r="B1495" s="7" t="s">
        <v>414</v>
      </c>
      <c r="C1495" s="7" t="s">
        <v>414</v>
      </c>
      <c r="D1495" s="7" t="s">
        <v>3798</v>
      </c>
      <c r="E1495" s="6" t="s">
        <v>3799</v>
      </c>
      <c r="F1495" s="8" t="e">
        <f>VLOOKUP($D1495,설문!$C$2:$G$444,3,FALSE)</f>
        <v>#N/A</v>
      </c>
      <c r="G1495" s="8" t="e">
        <f>VLOOKUP($D1495,설문!$C$2:$G$444,4,FALSE)</f>
        <v>#N/A</v>
      </c>
      <c r="H1495" s="8" t="e">
        <f>VLOOKUP($D1495,설문!$C$2:$G$444,5,FALSE)</f>
        <v>#N/A</v>
      </c>
    </row>
    <row r="1496" spans="1:8">
      <c r="A1496" s="6" t="s">
        <v>890</v>
      </c>
      <c r="B1496" s="7" t="s">
        <v>3790</v>
      </c>
      <c r="C1496" s="7" t="s">
        <v>2915</v>
      </c>
      <c r="D1496" s="7" t="s">
        <v>3800</v>
      </c>
      <c r="E1496" s="6" t="s">
        <v>3801</v>
      </c>
      <c r="F1496" s="8" t="str">
        <f>VLOOKUP($D1496,설문!$C$2:$G$444,3,FALSE)</f>
        <v>리스크관리(미들),백오피스</v>
      </c>
      <c r="G1496" s="8" t="str">
        <f>VLOOKUP($D1496,설문!$C$2:$G$444,4,FALSE)</f>
        <v>금융회사,금융 유관기관</v>
      </c>
      <c r="H1496" s="8" t="str">
        <f>VLOOKUP($D1496,설문!$C$2:$G$444,5,FALSE)</f>
        <v>대체투자(부동산/인프라)</v>
      </c>
    </row>
    <row r="1497" spans="1:8">
      <c r="A1497" s="6" t="s">
        <v>890</v>
      </c>
      <c r="B1497" s="7" t="s">
        <v>661</v>
      </c>
      <c r="C1497" s="7" t="s">
        <v>414</v>
      </c>
      <c r="D1497" s="7" t="s">
        <v>3802</v>
      </c>
      <c r="E1497" s="6" t="s">
        <v>3803</v>
      </c>
      <c r="F1497" s="8" t="e">
        <f>VLOOKUP($D1497,설문!$C$2:$G$444,3,FALSE)</f>
        <v>#N/A</v>
      </c>
      <c r="G1497" s="8" t="e">
        <f>VLOOKUP($D1497,설문!$C$2:$G$444,4,FALSE)</f>
        <v>#N/A</v>
      </c>
      <c r="H1497" s="8" t="e">
        <f>VLOOKUP($D1497,설문!$C$2:$G$444,5,FALSE)</f>
        <v>#N/A</v>
      </c>
    </row>
    <row r="1498" spans="1:8">
      <c r="A1498" s="6" t="s">
        <v>890</v>
      </c>
      <c r="B1498" s="7" t="s">
        <v>661</v>
      </c>
      <c r="C1498" s="7" t="s">
        <v>78</v>
      </c>
      <c r="D1498" s="7" t="s">
        <v>3804</v>
      </c>
      <c r="E1498" s="6" t="s">
        <v>3805</v>
      </c>
      <c r="F1498" s="8" t="str">
        <f>VLOOKUP($D1498,설문!$C$2:$G$444,3,FALSE)</f>
        <v>펀드매니저</v>
      </c>
      <c r="G1498" s="8" t="str">
        <f>VLOOKUP($D1498,설문!$C$2:$G$444,4,FALSE)</f>
        <v>금융회사</v>
      </c>
      <c r="H1498" s="8" t="str">
        <f>VLOOKUP($D1498,설문!$C$2:$G$444,5,FALSE)</f>
        <v>국내주식/지수,국내주식/지수관련파생</v>
      </c>
    </row>
    <row r="1499" spans="1:8">
      <c r="A1499" s="6" t="s">
        <v>890</v>
      </c>
      <c r="B1499" s="7" t="s">
        <v>661</v>
      </c>
      <c r="C1499" s="7" t="s">
        <v>78</v>
      </c>
      <c r="D1499" s="7" t="s">
        <v>3806</v>
      </c>
      <c r="E1499" s="6" t="s">
        <v>3807</v>
      </c>
      <c r="F1499" s="8" t="e">
        <f>VLOOKUP($D1499,설문!$C$2:$G$444,3,FALSE)</f>
        <v>#N/A</v>
      </c>
      <c r="G1499" s="8" t="e">
        <f>VLOOKUP($D1499,설문!$C$2:$G$444,4,FALSE)</f>
        <v>#N/A</v>
      </c>
      <c r="H1499" s="8" t="e">
        <f>VLOOKUP($D1499,설문!$C$2:$G$444,5,FALSE)</f>
        <v>#N/A</v>
      </c>
    </row>
    <row r="1500" spans="1:8">
      <c r="A1500" s="6" t="s">
        <v>890</v>
      </c>
      <c r="B1500" s="7" t="s">
        <v>661</v>
      </c>
      <c r="C1500" s="7" t="s">
        <v>78</v>
      </c>
      <c r="D1500" s="7" t="s">
        <v>3808</v>
      </c>
      <c r="E1500" s="6" t="s">
        <v>3809</v>
      </c>
      <c r="F1500" s="8" t="e">
        <f>VLOOKUP($D1500,설문!$C$2:$G$444,3,FALSE)</f>
        <v>#N/A</v>
      </c>
      <c r="G1500" s="8" t="e">
        <f>VLOOKUP($D1500,설문!$C$2:$G$444,4,FALSE)</f>
        <v>#N/A</v>
      </c>
      <c r="H1500" s="8" t="e">
        <f>VLOOKUP($D1500,설문!$C$2:$G$444,5,FALSE)</f>
        <v>#N/A</v>
      </c>
    </row>
    <row r="1501" spans="1:8">
      <c r="A1501" s="6" t="s">
        <v>890</v>
      </c>
      <c r="B1501" s="7" t="s">
        <v>661</v>
      </c>
      <c r="C1501" s="7" t="s">
        <v>414</v>
      </c>
      <c r="D1501" s="7" t="s">
        <v>3810</v>
      </c>
      <c r="E1501" s="6" t="s">
        <v>3811</v>
      </c>
      <c r="F1501" s="8" t="str">
        <f>VLOOKUP($D1501,설문!$C$2:$G$444,3,FALSE)</f>
        <v>리스크관리(미들)</v>
      </c>
      <c r="G1501" s="8" t="str">
        <f>VLOOKUP($D1501,설문!$C$2:$G$444,4,FALSE)</f>
        <v>금융 유관기관</v>
      </c>
      <c r="H1501" s="8" t="str">
        <f>VLOOKUP($D1501,설문!$C$2:$G$444,5,FALSE)</f>
        <v>국내주식/지수,국고채/통안채,원화 구조화채권,국내주식/지수관련파생,외화 구조화채권,ETF/ETN,ELS/DLS,대체투자(부동산/인프라)</v>
      </c>
    </row>
    <row r="1502" spans="1:8">
      <c r="A1502" s="6" t="s">
        <v>830</v>
      </c>
      <c r="B1502" s="7" t="s">
        <v>831</v>
      </c>
      <c r="C1502" s="7" t="s">
        <v>831</v>
      </c>
      <c r="D1502" s="7" t="s">
        <v>832</v>
      </c>
      <c r="E1502" s="6" t="s">
        <v>833</v>
      </c>
      <c r="F1502" s="8" t="e">
        <f>VLOOKUP($D1502,설문!$C$2:$G$444,3,FALSE)</f>
        <v>#N/A</v>
      </c>
      <c r="G1502" s="8" t="e">
        <f>VLOOKUP($D1502,설문!$C$2:$G$444,4,FALSE)</f>
        <v>#N/A</v>
      </c>
      <c r="H1502" s="8" t="e">
        <f>VLOOKUP($D1502,설문!$C$2:$G$444,5,FALSE)</f>
        <v>#N/A</v>
      </c>
    </row>
    <row r="1503" spans="1:8">
      <c r="A1503" s="6" t="s">
        <v>830</v>
      </c>
      <c r="B1503" s="7" t="s">
        <v>831</v>
      </c>
      <c r="C1503" s="7" t="s">
        <v>831</v>
      </c>
      <c r="D1503" s="7" t="s">
        <v>4428</v>
      </c>
      <c r="E1503" s="6" t="s">
        <v>2187</v>
      </c>
      <c r="F1503" s="8" t="e">
        <f>VLOOKUP($D1503,설문!$C$2:$G$444,3,FALSE)</f>
        <v>#N/A</v>
      </c>
      <c r="G1503" s="8" t="e">
        <f>VLOOKUP($D1503,설문!$C$2:$G$444,4,FALSE)</f>
        <v>#N/A</v>
      </c>
      <c r="H1503" s="8" t="e">
        <f>VLOOKUP($D1503,설문!$C$2:$G$444,5,FALSE)</f>
        <v>#N/A</v>
      </c>
    </row>
    <row r="1504" spans="1:8">
      <c r="A1504" s="6" t="s">
        <v>830</v>
      </c>
      <c r="B1504" s="7" t="s">
        <v>4429</v>
      </c>
      <c r="C1504" s="7" t="s">
        <v>4429</v>
      </c>
      <c r="D1504" s="7" t="s">
        <v>4430</v>
      </c>
      <c r="E1504" s="6" t="s">
        <v>58</v>
      </c>
      <c r="F1504" s="8" t="e">
        <f>VLOOKUP($D1504,설문!$C$2:$G$444,3,FALSE)</f>
        <v>#N/A</v>
      </c>
      <c r="G1504" s="8" t="e">
        <f>VLOOKUP($D1504,설문!$C$2:$G$444,4,FALSE)</f>
        <v>#N/A</v>
      </c>
      <c r="H1504" s="8" t="e">
        <f>VLOOKUP($D1504,설문!$C$2:$G$444,5,FALSE)</f>
        <v>#N/A</v>
      </c>
    </row>
    <row r="1505" spans="1:8">
      <c r="A1505" s="6" t="s">
        <v>830</v>
      </c>
      <c r="B1505" s="7" t="s">
        <v>2217</v>
      </c>
      <c r="C1505" s="7" t="s">
        <v>2217</v>
      </c>
      <c r="D1505" s="7" t="s">
        <v>4431</v>
      </c>
      <c r="E1505" s="6" t="s">
        <v>4432</v>
      </c>
      <c r="F1505" s="8" t="e">
        <f>VLOOKUP($D1505,설문!$C$2:$G$444,3,FALSE)</f>
        <v>#N/A</v>
      </c>
      <c r="G1505" s="8" t="e">
        <f>VLOOKUP($D1505,설문!$C$2:$G$444,4,FALSE)</f>
        <v>#N/A</v>
      </c>
      <c r="H1505" s="8" t="e">
        <f>VLOOKUP($D1505,설문!$C$2:$G$444,5,FALSE)</f>
        <v>#N/A</v>
      </c>
    </row>
    <row r="1506" spans="1:8">
      <c r="A1506" s="6" t="s">
        <v>55</v>
      </c>
      <c r="B1506" s="7" t="s">
        <v>56</v>
      </c>
      <c r="C1506" s="7" t="s">
        <v>56</v>
      </c>
      <c r="D1506" s="7" t="s">
        <v>57</v>
      </c>
      <c r="E1506" s="6" t="s">
        <v>58</v>
      </c>
      <c r="F1506" s="8" t="e">
        <f>VLOOKUP($D1506,설문!$C$2:$G$444,3,FALSE)</f>
        <v>#N/A</v>
      </c>
      <c r="G1506" s="8" t="e">
        <f>VLOOKUP($D1506,설문!$C$2:$G$444,4,FALSE)</f>
        <v>#N/A</v>
      </c>
      <c r="H1506" s="8" t="e">
        <f>VLOOKUP($D1506,설문!$C$2:$G$444,5,FALSE)</f>
        <v>#N/A</v>
      </c>
    </row>
    <row r="1507" spans="1:8">
      <c r="A1507" s="6" t="s">
        <v>55</v>
      </c>
      <c r="B1507" s="7" t="s">
        <v>149</v>
      </c>
      <c r="C1507" s="7" t="s">
        <v>149</v>
      </c>
      <c r="D1507" s="7" t="s">
        <v>150</v>
      </c>
      <c r="E1507" s="6" t="s">
        <v>151</v>
      </c>
      <c r="F1507" s="8" t="e">
        <f>VLOOKUP($D1507,설문!$C$2:$G$444,3,FALSE)</f>
        <v>#N/A</v>
      </c>
      <c r="G1507" s="8" t="e">
        <f>VLOOKUP($D1507,설문!$C$2:$G$444,4,FALSE)</f>
        <v>#N/A</v>
      </c>
      <c r="H1507" s="8" t="e">
        <f>VLOOKUP($D1507,설문!$C$2:$G$444,5,FALSE)</f>
        <v>#N/A</v>
      </c>
    </row>
    <row r="1508" spans="1:8">
      <c r="A1508" s="6" t="s">
        <v>55</v>
      </c>
      <c r="B1508" s="7" t="s">
        <v>304</v>
      </c>
      <c r="C1508" s="7" t="s">
        <v>304</v>
      </c>
      <c r="D1508" s="7" t="s">
        <v>305</v>
      </c>
      <c r="E1508" s="6" t="s">
        <v>306</v>
      </c>
      <c r="F1508" s="8" t="e">
        <f>VLOOKUP($D1508,설문!$C$2:$G$444,3,FALSE)</f>
        <v>#N/A</v>
      </c>
      <c r="G1508" s="8" t="e">
        <f>VLOOKUP($D1508,설문!$C$2:$G$444,4,FALSE)</f>
        <v>#N/A</v>
      </c>
      <c r="H1508" s="8" t="e">
        <f>VLOOKUP($D1508,설문!$C$2:$G$444,5,FALSE)</f>
        <v>#N/A</v>
      </c>
    </row>
    <row r="1509" spans="1:8">
      <c r="A1509" s="6" t="s">
        <v>55</v>
      </c>
      <c r="B1509" s="7" t="s">
        <v>149</v>
      </c>
      <c r="C1509" s="7" t="s">
        <v>149</v>
      </c>
      <c r="D1509" s="7" t="s">
        <v>499</v>
      </c>
      <c r="E1509" s="6" t="s">
        <v>500</v>
      </c>
      <c r="F1509" s="8" t="e">
        <f>VLOOKUP($D1509,설문!$C$2:$G$444,3,FALSE)</f>
        <v>#N/A</v>
      </c>
      <c r="G1509" s="8" t="e">
        <f>VLOOKUP($D1509,설문!$C$2:$G$444,4,FALSE)</f>
        <v>#N/A</v>
      </c>
      <c r="H1509" s="8" t="e">
        <f>VLOOKUP($D1509,설문!$C$2:$G$444,5,FALSE)</f>
        <v>#N/A</v>
      </c>
    </row>
    <row r="1510" spans="1:8">
      <c r="A1510" s="6" t="s">
        <v>55</v>
      </c>
      <c r="B1510" s="7" t="s">
        <v>501</v>
      </c>
      <c r="C1510" s="7" t="s">
        <v>501</v>
      </c>
      <c r="D1510" s="7" t="s">
        <v>502</v>
      </c>
      <c r="E1510" s="6" t="s">
        <v>503</v>
      </c>
      <c r="F1510" s="8" t="e">
        <f>VLOOKUP($D1510,설문!$C$2:$G$444,3,FALSE)</f>
        <v>#N/A</v>
      </c>
      <c r="G1510" s="8" t="e">
        <f>VLOOKUP($D1510,설문!$C$2:$G$444,4,FALSE)</f>
        <v>#N/A</v>
      </c>
      <c r="H1510" s="8" t="e">
        <f>VLOOKUP($D1510,설문!$C$2:$G$444,5,FALSE)</f>
        <v>#N/A</v>
      </c>
    </row>
    <row r="1511" spans="1:8">
      <c r="A1511" s="6" t="s">
        <v>55</v>
      </c>
      <c r="B1511" s="7" t="s">
        <v>587</v>
      </c>
      <c r="C1511" s="7" t="s">
        <v>587</v>
      </c>
      <c r="D1511" s="7" t="s">
        <v>588</v>
      </c>
      <c r="E1511" s="6" t="s">
        <v>472</v>
      </c>
      <c r="F1511" s="8" t="e">
        <f>VLOOKUP($D1511,설문!$C$2:$G$444,3,FALSE)</f>
        <v>#N/A</v>
      </c>
      <c r="G1511" s="8" t="e">
        <f>VLOOKUP($D1511,설문!$C$2:$G$444,4,FALSE)</f>
        <v>#N/A</v>
      </c>
      <c r="H1511" s="8" t="e">
        <f>VLOOKUP($D1511,설문!$C$2:$G$444,5,FALSE)</f>
        <v>#N/A</v>
      </c>
    </row>
    <row r="1512" spans="1:8">
      <c r="A1512" s="6" t="s">
        <v>55</v>
      </c>
      <c r="B1512" s="7" t="s">
        <v>877</v>
      </c>
      <c r="C1512" s="7" t="s">
        <v>877</v>
      </c>
      <c r="D1512" s="7" t="s">
        <v>878</v>
      </c>
      <c r="E1512" s="6" t="s">
        <v>879</v>
      </c>
      <c r="F1512" s="8" t="e">
        <f>VLOOKUP($D1512,설문!$C$2:$G$444,3,FALSE)</f>
        <v>#N/A</v>
      </c>
      <c r="G1512" s="8" t="e">
        <f>VLOOKUP($D1512,설문!$C$2:$G$444,4,FALSE)</f>
        <v>#N/A</v>
      </c>
      <c r="H1512" s="8" t="e">
        <f>VLOOKUP($D1512,설문!$C$2:$G$444,5,FALSE)</f>
        <v>#N/A</v>
      </c>
    </row>
    <row r="1513" spans="1:8">
      <c r="A1513" s="6" t="s">
        <v>55</v>
      </c>
      <c r="B1513" s="7" t="s">
        <v>917</v>
      </c>
      <c r="C1513" s="7" t="s">
        <v>917</v>
      </c>
      <c r="D1513" s="7" t="s">
        <v>918</v>
      </c>
      <c r="E1513" s="6" t="s">
        <v>919</v>
      </c>
      <c r="F1513" s="8" t="e">
        <f>VLOOKUP($D1513,설문!$C$2:$G$444,3,FALSE)</f>
        <v>#N/A</v>
      </c>
      <c r="G1513" s="8" t="e">
        <f>VLOOKUP($D1513,설문!$C$2:$G$444,4,FALSE)</f>
        <v>#N/A</v>
      </c>
      <c r="H1513" s="8" t="e">
        <f>VLOOKUP($D1513,설문!$C$2:$G$444,5,FALSE)</f>
        <v>#N/A</v>
      </c>
    </row>
    <row r="1514" spans="1:8">
      <c r="A1514" s="6" t="s">
        <v>55</v>
      </c>
      <c r="B1514" s="7" t="s">
        <v>917</v>
      </c>
      <c r="C1514" s="7" t="s">
        <v>917</v>
      </c>
      <c r="D1514" s="7" t="s">
        <v>925</v>
      </c>
      <c r="E1514" s="6" t="s">
        <v>926</v>
      </c>
      <c r="F1514" s="8" t="str">
        <f>VLOOKUP($D1514,설문!$C$2:$G$444,3,FALSE)</f>
        <v>펀드매니저</v>
      </c>
      <c r="G1514" s="8" t="str">
        <f>VLOOKUP($D1514,설문!$C$2:$G$444,4,FALSE)</f>
        <v>금융회사,금융 유관기관</v>
      </c>
      <c r="H1514" s="8" t="str">
        <f>VLOOKUP($D1514,설문!$C$2:$G$444,5,FALSE)</f>
        <v>국고채/통안채,회사채,소액채권,RP,단기자금,국채선물,원화 구조화채권,대체투자(부동산/인프라)</v>
      </c>
    </row>
    <row r="1515" spans="1:8">
      <c r="A1515" s="6" t="s">
        <v>55</v>
      </c>
      <c r="B1515" s="7" t="s">
        <v>149</v>
      </c>
      <c r="C1515" s="7" t="s">
        <v>149</v>
      </c>
      <c r="D1515" s="7" t="s">
        <v>1037</v>
      </c>
      <c r="E1515" s="6" t="s">
        <v>1038</v>
      </c>
      <c r="F1515" s="8" t="e">
        <f>VLOOKUP($D1515,설문!$C$2:$G$444,3,FALSE)</f>
        <v>#N/A</v>
      </c>
      <c r="G1515" s="8" t="e">
        <f>VLOOKUP($D1515,설문!$C$2:$G$444,4,FALSE)</f>
        <v>#N/A</v>
      </c>
      <c r="H1515" s="8" t="e">
        <f>VLOOKUP($D1515,설문!$C$2:$G$444,5,FALSE)</f>
        <v>#N/A</v>
      </c>
    </row>
    <row r="1516" spans="1:8">
      <c r="A1516" s="6" t="s">
        <v>55</v>
      </c>
      <c r="B1516" s="7" t="s">
        <v>149</v>
      </c>
      <c r="C1516" s="7" t="s">
        <v>149</v>
      </c>
      <c r="D1516" s="7" t="s">
        <v>1039</v>
      </c>
      <c r="E1516" s="6" t="s">
        <v>1040</v>
      </c>
      <c r="F1516" s="8" t="e">
        <f>VLOOKUP($D1516,설문!$C$2:$G$444,3,FALSE)</f>
        <v>#N/A</v>
      </c>
      <c r="G1516" s="8" t="e">
        <f>VLOOKUP($D1516,설문!$C$2:$G$444,4,FALSE)</f>
        <v>#N/A</v>
      </c>
      <c r="H1516" s="8" t="e">
        <f>VLOOKUP($D1516,설문!$C$2:$G$444,5,FALSE)</f>
        <v>#N/A</v>
      </c>
    </row>
    <row r="1517" spans="1:8">
      <c r="A1517" s="6" t="s">
        <v>55</v>
      </c>
      <c r="B1517" s="7" t="s">
        <v>697</v>
      </c>
      <c r="C1517" s="7" t="s">
        <v>697</v>
      </c>
      <c r="D1517" s="7" t="s">
        <v>1317</v>
      </c>
      <c r="E1517" s="6" t="s">
        <v>1318</v>
      </c>
      <c r="F1517" s="8" t="str">
        <f>VLOOKUP($D1517,설문!$C$2:$G$444,3,FALSE)</f>
        <v>트레이더</v>
      </c>
      <c r="G1517" s="8" t="str">
        <f>VLOOKUP($D1517,설문!$C$2:$G$444,4,FALSE)</f>
        <v>금융회사</v>
      </c>
      <c r="H1517" s="8" t="str">
        <f>VLOOKUP($D1517,설문!$C$2:$G$444,5,FALSE)</f>
        <v>국내주식/지수</v>
      </c>
    </row>
    <row r="1518" spans="1:8">
      <c r="A1518" s="6" t="s">
        <v>55</v>
      </c>
      <c r="B1518" s="7" t="s">
        <v>697</v>
      </c>
      <c r="C1518" s="7" t="s">
        <v>697</v>
      </c>
      <c r="D1518" s="7" t="s">
        <v>1566</v>
      </c>
      <c r="E1518" s="6" t="s">
        <v>1567</v>
      </c>
      <c r="F1518" s="8" t="e">
        <f>VLOOKUP($D1518,설문!$C$2:$G$444,3,FALSE)</f>
        <v>#N/A</v>
      </c>
      <c r="G1518" s="8" t="e">
        <f>VLOOKUP($D1518,설문!$C$2:$G$444,4,FALSE)</f>
        <v>#N/A</v>
      </c>
      <c r="H1518" s="8" t="e">
        <f>VLOOKUP($D1518,설문!$C$2:$G$444,5,FALSE)</f>
        <v>#N/A</v>
      </c>
    </row>
    <row r="1519" spans="1:8">
      <c r="A1519" s="6" t="s">
        <v>55</v>
      </c>
      <c r="B1519" s="7" t="s">
        <v>149</v>
      </c>
      <c r="C1519" s="7" t="s">
        <v>149</v>
      </c>
      <c r="D1519" s="7" t="s">
        <v>1657</v>
      </c>
      <c r="E1519" s="6" t="s">
        <v>1658</v>
      </c>
      <c r="F1519" s="8" t="e">
        <f>VLOOKUP($D1519,설문!$C$2:$G$444,3,FALSE)</f>
        <v>#N/A</v>
      </c>
      <c r="G1519" s="8" t="e">
        <f>VLOOKUP($D1519,설문!$C$2:$G$444,4,FALSE)</f>
        <v>#N/A</v>
      </c>
      <c r="H1519" s="8" t="e">
        <f>VLOOKUP($D1519,설문!$C$2:$G$444,5,FALSE)</f>
        <v>#N/A</v>
      </c>
    </row>
    <row r="1520" spans="1:8">
      <c r="A1520" s="6" t="s">
        <v>55</v>
      </c>
      <c r="B1520" s="7" t="s">
        <v>149</v>
      </c>
      <c r="C1520" s="7" t="s">
        <v>149</v>
      </c>
      <c r="D1520" s="7" t="s">
        <v>1901</v>
      </c>
      <c r="E1520" s="6" t="s">
        <v>1902</v>
      </c>
      <c r="F1520" s="8" t="e">
        <f>VLOOKUP($D1520,설문!$C$2:$G$444,3,FALSE)</f>
        <v>#N/A</v>
      </c>
      <c r="G1520" s="8" t="e">
        <f>VLOOKUP($D1520,설문!$C$2:$G$444,4,FALSE)</f>
        <v>#N/A</v>
      </c>
      <c r="H1520" s="8" t="e">
        <f>VLOOKUP($D1520,설문!$C$2:$G$444,5,FALSE)</f>
        <v>#N/A</v>
      </c>
    </row>
    <row r="1521" spans="1:8">
      <c r="A1521" s="6" t="s">
        <v>55</v>
      </c>
      <c r="B1521" s="7" t="s">
        <v>988</v>
      </c>
      <c r="C1521" s="7" t="s">
        <v>988</v>
      </c>
      <c r="D1521" s="7" t="s">
        <v>6801</v>
      </c>
      <c r="E1521" s="6" t="s">
        <v>6802</v>
      </c>
      <c r="F1521" s="8" t="str">
        <f>VLOOKUP($D1521,설문!$C$2:$G$444,3,FALSE)</f>
        <v>펀드매니저,세일즈</v>
      </c>
      <c r="G1521" s="8" t="str">
        <f>VLOOKUP($D1521,설문!$C$2:$G$444,4,FALSE)</f>
        <v>금융회사,기타</v>
      </c>
      <c r="H1521" s="8" t="str">
        <f>VLOOKUP($D1521,설문!$C$2:$G$444,5,FALSE)</f>
        <v>국고채/통안채,회사채,단기자금,Korean Paper,외화채권(KP제외)</v>
      </c>
    </row>
    <row r="1522" spans="1:8">
      <c r="A1522" s="6" t="s">
        <v>55</v>
      </c>
      <c r="B1522" s="7" t="s">
        <v>6803</v>
      </c>
      <c r="C1522" s="7" t="s">
        <v>6803</v>
      </c>
      <c r="D1522" s="7" t="s">
        <v>6804</v>
      </c>
      <c r="E1522" s="6" t="s">
        <v>6805</v>
      </c>
      <c r="F1522" s="8" t="str">
        <f>VLOOKUP($D1522,설문!$C$2:$G$444,3,FALSE)</f>
        <v>분석 및 전략</v>
      </c>
      <c r="G1522" s="8" t="str">
        <f>VLOOKUP($D1522,설문!$C$2:$G$444,4,FALSE)</f>
        <v>개인고객,기타</v>
      </c>
      <c r="H1522" s="8" t="str">
        <f>VLOOKUP($D1522,설문!$C$2:$G$444,5,FALSE)</f>
        <v>국내주식/지수</v>
      </c>
    </row>
    <row r="1523" spans="1:8">
      <c r="A1523" s="6" t="s">
        <v>55</v>
      </c>
      <c r="B1523" s="7" t="s">
        <v>3128</v>
      </c>
      <c r="C1523" s="7" t="s">
        <v>3128</v>
      </c>
      <c r="D1523" s="7" t="s">
        <v>6806</v>
      </c>
      <c r="E1523" s="6" t="s">
        <v>6807</v>
      </c>
      <c r="F1523" s="8" t="str">
        <f>VLOOKUP($D1523,설문!$C$2:$G$444,3,FALSE)</f>
        <v>트레이더</v>
      </c>
      <c r="G1523" s="8" t="str">
        <f>VLOOKUP($D1523,설문!$C$2:$G$444,4,FALSE)</f>
        <v>금융회사</v>
      </c>
      <c r="H1523" s="8" t="str">
        <f>VLOOKUP($D1523,설문!$C$2:$G$444,5,FALSE)</f>
        <v>국내주식/지수,국내주식/지수관련파생</v>
      </c>
    </row>
    <row r="1524" spans="1:8">
      <c r="A1524" s="6" t="s">
        <v>55</v>
      </c>
      <c r="B1524" s="7" t="s">
        <v>6803</v>
      </c>
      <c r="C1524" s="7" t="s">
        <v>6803</v>
      </c>
      <c r="D1524" s="7" t="s">
        <v>6808</v>
      </c>
      <c r="E1524" s="6" t="s">
        <v>6809</v>
      </c>
      <c r="F1524" s="8" t="e">
        <f>VLOOKUP($D1524,설문!$C$2:$G$444,3,FALSE)</f>
        <v>#N/A</v>
      </c>
      <c r="G1524" s="8" t="e">
        <f>VLOOKUP($D1524,설문!$C$2:$G$444,4,FALSE)</f>
        <v>#N/A</v>
      </c>
      <c r="H1524" s="8" t="e">
        <f>VLOOKUP($D1524,설문!$C$2:$G$444,5,FALSE)</f>
        <v>#N/A</v>
      </c>
    </row>
    <row r="1525" spans="1:8">
      <c r="A1525" s="6" t="s">
        <v>55</v>
      </c>
      <c r="B1525" s="7" t="s">
        <v>5634</v>
      </c>
      <c r="C1525" s="7" t="s">
        <v>5634</v>
      </c>
      <c r="D1525" s="7" t="s">
        <v>6810</v>
      </c>
      <c r="E1525" s="6" t="s">
        <v>6811</v>
      </c>
      <c r="F1525" s="8" t="e">
        <f>VLOOKUP($D1525,설문!$C$2:$G$444,3,FALSE)</f>
        <v>#N/A</v>
      </c>
      <c r="G1525" s="8" t="e">
        <f>VLOOKUP($D1525,설문!$C$2:$G$444,4,FALSE)</f>
        <v>#N/A</v>
      </c>
      <c r="H1525" s="8" t="e">
        <f>VLOOKUP($D1525,설문!$C$2:$G$444,5,FALSE)</f>
        <v>#N/A</v>
      </c>
    </row>
    <row r="1526" spans="1:8">
      <c r="A1526" s="6" t="s">
        <v>55</v>
      </c>
      <c r="B1526" s="7" t="s">
        <v>5634</v>
      </c>
      <c r="C1526" s="7" t="s">
        <v>5634</v>
      </c>
      <c r="D1526" s="7" t="s">
        <v>6812</v>
      </c>
      <c r="E1526" s="6" t="s">
        <v>6813</v>
      </c>
      <c r="F1526" s="8" t="e">
        <f>VLOOKUP($D1526,설문!$C$2:$G$444,3,FALSE)</f>
        <v>#N/A</v>
      </c>
      <c r="G1526" s="8" t="e">
        <f>VLOOKUP($D1526,설문!$C$2:$G$444,4,FALSE)</f>
        <v>#N/A</v>
      </c>
      <c r="H1526" s="8" t="e">
        <f>VLOOKUP($D1526,설문!$C$2:$G$444,5,FALSE)</f>
        <v>#N/A</v>
      </c>
    </row>
    <row r="1527" spans="1:8">
      <c r="A1527" s="6" t="s">
        <v>55</v>
      </c>
      <c r="B1527" s="7" t="s">
        <v>6814</v>
      </c>
      <c r="C1527" s="7" t="s">
        <v>6814</v>
      </c>
      <c r="D1527" s="7" t="s">
        <v>6815</v>
      </c>
      <c r="E1527" s="6" t="s">
        <v>6816</v>
      </c>
      <c r="F1527" s="8" t="e">
        <f>VLOOKUP($D1527,설문!$C$2:$G$444,3,FALSE)</f>
        <v>#N/A</v>
      </c>
      <c r="G1527" s="8" t="e">
        <f>VLOOKUP($D1527,설문!$C$2:$G$444,4,FALSE)</f>
        <v>#N/A</v>
      </c>
      <c r="H1527" s="8" t="e">
        <f>VLOOKUP($D1527,설문!$C$2:$G$444,5,FALSE)</f>
        <v>#N/A</v>
      </c>
    </row>
    <row r="1528" spans="1:8">
      <c r="A1528" s="6" t="s">
        <v>55</v>
      </c>
      <c r="B1528" s="7" t="s">
        <v>6814</v>
      </c>
      <c r="C1528" s="7" t="s">
        <v>6814</v>
      </c>
      <c r="D1528" s="7" t="s">
        <v>6817</v>
      </c>
      <c r="E1528" s="6" t="s">
        <v>6818</v>
      </c>
      <c r="F1528" s="8" t="e">
        <f>VLOOKUP($D1528,설문!$C$2:$G$444,3,FALSE)</f>
        <v>#N/A</v>
      </c>
      <c r="G1528" s="8" t="e">
        <f>VLOOKUP($D1528,설문!$C$2:$G$444,4,FALSE)</f>
        <v>#N/A</v>
      </c>
      <c r="H1528" s="8" t="e">
        <f>VLOOKUP($D1528,설문!$C$2:$G$444,5,FALSE)</f>
        <v>#N/A</v>
      </c>
    </row>
    <row r="1529" spans="1:8">
      <c r="A1529" s="6" t="s">
        <v>55</v>
      </c>
      <c r="B1529" s="7" t="s">
        <v>6819</v>
      </c>
      <c r="C1529" s="7" t="s">
        <v>6819</v>
      </c>
      <c r="D1529" s="7" t="s">
        <v>6820</v>
      </c>
      <c r="E1529" s="6" t="s">
        <v>6821</v>
      </c>
      <c r="F1529" s="8" t="e">
        <f>VLOOKUP($D1529,설문!$C$2:$G$444,3,FALSE)</f>
        <v>#N/A</v>
      </c>
      <c r="G1529" s="8" t="e">
        <f>VLOOKUP($D1529,설문!$C$2:$G$444,4,FALSE)</f>
        <v>#N/A</v>
      </c>
      <c r="H1529" s="8" t="e">
        <f>VLOOKUP($D1529,설문!$C$2:$G$444,5,FALSE)</f>
        <v>#N/A</v>
      </c>
    </row>
    <row r="1530" spans="1:8">
      <c r="A1530" s="6" t="s">
        <v>55</v>
      </c>
      <c r="B1530" s="7" t="s">
        <v>1289</v>
      </c>
      <c r="C1530" s="7" t="s">
        <v>606</v>
      </c>
      <c r="D1530" s="7" t="s">
        <v>6822</v>
      </c>
      <c r="E1530" s="6" t="s">
        <v>1260</v>
      </c>
      <c r="F1530" s="8" t="str">
        <f>VLOOKUP($D1530,설문!$C$2:$G$444,3,FALSE)</f>
        <v>펀드매니저</v>
      </c>
      <c r="G1530" s="8" t="str">
        <f>VLOOKUP($D1530,설문!$C$2:$G$444,4,FALSE)</f>
        <v>금융회사,금융 유관기관,일반기업고객</v>
      </c>
      <c r="H1530" s="8" t="str">
        <f>VLOOKUP($D1530,설문!$C$2:$G$444,5,FALSE)</f>
        <v>국고채/통안채,회사채,RP,단기자금,원화 구조화채권,외화 구조화채권,FX Spot &amp; FX Swap,CRS &amp; FX Option</v>
      </c>
    </row>
    <row r="1531" spans="1:8">
      <c r="A1531" s="6" t="s">
        <v>55</v>
      </c>
      <c r="B1531" s="7" t="s">
        <v>5252</v>
      </c>
      <c r="C1531" s="7" t="s">
        <v>5252</v>
      </c>
      <c r="D1531" s="7" t="s">
        <v>6823</v>
      </c>
      <c r="E1531" s="6" t="s">
        <v>6824</v>
      </c>
      <c r="F1531" s="8" t="e">
        <f>VLOOKUP($D1531,설문!$C$2:$G$444,3,FALSE)</f>
        <v>#N/A</v>
      </c>
      <c r="G1531" s="8" t="e">
        <f>VLOOKUP($D1531,설문!$C$2:$G$444,4,FALSE)</f>
        <v>#N/A</v>
      </c>
      <c r="H1531" s="8" t="e">
        <f>VLOOKUP($D1531,설문!$C$2:$G$444,5,FALSE)</f>
        <v>#N/A</v>
      </c>
    </row>
    <row r="1532" spans="1:8">
      <c r="A1532" s="6" t="s">
        <v>55</v>
      </c>
      <c r="B1532" s="7" t="s">
        <v>935</v>
      </c>
      <c r="C1532" s="7" t="s">
        <v>935</v>
      </c>
      <c r="D1532" s="7" t="s">
        <v>6825</v>
      </c>
      <c r="E1532" s="6" t="s">
        <v>6826</v>
      </c>
      <c r="F1532" s="8" t="e">
        <f>VLOOKUP($D1532,설문!$C$2:$G$444,3,FALSE)</f>
        <v>#N/A</v>
      </c>
      <c r="G1532" s="8" t="e">
        <f>VLOOKUP($D1532,설문!$C$2:$G$444,4,FALSE)</f>
        <v>#N/A</v>
      </c>
      <c r="H1532" s="8" t="e">
        <f>VLOOKUP($D1532,설문!$C$2:$G$444,5,FALSE)</f>
        <v>#N/A</v>
      </c>
    </row>
    <row r="1533" spans="1:8">
      <c r="A1533" s="6" t="s">
        <v>55</v>
      </c>
      <c r="B1533" s="7" t="s">
        <v>877</v>
      </c>
      <c r="C1533" s="7" t="s">
        <v>877</v>
      </c>
      <c r="D1533" s="7" t="s">
        <v>6827</v>
      </c>
      <c r="E1533" s="6" t="s">
        <v>6828</v>
      </c>
      <c r="F1533" s="8" t="e">
        <f>VLOOKUP($D1533,설문!$C$2:$G$444,3,FALSE)</f>
        <v>#N/A</v>
      </c>
      <c r="G1533" s="8" t="e">
        <f>VLOOKUP($D1533,설문!$C$2:$G$444,4,FALSE)</f>
        <v>#N/A</v>
      </c>
      <c r="H1533" s="8" t="e">
        <f>VLOOKUP($D1533,설문!$C$2:$G$444,5,FALSE)</f>
        <v>#N/A</v>
      </c>
    </row>
    <row r="1534" spans="1:8">
      <c r="A1534" s="6" t="s">
        <v>55</v>
      </c>
      <c r="B1534" s="7" t="s">
        <v>877</v>
      </c>
      <c r="C1534" s="7" t="s">
        <v>877</v>
      </c>
      <c r="D1534" s="7" t="s">
        <v>6829</v>
      </c>
      <c r="E1534" s="6" t="s">
        <v>6830</v>
      </c>
      <c r="F1534" s="8" t="e">
        <f>VLOOKUP($D1534,설문!$C$2:$G$444,3,FALSE)</f>
        <v>#N/A</v>
      </c>
      <c r="G1534" s="8" t="e">
        <f>VLOOKUP($D1534,설문!$C$2:$G$444,4,FALSE)</f>
        <v>#N/A</v>
      </c>
      <c r="H1534" s="8" t="e">
        <f>VLOOKUP($D1534,설문!$C$2:$G$444,5,FALSE)</f>
        <v>#N/A</v>
      </c>
    </row>
    <row r="1535" spans="1:8">
      <c r="A1535" s="6" t="s">
        <v>55</v>
      </c>
      <c r="B1535" s="7" t="s">
        <v>5526</v>
      </c>
      <c r="C1535" s="7" t="s">
        <v>5526</v>
      </c>
      <c r="D1535" s="7" t="s">
        <v>6831</v>
      </c>
      <c r="E1535" s="6" t="s">
        <v>6832</v>
      </c>
      <c r="F1535" s="8" t="e">
        <f>VLOOKUP($D1535,설문!$C$2:$G$444,3,FALSE)</f>
        <v>#N/A</v>
      </c>
      <c r="G1535" s="8" t="e">
        <f>VLOOKUP($D1535,설문!$C$2:$G$444,4,FALSE)</f>
        <v>#N/A</v>
      </c>
      <c r="H1535" s="8" t="e">
        <f>VLOOKUP($D1535,설문!$C$2:$G$444,5,FALSE)</f>
        <v>#N/A</v>
      </c>
    </row>
    <row r="1536" spans="1:8">
      <c r="A1536" s="6" t="s">
        <v>55</v>
      </c>
      <c r="B1536" s="7" t="s">
        <v>1289</v>
      </c>
      <c r="C1536" s="7" t="s">
        <v>1289</v>
      </c>
      <c r="D1536" s="7" t="s">
        <v>6833</v>
      </c>
      <c r="E1536" s="6" t="s">
        <v>6834</v>
      </c>
      <c r="F1536" s="8" t="e">
        <f>VLOOKUP($D1536,설문!$C$2:$G$444,3,FALSE)</f>
        <v>#N/A</v>
      </c>
      <c r="G1536" s="8" t="e">
        <f>VLOOKUP($D1536,설문!$C$2:$G$444,4,FALSE)</f>
        <v>#N/A</v>
      </c>
      <c r="H1536" s="8" t="e">
        <f>VLOOKUP($D1536,설문!$C$2:$G$444,5,FALSE)</f>
        <v>#N/A</v>
      </c>
    </row>
    <row r="1537" spans="1:8">
      <c r="A1537" s="6" t="s">
        <v>55</v>
      </c>
      <c r="B1537" s="7" t="s">
        <v>6022</v>
      </c>
      <c r="C1537" s="7" t="s">
        <v>6835</v>
      </c>
      <c r="D1537" s="7" t="s">
        <v>6836</v>
      </c>
      <c r="E1537" s="6" t="s">
        <v>6837</v>
      </c>
      <c r="F1537" s="8" t="e">
        <f>VLOOKUP($D1537,설문!$C$2:$G$444,3,FALSE)</f>
        <v>#N/A</v>
      </c>
      <c r="G1537" s="8" t="e">
        <f>VLOOKUP($D1537,설문!$C$2:$G$444,4,FALSE)</f>
        <v>#N/A</v>
      </c>
      <c r="H1537" s="8" t="e">
        <f>VLOOKUP($D1537,설문!$C$2:$G$444,5,FALSE)</f>
        <v>#N/A</v>
      </c>
    </row>
    <row r="1538" spans="1:8">
      <c r="A1538" s="6" t="s">
        <v>55</v>
      </c>
      <c r="B1538" s="7" t="s">
        <v>149</v>
      </c>
      <c r="C1538" s="7" t="s">
        <v>149</v>
      </c>
      <c r="D1538" s="7" t="s">
        <v>6838</v>
      </c>
      <c r="E1538" s="6" t="s">
        <v>6839</v>
      </c>
      <c r="F1538" s="8" t="e">
        <f>VLOOKUP($D1538,설문!$C$2:$G$444,3,FALSE)</f>
        <v>#N/A</v>
      </c>
      <c r="G1538" s="8" t="e">
        <f>VLOOKUP($D1538,설문!$C$2:$G$444,4,FALSE)</f>
        <v>#N/A</v>
      </c>
      <c r="H1538" s="8" t="e">
        <f>VLOOKUP($D1538,설문!$C$2:$G$444,5,FALSE)</f>
        <v>#N/A</v>
      </c>
    </row>
    <row r="1539" spans="1:8">
      <c r="A1539" s="6" t="s">
        <v>55</v>
      </c>
      <c r="B1539" s="7" t="s">
        <v>149</v>
      </c>
      <c r="C1539" s="7" t="s">
        <v>149</v>
      </c>
      <c r="D1539" s="7" t="s">
        <v>6840</v>
      </c>
      <c r="E1539" s="6" t="s">
        <v>6841</v>
      </c>
      <c r="F1539" s="8" t="e">
        <f>VLOOKUP($D1539,설문!$C$2:$G$444,3,FALSE)</f>
        <v>#N/A</v>
      </c>
      <c r="G1539" s="8" t="e">
        <f>VLOOKUP($D1539,설문!$C$2:$G$444,4,FALSE)</f>
        <v>#N/A</v>
      </c>
      <c r="H1539" s="8" t="e">
        <f>VLOOKUP($D1539,설문!$C$2:$G$444,5,FALSE)</f>
        <v>#N/A</v>
      </c>
    </row>
    <row r="1540" spans="1:8">
      <c r="A1540" s="6" t="s">
        <v>55</v>
      </c>
      <c r="B1540" s="7" t="s">
        <v>149</v>
      </c>
      <c r="C1540" s="7" t="s">
        <v>149</v>
      </c>
      <c r="D1540" s="7" t="s">
        <v>6842</v>
      </c>
      <c r="E1540" s="6" t="s">
        <v>3077</v>
      </c>
      <c r="F1540" s="8" t="e">
        <f>VLOOKUP($D1540,설문!$C$2:$G$444,3,FALSE)</f>
        <v>#N/A</v>
      </c>
      <c r="G1540" s="8" t="e">
        <f>VLOOKUP($D1540,설문!$C$2:$G$444,4,FALSE)</f>
        <v>#N/A</v>
      </c>
      <c r="H1540" s="8" t="e">
        <f>VLOOKUP($D1540,설문!$C$2:$G$444,5,FALSE)</f>
        <v>#N/A</v>
      </c>
    </row>
    <row r="1541" spans="1:8">
      <c r="A1541" s="6" t="s">
        <v>55</v>
      </c>
      <c r="B1541" s="7" t="s">
        <v>149</v>
      </c>
      <c r="C1541" s="7" t="s">
        <v>149</v>
      </c>
      <c r="D1541" s="7" t="s">
        <v>6843</v>
      </c>
      <c r="E1541" s="6" t="s">
        <v>1038</v>
      </c>
      <c r="F1541" s="8" t="e">
        <f>VLOOKUP($D1541,설문!$C$2:$G$444,3,FALSE)</f>
        <v>#N/A</v>
      </c>
      <c r="G1541" s="8" t="e">
        <f>VLOOKUP($D1541,설문!$C$2:$G$444,4,FALSE)</f>
        <v>#N/A</v>
      </c>
      <c r="H1541" s="8" t="e">
        <f>VLOOKUP($D1541,설문!$C$2:$G$444,5,FALSE)</f>
        <v>#N/A</v>
      </c>
    </row>
    <row r="1542" spans="1:8">
      <c r="A1542" s="6" t="s">
        <v>55</v>
      </c>
      <c r="B1542" s="7" t="s">
        <v>365</v>
      </c>
      <c r="C1542" s="7" t="s">
        <v>6844</v>
      </c>
      <c r="D1542" s="7" t="s">
        <v>6845</v>
      </c>
      <c r="E1542" s="6" t="s">
        <v>6846</v>
      </c>
      <c r="F1542" s="8" t="str">
        <f>VLOOKUP($D1542,설문!$C$2:$G$444,3,FALSE)</f>
        <v>딜러</v>
      </c>
      <c r="G1542" s="8" t="str">
        <f>VLOOKUP($D1542,설문!$C$2:$G$444,4,FALSE)</f>
        <v>금융회사</v>
      </c>
      <c r="H1542" s="8" t="str">
        <f>VLOOKUP($D1542,설문!$C$2:$G$444,5,FALSE)</f>
        <v>국고채/통안채</v>
      </c>
    </row>
    <row r="1543" spans="1:8">
      <c r="A1543" s="6" t="s">
        <v>55</v>
      </c>
      <c r="B1543" s="7" t="s">
        <v>365</v>
      </c>
      <c r="C1543" s="7" t="s">
        <v>6844</v>
      </c>
      <c r="D1543" s="7" t="s">
        <v>6847</v>
      </c>
      <c r="E1543" s="6" t="s">
        <v>6848</v>
      </c>
      <c r="F1543" s="8" t="e">
        <f>VLOOKUP($D1543,설문!$C$2:$G$444,3,FALSE)</f>
        <v>#N/A</v>
      </c>
      <c r="G1543" s="8" t="e">
        <f>VLOOKUP($D1543,설문!$C$2:$G$444,4,FALSE)</f>
        <v>#N/A</v>
      </c>
      <c r="H1543" s="8" t="e">
        <f>VLOOKUP($D1543,설문!$C$2:$G$444,5,FALSE)</f>
        <v>#N/A</v>
      </c>
    </row>
    <row r="1544" spans="1:8">
      <c r="A1544" s="6" t="s">
        <v>55</v>
      </c>
      <c r="B1544" s="7" t="s">
        <v>1731</v>
      </c>
      <c r="C1544" s="7" t="s">
        <v>1731</v>
      </c>
      <c r="D1544" s="7" t="s">
        <v>6849</v>
      </c>
      <c r="E1544" s="6" t="s">
        <v>6850</v>
      </c>
      <c r="F1544" s="8" t="e">
        <f>VLOOKUP($D1544,설문!$C$2:$G$444,3,FALSE)</f>
        <v>#N/A</v>
      </c>
      <c r="G1544" s="8" t="e">
        <f>VLOOKUP($D1544,설문!$C$2:$G$444,4,FALSE)</f>
        <v>#N/A</v>
      </c>
      <c r="H1544" s="8" t="e">
        <f>VLOOKUP($D1544,설문!$C$2:$G$444,5,FALSE)</f>
        <v>#N/A</v>
      </c>
    </row>
    <row r="1545" spans="1:8">
      <c r="A1545" s="6" t="s">
        <v>55</v>
      </c>
      <c r="B1545" s="7" t="s">
        <v>1731</v>
      </c>
      <c r="C1545" s="7" t="s">
        <v>1731</v>
      </c>
      <c r="D1545" s="7" t="s">
        <v>6851</v>
      </c>
      <c r="E1545" s="6" t="s">
        <v>6852</v>
      </c>
      <c r="F1545" s="8" t="e">
        <f>VLOOKUP($D1545,설문!$C$2:$G$444,3,FALSE)</f>
        <v>#N/A</v>
      </c>
      <c r="G1545" s="8" t="e">
        <f>VLOOKUP($D1545,설문!$C$2:$G$444,4,FALSE)</f>
        <v>#N/A</v>
      </c>
      <c r="H1545" s="8" t="e">
        <f>VLOOKUP($D1545,설문!$C$2:$G$444,5,FALSE)</f>
        <v>#N/A</v>
      </c>
    </row>
    <row r="1546" spans="1:8">
      <c r="A1546" s="6" t="s">
        <v>55</v>
      </c>
      <c r="B1546" s="7" t="s">
        <v>1731</v>
      </c>
      <c r="C1546" s="7" t="s">
        <v>1731</v>
      </c>
      <c r="D1546" s="7" t="s">
        <v>6853</v>
      </c>
      <c r="E1546" s="6" t="s">
        <v>6854</v>
      </c>
      <c r="F1546" s="8" t="e">
        <f>VLOOKUP($D1546,설문!$C$2:$G$444,3,FALSE)</f>
        <v>#N/A</v>
      </c>
      <c r="G1546" s="8" t="e">
        <f>VLOOKUP($D1546,설문!$C$2:$G$444,4,FALSE)</f>
        <v>#N/A</v>
      </c>
      <c r="H1546" s="8" t="e">
        <f>VLOOKUP($D1546,설문!$C$2:$G$444,5,FALSE)</f>
        <v>#N/A</v>
      </c>
    </row>
    <row r="1547" spans="1:8">
      <c r="A1547" s="6" t="s">
        <v>55</v>
      </c>
      <c r="B1547" s="7" t="s">
        <v>1731</v>
      </c>
      <c r="C1547" s="7" t="s">
        <v>1731</v>
      </c>
      <c r="D1547" s="7" t="s">
        <v>6855</v>
      </c>
      <c r="E1547" s="6" t="s">
        <v>4044</v>
      </c>
      <c r="F1547" s="8" t="e">
        <f>VLOOKUP($D1547,설문!$C$2:$G$444,3,FALSE)</f>
        <v>#N/A</v>
      </c>
      <c r="G1547" s="8" t="e">
        <f>VLOOKUP($D1547,설문!$C$2:$G$444,4,FALSE)</f>
        <v>#N/A</v>
      </c>
      <c r="H1547" s="8" t="e">
        <f>VLOOKUP($D1547,설문!$C$2:$G$444,5,FALSE)</f>
        <v>#N/A</v>
      </c>
    </row>
    <row r="1548" spans="1:8">
      <c r="A1548" s="6" t="s">
        <v>55</v>
      </c>
      <c r="B1548" s="7" t="s">
        <v>1731</v>
      </c>
      <c r="C1548" s="7" t="s">
        <v>1731</v>
      </c>
      <c r="D1548" s="7" t="s">
        <v>6856</v>
      </c>
      <c r="E1548" s="6" t="s">
        <v>6857</v>
      </c>
      <c r="F1548" s="8" t="e">
        <f>VLOOKUP($D1548,설문!$C$2:$G$444,3,FALSE)</f>
        <v>#N/A</v>
      </c>
      <c r="G1548" s="8" t="e">
        <f>VLOOKUP($D1548,설문!$C$2:$G$444,4,FALSE)</f>
        <v>#N/A</v>
      </c>
      <c r="H1548" s="8" t="e">
        <f>VLOOKUP($D1548,설문!$C$2:$G$444,5,FALSE)</f>
        <v>#N/A</v>
      </c>
    </row>
    <row r="1549" spans="1:8">
      <c r="A1549" s="6" t="s">
        <v>115</v>
      </c>
      <c r="B1549" s="7" t="s">
        <v>116</v>
      </c>
      <c r="C1549" s="7" t="s">
        <v>116</v>
      </c>
      <c r="D1549" s="7" t="s">
        <v>117</v>
      </c>
      <c r="E1549" s="6" t="s">
        <v>118</v>
      </c>
      <c r="F1549" s="8" t="e">
        <f>VLOOKUP($D1549,설문!$C$2:$G$444,3,FALSE)</f>
        <v>#N/A</v>
      </c>
      <c r="G1549" s="8" t="e">
        <f>VLOOKUP($D1549,설문!$C$2:$G$444,4,FALSE)</f>
        <v>#N/A</v>
      </c>
      <c r="H1549" s="8" t="e">
        <f>VLOOKUP($D1549,설문!$C$2:$G$444,5,FALSE)</f>
        <v>#N/A</v>
      </c>
    </row>
    <row r="1550" spans="1:8">
      <c r="A1550" s="6" t="s">
        <v>115</v>
      </c>
      <c r="B1550" s="7" t="s">
        <v>307</v>
      </c>
      <c r="C1550" s="7" t="s">
        <v>308</v>
      </c>
      <c r="D1550" s="7" t="s">
        <v>309</v>
      </c>
      <c r="E1550" s="6" t="s">
        <v>310</v>
      </c>
      <c r="F1550" s="8" t="e">
        <f>VLOOKUP($D1550,설문!$C$2:$G$444,3,FALSE)</f>
        <v>#N/A</v>
      </c>
      <c r="G1550" s="8" t="e">
        <f>VLOOKUP($D1550,설문!$C$2:$G$444,4,FALSE)</f>
        <v>#N/A</v>
      </c>
      <c r="H1550" s="8" t="e">
        <f>VLOOKUP($D1550,설문!$C$2:$G$444,5,FALSE)</f>
        <v>#N/A</v>
      </c>
    </row>
    <row r="1551" spans="1:8">
      <c r="A1551" s="6" t="s">
        <v>115</v>
      </c>
      <c r="B1551" s="7" t="s">
        <v>307</v>
      </c>
      <c r="C1551" s="7" t="s">
        <v>308</v>
      </c>
      <c r="D1551" s="7" t="s">
        <v>679</v>
      </c>
      <c r="E1551" s="6" t="s">
        <v>680</v>
      </c>
      <c r="F1551" s="8" t="str">
        <f>VLOOKUP($D1551,설문!$C$2:$G$444,3,FALSE)</f>
        <v>펀드매니저</v>
      </c>
      <c r="G1551" s="8" t="str">
        <f>VLOOKUP($D1551,설문!$C$2:$G$444,4,FALSE)</f>
        <v>금융 유관기관,개인고객</v>
      </c>
      <c r="H1551" s="8" t="str">
        <f>VLOOKUP($D1551,설문!$C$2:$G$444,5,FALSE)</f>
        <v>FX Spot &amp; FX Swap,해외주식/지수,ETF/ETN</v>
      </c>
    </row>
    <row r="1552" spans="1:8">
      <c r="A1552" s="6" t="s">
        <v>115</v>
      </c>
      <c r="B1552" s="7" t="s">
        <v>307</v>
      </c>
      <c r="C1552" s="7" t="s">
        <v>308</v>
      </c>
      <c r="D1552" s="7" t="s">
        <v>1055</v>
      </c>
      <c r="E1552" s="6" t="s">
        <v>1056</v>
      </c>
      <c r="F1552" s="8" t="e">
        <f>VLOOKUP($D1552,설문!$C$2:$G$444,3,FALSE)</f>
        <v>#N/A</v>
      </c>
      <c r="G1552" s="8" t="e">
        <f>VLOOKUP($D1552,설문!$C$2:$G$444,4,FALSE)</f>
        <v>#N/A</v>
      </c>
      <c r="H1552" s="8" t="e">
        <f>VLOOKUP($D1552,설문!$C$2:$G$444,5,FALSE)</f>
        <v>#N/A</v>
      </c>
    </row>
    <row r="1553" spans="1:8">
      <c r="A1553" s="6" t="s">
        <v>115</v>
      </c>
      <c r="B1553" s="7" t="s">
        <v>3420</v>
      </c>
      <c r="C1553" s="7" t="s">
        <v>488</v>
      </c>
      <c r="D1553" s="7" t="s">
        <v>3421</v>
      </c>
      <c r="E1553" s="6" t="s">
        <v>3422</v>
      </c>
      <c r="F1553" s="8" t="e">
        <f>VLOOKUP($D1553,설문!$C$2:$G$444,3,FALSE)</f>
        <v>#N/A</v>
      </c>
      <c r="G1553" s="8" t="e">
        <f>VLOOKUP($D1553,설문!$C$2:$G$444,4,FALSE)</f>
        <v>#N/A</v>
      </c>
      <c r="H1553" s="8" t="e">
        <f>VLOOKUP($D1553,설문!$C$2:$G$444,5,FALSE)</f>
        <v>#N/A</v>
      </c>
    </row>
    <row r="1554" spans="1:8">
      <c r="A1554" s="6" t="s">
        <v>115</v>
      </c>
      <c r="B1554" s="7" t="s">
        <v>307</v>
      </c>
      <c r="C1554" s="7" t="s">
        <v>308</v>
      </c>
      <c r="D1554" s="7" t="s">
        <v>3423</v>
      </c>
      <c r="E1554" s="6" t="s">
        <v>3424</v>
      </c>
      <c r="F1554" s="8" t="e">
        <f>VLOOKUP($D1554,설문!$C$2:$G$444,3,FALSE)</f>
        <v>#N/A</v>
      </c>
      <c r="G1554" s="8" t="e">
        <f>VLOOKUP($D1554,설문!$C$2:$G$444,4,FALSE)</f>
        <v>#N/A</v>
      </c>
      <c r="H1554" s="8" t="e">
        <f>VLOOKUP($D1554,설문!$C$2:$G$444,5,FALSE)</f>
        <v>#N/A</v>
      </c>
    </row>
    <row r="1555" spans="1:8">
      <c r="A1555" s="6" t="s">
        <v>115</v>
      </c>
      <c r="B1555" s="7" t="s">
        <v>3425</v>
      </c>
      <c r="C1555" s="7" t="s">
        <v>3426</v>
      </c>
      <c r="D1555" s="7" t="s">
        <v>3427</v>
      </c>
      <c r="E1555" s="6" t="s">
        <v>3428</v>
      </c>
      <c r="F1555" s="8" t="e">
        <f>VLOOKUP($D1555,설문!$C$2:$G$444,3,FALSE)</f>
        <v>#N/A</v>
      </c>
      <c r="G1555" s="8" t="e">
        <f>VLOOKUP($D1555,설문!$C$2:$G$444,4,FALSE)</f>
        <v>#N/A</v>
      </c>
      <c r="H1555" s="8" t="e">
        <f>VLOOKUP($D1555,설문!$C$2:$G$444,5,FALSE)</f>
        <v>#N/A</v>
      </c>
    </row>
    <row r="1556" spans="1:8">
      <c r="A1556" s="6" t="s">
        <v>115</v>
      </c>
      <c r="B1556" s="7" t="s">
        <v>3429</v>
      </c>
      <c r="C1556" s="7" t="s">
        <v>374</v>
      </c>
      <c r="D1556" s="7" t="s">
        <v>3430</v>
      </c>
      <c r="E1556" s="6" t="s">
        <v>3431</v>
      </c>
      <c r="F1556" s="8" t="e">
        <f>VLOOKUP($D1556,설문!$C$2:$G$444,3,FALSE)</f>
        <v>#N/A</v>
      </c>
      <c r="G1556" s="8" t="e">
        <f>VLOOKUP($D1556,설문!$C$2:$G$444,4,FALSE)</f>
        <v>#N/A</v>
      </c>
      <c r="H1556" s="8" t="e">
        <f>VLOOKUP($D1556,설문!$C$2:$G$444,5,FALSE)</f>
        <v>#N/A</v>
      </c>
    </row>
    <row r="1557" spans="1:8">
      <c r="A1557" s="6" t="s">
        <v>115</v>
      </c>
      <c r="B1557" s="7" t="s">
        <v>3432</v>
      </c>
      <c r="C1557" s="7" t="s">
        <v>3433</v>
      </c>
      <c r="D1557" s="7" t="s">
        <v>3434</v>
      </c>
      <c r="E1557" s="6" t="s">
        <v>3435</v>
      </c>
      <c r="F1557" s="8" t="e">
        <f>VLOOKUP($D1557,설문!$C$2:$G$444,3,FALSE)</f>
        <v>#N/A</v>
      </c>
      <c r="G1557" s="8" t="e">
        <f>VLOOKUP($D1557,설문!$C$2:$G$444,4,FALSE)</f>
        <v>#N/A</v>
      </c>
      <c r="H1557" s="8" t="e">
        <f>VLOOKUP($D1557,설문!$C$2:$G$444,5,FALSE)</f>
        <v>#N/A</v>
      </c>
    </row>
    <row r="1558" spans="1:8">
      <c r="A1558" s="6" t="s">
        <v>115</v>
      </c>
      <c r="B1558" s="7" t="s">
        <v>3432</v>
      </c>
      <c r="C1558" s="7" t="s">
        <v>789</v>
      </c>
      <c r="D1558" s="7" t="s">
        <v>3436</v>
      </c>
      <c r="E1558" s="6" t="s">
        <v>3437</v>
      </c>
      <c r="F1558" s="8" t="e">
        <f>VLOOKUP($D1558,설문!$C$2:$G$444,3,FALSE)</f>
        <v>#N/A</v>
      </c>
      <c r="G1558" s="8" t="e">
        <f>VLOOKUP($D1558,설문!$C$2:$G$444,4,FALSE)</f>
        <v>#N/A</v>
      </c>
      <c r="H1558" s="8" t="e">
        <f>VLOOKUP($D1558,설문!$C$2:$G$444,5,FALSE)</f>
        <v>#N/A</v>
      </c>
    </row>
    <row r="1559" spans="1:8">
      <c r="A1559" s="6" t="s">
        <v>115</v>
      </c>
      <c r="B1559" s="7" t="s">
        <v>3432</v>
      </c>
      <c r="C1559" s="7" t="s">
        <v>135</v>
      </c>
      <c r="D1559" s="7" t="s">
        <v>3438</v>
      </c>
      <c r="E1559" s="6" t="s">
        <v>3439</v>
      </c>
      <c r="F1559" s="8" t="e">
        <f>VLOOKUP($D1559,설문!$C$2:$G$444,3,FALSE)</f>
        <v>#N/A</v>
      </c>
      <c r="G1559" s="8" t="e">
        <f>VLOOKUP($D1559,설문!$C$2:$G$444,4,FALSE)</f>
        <v>#N/A</v>
      </c>
      <c r="H1559" s="8" t="e">
        <f>VLOOKUP($D1559,설문!$C$2:$G$444,5,FALSE)</f>
        <v>#N/A</v>
      </c>
    </row>
    <row r="1560" spans="1:8">
      <c r="A1560" s="6" t="s">
        <v>115</v>
      </c>
      <c r="B1560" s="7" t="s">
        <v>3432</v>
      </c>
      <c r="C1560" s="7" t="s">
        <v>789</v>
      </c>
      <c r="D1560" s="7" t="s">
        <v>3440</v>
      </c>
      <c r="E1560" s="6" t="s">
        <v>3441</v>
      </c>
      <c r="F1560" s="8" t="str">
        <f>VLOOKUP($D1560,설문!$C$2:$G$444,3,FALSE)</f>
        <v>펀드매니저</v>
      </c>
      <c r="G1560" s="8" t="str">
        <f>VLOOKUP($D1560,설문!$C$2:$G$444,4,FALSE)</f>
        <v>금융회사</v>
      </c>
      <c r="H1560" s="8" t="str">
        <f>VLOOKUP($D1560,설문!$C$2:$G$444,5,FALSE)</f>
        <v>국고채/통안채,회사채</v>
      </c>
    </row>
    <row r="1561" spans="1:8">
      <c r="A1561" s="6" t="s">
        <v>115</v>
      </c>
      <c r="B1561" s="7" t="s">
        <v>3429</v>
      </c>
      <c r="C1561" s="7" t="s">
        <v>78</v>
      </c>
      <c r="D1561" s="7" t="s">
        <v>3442</v>
      </c>
      <c r="E1561" s="6" t="s">
        <v>3443</v>
      </c>
      <c r="F1561" s="8" t="e">
        <f>VLOOKUP($D1561,설문!$C$2:$G$444,3,FALSE)</f>
        <v>#N/A</v>
      </c>
      <c r="G1561" s="8" t="e">
        <f>VLOOKUP($D1561,설문!$C$2:$G$444,4,FALSE)</f>
        <v>#N/A</v>
      </c>
      <c r="H1561" s="8" t="e">
        <f>VLOOKUP($D1561,설문!$C$2:$G$444,5,FALSE)</f>
        <v>#N/A</v>
      </c>
    </row>
    <row r="1562" spans="1:8">
      <c r="A1562" s="6" t="s">
        <v>115</v>
      </c>
      <c r="B1562" s="7" t="s">
        <v>307</v>
      </c>
      <c r="C1562" s="7" t="s">
        <v>308</v>
      </c>
      <c r="D1562" s="7" t="s">
        <v>3444</v>
      </c>
      <c r="E1562" s="6" t="s">
        <v>3077</v>
      </c>
      <c r="F1562" s="8" t="str">
        <f>VLOOKUP($D1562,설문!$C$2:$G$444,3,FALSE)</f>
        <v>펀드매니저</v>
      </c>
      <c r="G1562" s="8" t="str">
        <f>VLOOKUP($D1562,설문!$C$2:$G$444,4,FALSE)</f>
        <v>금융회사,금융 유관기관,일반기업고객,개인고객</v>
      </c>
      <c r="H1562" s="8" t="str">
        <f>VLOOKUP($D1562,설문!$C$2:$G$444,5,FALSE)</f>
        <v>국내주식/지수,국내주식/지수관련파생,FX Spot &amp; FX Swap,해외주식/지수,해외주식/지수관련파생,ETF/ETN,대체투자(부동산/인프라)</v>
      </c>
    </row>
    <row r="1563" spans="1:8">
      <c r="A1563" s="6" t="s">
        <v>115</v>
      </c>
      <c r="B1563" s="7" t="s">
        <v>3429</v>
      </c>
      <c r="C1563" s="7" t="s">
        <v>78</v>
      </c>
      <c r="D1563" s="7" t="s">
        <v>3445</v>
      </c>
      <c r="E1563" s="6" t="s">
        <v>977</v>
      </c>
      <c r="F1563" s="8" t="e">
        <f>VLOOKUP($D1563,설문!$C$2:$G$444,3,FALSE)</f>
        <v>#N/A</v>
      </c>
      <c r="G1563" s="8" t="e">
        <f>VLOOKUP($D1563,설문!$C$2:$G$444,4,FALSE)</f>
        <v>#N/A</v>
      </c>
      <c r="H1563" s="8" t="e">
        <f>VLOOKUP($D1563,설문!$C$2:$G$444,5,FALSE)</f>
        <v>#N/A</v>
      </c>
    </row>
    <row r="1564" spans="1:8">
      <c r="A1564" s="6" t="s">
        <v>115</v>
      </c>
      <c r="B1564" s="7" t="s">
        <v>3429</v>
      </c>
      <c r="C1564" s="7" t="s">
        <v>78</v>
      </c>
      <c r="D1564" s="7" t="s">
        <v>3446</v>
      </c>
      <c r="E1564" s="6" t="s">
        <v>3447</v>
      </c>
      <c r="F1564" s="8" t="e">
        <f>VLOOKUP($D1564,설문!$C$2:$G$444,3,FALSE)</f>
        <v>#N/A</v>
      </c>
      <c r="G1564" s="8" t="e">
        <f>VLOOKUP($D1564,설문!$C$2:$G$444,4,FALSE)</f>
        <v>#N/A</v>
      </c>
      <c r="H1564" s="8" t="e">
        <f>VLOOKUP($D1564,설문!$C$2:$G$444,5,FALSE)</f>
        <v>#N/A</v>
      </c>
    </row>
    <row r="1565" spans="1:8">
      <c r="A1565" s="6" t="s">
        <v>115</v>
      </c>
      <c r="B1565" s="7" t="s">
        <v>3425</v>
      </c>
      <c r="C1565" s="7" t="s">
        <v>3448</v>
      </c>
      <c r="D1565" s="7" t="s">
        <v>3449</v>
      </c>
      <c r="E1565" s="6" t="s">
        <v>625</v>
      </c>
      <c r="F1565" s="8" t="e">
        <f>VLOOKUP($D1565,설문!$C$2:$G$444,3,FALSE)</f>
        <v>#N/A</v>
      </c>
      <c r="G1565" s="8" t="e">
        <f>VLOOKUP($D1565,설문!$C$2:$G$444,4,FALSE)</f>
        <v>#N/A</v>
      </c>
      <c r="H1565" s="8" t="e">
        <f>VLOOKUP($D1565,설문!$C$2:$G$444,5,FALSE)</f>
        <v>#N/A</v>
      </c>
    </row>
    <row r="1566" spans="1:8">
      <c r="A1566" s="6" t="s">
        <v>115</v>
      </c>
      <c r="B1566" s="7" t="s">
        <v>3432</v>
      </c>
      <c r="C1566" s="7" t="s">
        <v>3433</v>
      </c>
      <c r="D1566" s="7" t="s">
        <v>3450</v>
      </c>
      <c r="E1566" s="6" t="s">
        <v>3451</v>
      </c>
      <c r="F1566" s="8" t="e">
        <f>VLOOKUP($D1566,설문!$C$2:$G$444,3,FALSE)</f>
        <v>#N/A</v>
      </c>
      <c r="G1566" s="8" t="e">
        <f>VLOOKUP($D1566,설문!$C$2:$G$444,4,FALSE)</f>
        <v>#N/A</v>
      </c>
      <c r="H1566" s="8" t="e">
        <f>VLOOKUP($D1566,설문!$C$2:$G$444,5,FALSE)</f>
        <v>#N/A</v>
      </c>
    </row>
    <row r="1567" spans="1:8">
      <c r="A1567" s="6" t="s">
        <v>2642</v>
      </c>
      <c r="B1567" s="7" t="s">
        <v>2643</v>
      </c>
      <c r="C1567" s="7" t="s">
        <v>2643</v>
      </c>
      <c r="D1567" s="7" t="s">
        <v>2644</v>
      </c>
      <c r="E1567" s="6" t="s">
        <v>2645</v>
      </c>
      <c r="F1567" s="8" t="e">
        <f>VLOOKUP($D1567,설문!$C$2:$G$444,3,FALSE)</f>
        <v>#N/A</v>
      </c>
      <c r="G1567" s="8" t="e">
        <f>VLOOKUP($D1567,설문!$C$2:$G$444,4,FALSE)</f>
        <v>#N/A</v>
      </c>
      <c r="H1567" s="8" t="e">
        <f>VLOOKUP($D1567,설문!$C$2:$G$444,5,FALSE)</f>
        <v>#N/A</v>
      </c>
    </row>
    <row r="1568" spans="1:8">
      <c r="A1568" s="6" t="s">
        <v>2180</v>
      </c>
      <c r="B1568" s="7" t="s">
        <v>2181</v>
      </c>
      <c r="C1568" s="7" t="s">
        <v>2181</v>
      </c>
      <c r="D1568" s="7" t="s">
        <v>2182</v>
      </c>
      <c r="E1568" s="6" t="s">
        <v>2183</v>
      </c>
      <c r="F1568" s="8" t="e">
        <f>VLOOKUP($D1568,설문!$C$2:$G$444,3,FALSE)</f>
        <v>#N/A</v>
      </c>
      <c r="G1568" s="8" t="e">
        <f>VLOOKUP($D1568,설문!$C$2:$G$444,4,FALSE)</f>
        <v>#N/A</v>
      </c>
      <c r="H1568" s="8" t="e">
        <f>VLOOKUP($D1568,설문!$C$2:$G$444,5,FALSE)</f>
        <v>#N/A</v>
      </c>
    </row>
    <row r="1569" spans="1:8">
      <c r="A1569" s="6" t="s">
        <v>2180</v>
      </c>
      <c r="B1569" s="7" t="s">
        <v>2181</v>
      </c>
      <c r="C1569" s="7" t="s">
        <v>2181</v>
      </c>
      <c r="D1569" s="7" t="s">
        <v>2184</v>
      </c>
      <c r="E1569" s="6" t="s">
        <v>2185</v>
      </c>
      <c r="F1569" s="8" t="e">
        <f>VLOOKUP($D1569,설문!$C$2:$G$444,3,FALSE)</f>
        <v>#N/A</v>
      </c>
      <c r="G1569" s="8" t="e">
        <f>VLOOKUP($D1569,설문!$C$2:$G$444,4,FALSE)</f>
        <v>#N/A</v>
      </c>
      <c r="H1569" s="8" t="e">
        <f>VLOOKUP($D1569,설문!$C$2:$G$444,5,FALSE)</f>
        <v>#N/A</v>
      </c>
    </row>
    <row r="1570" spans="1:8">
      <c r="A1570" s="6" t="s">
        <v>47</v>
      </c>
      <c r="B1570" s="7" t="s">
        <v>48</v>
      </c>
      <c r="C1570" s="7" t="s">
        <v>48</v>
      </c>
      <c r="D1570" s="7" t="s">
        <v>49</v>
      </c>
      <c r="E1570" s="6" t="s">
        <v>50</v>
      </c>
      <c r="F1570" s="8" t="e">
        <f>VLOOKUP($D1570,설문!$C$2:$G$444,3,FALSE)</f>
        <v>#N/A</v>
      </c>
      <c r="G1570" s="8" t="e">
        <f>VLOOKUP($D1570,설문!$C$2:$G$444,4,FALSE)</f>
        <v>#N/A</v>
      </c>
      <c r="H1570" s="8" t="e">
        <f>VLOOKUP($D1570,설문!$C$2:$G$444,5,FALSE)</f>
        <v>#N/A</v>
      </c>
    </row>
    <row r="1571" spans="1:8">
      <c r="A1571" s="6" t="s">
        <v>47</v>
      </c>
      <c r="B1571" s="7" t="s">
        <v>482</v>
      </c>
      <c r="C1571" s="7" t="s">
        <v>483</v>
      </c>
      <c r="D1571" s="7" t="s">
        <v>484</v>
      </c>
      <c r="E1571" s="6" t="s">
        <v>485</v>
      </c>
      <c r="F1571" s="8" t="e">
        <f>VLOOKUP($D1571,설문!$C$2:$G$444,3,FALSE)</f>
        <v>#N/A</v>
      </c>
      <c r="G1571" s="8" t="e">
        <f>VLOOKUP($D1571,설문!$C$2:$G$444,4,FALSE)</f>
        <v>#N/A</v>
      </c>
      <c r="H1571" s="8" t="e">
        <f>VLOOKUP($D1571,설문!$C$2:$G$444,5,FALSE)</f>
        <v>#N/A</v>
      </c>
    </row>
    <row r="1572" spans="1:8">
      <c r="A1572" s="6" t="s">
        <v>47</v>
      </c>
      <c r="B1572" s="7" t="s">
        <v>482</v>
      </c>
      <c r="C1572" s="7" t="s">
        <v>483</v>
      </c>
      <c r="D1572" s="7" t="s">
        <v>574</v>
      </c>
      <c r="E1572" s="6" t="s">
        <v>575</v>
      </c>
      <c r="F1572" s="8" t="e">
        <f>VLOOKUP($D1572,설문!$C$2:$G$444,3,FALSE)</f>
        <v>#N/A</v>
      </c>
      <c r="G1572" s="8" t="e">
        <f>VLOOKUP($D1572,설문!$C$2:$G$444,4,FALSE)</f>
        <v>#N/A</v>
      </c>
      <c r="H1572" s="8" t="e">
        <f>VLOOKUP($D1572,설문!$C$2:$G$444,5,FALSE)</f>
        <v>#N/A</v>
      </c>
    </row>
    <row r="1573" spans="1:8">
      <c r="A1573" s="6" t="s">
        <v>47</v>
      </c>
      <c r="B1573" s="7" t="s">
        <v>1034</v>
      </c>
      <c r="C1573" s="7" t="s">
        <v>1034</v>
      </c>
      <c r="D1573" s="7" t="s">
        <v>1035</v>
      </c>
      <c r="E1573" s="6" t="s">
        <v>1036</v>
      </c>
      <c r="F1573" s="8" t="e">
        <f>VLOOKUP($D1573,설문!$C$2:$G$444,3,FALSE)</f>
        <v>#N/A</v>
      </c>
      <c r="G1573" s="8" t="e">
        <f>VLOOKUP($D1573,설문!$C$2:$G$444,4,FALSE)</f>
        <v>#N/A</v>
      </c>
      <c r="H1573" s="8" t="e">
        <f>VLOOKUP($D1573,설문!$C$2:$G$444,5,FALSE)</f>
        <v>#N/A</v>
      </c>
    </row>
    <row r="1574" spans="1:8">
      <c r="A1574" s="6" t="s">
        <v>47</v>
      </c>
      <c r="B1574" s="7" t="s">
        <v>1034</v>
      </c>
      <c r="C1574" s="7" t="s">
        <v>1034</v>
      </c>
      <c r="D1574" s="7" t="s">
        <v>1278</v>
      </c>
      <c r="E1574" s="6" t="s">
        <v>1279</v>
      </c>
      <c r="F1574" s="8" t="e">
        <f>VLOOKUP($D1574,설문!$C$2:$G$444,3,FALSE)</f>
        <v>#N/A</v>
      </c>
      <c r="G1574" s="8" t="e">
        <f>VLOOKUP($D1574,설문!$C$2:$G$444,4,FALSE)</f>
        <v>#N/A</v>
      </c>
      <c r="H1574" s="8" t="e">
        <f>VLOOKUP($D1574,설문!$C$2:$G$444,5,FALSE)</f>
        <v>#N/A</v>
      </c>
    </row>
    <row r="1575" spans="1:8">
      <c r="A1575" s="6" t="s">
        <v>47</v>
      </c>
      <c r="B1575" s="7" t="s">
        <v>482</v>
      </c>
      <c r="C1575" s="7" t="s">
        <v>482</v>
      </c>
      <c r="D1575" s="7" t="s">
        <v>1299</v>
      </c>
      <c r="E1575" s="6" t="s">
        <v>1300</v>
      </c>
      <c r="F1575" s="8" t="e">
        <f>VLOOKUP($D1575,설문!$C$2:$G$444,3,FALSE)</f>
        <v>#N/A</v>
      </c>
      <c r="G1575" s="8" t="e">
        <f>VLOOKUP($D1575,설문!$C$2:$G$444,4,FALSE)</f>
        <v>#N/A</v>
      </c>
      <c r="H1575" s="8" t="e">
        <f>VLOOKUP($D1575,설문!$C$2:$G$444,5,FALSE)</f>
        <v>#N/A</v>
      </c>
    </row>
    <row r="1576" spans="1:8">
      <c r="A1576" s="6" t="s">
        <v>47</v>
      </c>
      <c r="B1576" s="7" t="s">
        <v>1522</v>
      </c>
      <c r="C1576" s="7" t="s">
        <v>1523</v>
      </c>
      <c r="D1576" s="7" t="s">
        <v>1524</v>
      </c>
      <c r="E1576" s="6" t="s">
        <v>1264</v>
      </c>
      <c r="F1576" s="8" t="str">
        <f>VLOOKUP($D1576,설문!$C$2:$G$444,3,FALSE)</f>
        <v>트레이더</v>
      </c>
      <c r="G1576" s="8" t="str">
        <f>VLOOKUP($D1576,설문!$C$2:$G$444,4,FALSE)</f>
        <v>금융회사</v>
      </c>
      <c r="H1576" s="8" t="str">
        <f>VLOOKUP($D1576,설문!$C$2:$G$444,5,FALSE)</f>
        <v>국고채/통안채,국채선물,원화 이자율스왑,외화 이자율스왑,FX Spot &amp; FX Swap,CRS &amp; FX Option</v>
      </c>
    </row>
    <row r="1577" spans="1:8">
      <c r="A1577" s="6" t="s">
        <v>47</v>
      </c>
      <c r="B1577" s="7" t="s">
        <v>482</v>
      </c>
      <c r="C1577" s="7" t="s">
        <v>483</v>
      </c>
      <c r="D1577" s="7" t="s">
        <v>1559</v>
      </c>
      <c r="E1577" s="6" t="s">
        <v>798</v>
      </c>
      <c r="F1577" s="8" t="e">
        <f>VLOOKUP($D1577,설문!$C$2:$G$444,3,FALSE)</f>
        <v>#N/A</v>
      </c>
      <c r="G1577" s="8" t="e">
        <f>VLOOKUP($D1577,설문!$C$2:$G$444,4,FALSE)</f>
        <v>#N/A</v>
      </c>
      <c r="H1577" s="8" t="e">
        <f>VLOOKUP($D1577,설문!$C$2:$G$444,5,FALSE)</f>
        <v>#N/A</v>
      </c>
    </row>
    <row r="1578" spans="1:8">
      <c r="A1578" s="6" t="s">
        <v>47</v>
      </c>
      <c r="B1578" s="7" t="s">
        <v>1034</v>
      </c>
      <c r="C1578" s="7" t="s">
        <v>1034</v>
      </c>
      <c r="D1578" s="7" t="s">
        <v>1810</v>
      </c>
      <c r="E1578" s="6" t="s">
        <v>1811</v>
      </c>
      <c r="F1578" s="8" t="str">
        <f>VLOOKUP($D1578,설문!$C$2:$G$444,3,FALSE)</f>
        <v>기타</v>
      </c>
      <c r="G1578" s="8" t="str">
        <f>VLOOKUP($D1578,설문!$C$2:$G$444,4,FALSE)</f>
        <v>금융회사</v>
      </c>
      <c r="H1578" s="8" t="str">
        <f>VLOOKUP($D1578,설문!$C$2:$G$444,5,FALSE)</f>
        <v>단기자금</v>
      </c>
    </row>
    <row r="1579" spans="1:8">
      <c r="A1579" s="6" t="s">
        <v>47</v>
      </c>
      <c r="B1579" s="7" t="s">
        <v>4433</v>
      </c>
      <c r="C1579" s="7" t="s">
        <v>4433</v>
      </c>
      <c r="D1579" s="7" t="s">
        <v>4434</v>
      </c>
      <c r="E1579" s="6" t="s">
        <v>4435</v>
      </c>
      <c r="F1579" s="8" t="e">
        <f>VLOOKUP($D1579,설문!$C$2:$G$444,3,FALSE)</f>
        <v>#N/A</v>
      </c>
      <c r="G1579" s="8" t="e">
        <f>VLOOKUP($D1579,설문!$C$2:$G$444,4,FALSE)</f>
        <v>#N/A</v>
      </c>
      <c r="H1579" s="8" t="e">
        <f>VLOOKUP($D1579,설문!$C$2:$G$444,5,FALSE)</f>
        <v>#N/A</v>
      </c>
    </row>
    <row r="1580" spans="1:8">
      <c r="A1580" s="6" t="s">
        <v>47</v>
      </c>
      <c r="B1580" s="7" t="s">
        <v>1034</v>
      </c>
      <c r="C1580" s="7" t="s">
        <v>1034</v>
      </c>
      <c r="D1580" s="7" t="s">
        <v>4436</v>
      </c>
      <c r="E1580" s="6" t="s">
        <v>4437</v>
      </c>
      <c r="F1580" s="8" t="e">
        <f>VLOOKUP($D1580,설문!$C$2:$G$444,3,FALSE)</f>
        <v>#N/A</v>
      </c>
      <c r="G1580" s="8" t="e">
        <f>VLOOKUP($D1580,설문!$C$2:$G$444,4,FALSE)</f>
        <v>#N/A</v>
      </c>
      <c r="H1580" s="8" t="e">
        <f>VLOOKUP($D1580,설문!$C$2:$G$444,5,FALSE)</f>
        <v>#N/A</v>
      </c>
    </row>
    <row r="1581" spans="1:8">
      <c r="A1581" s="6" t="s">
        <v>47</v>
      </c>
      <c r="B1581" s="7" t="s">
        <v>1034</v>
      </c>
      <c r="C1581" s="7" t="s">
        <v>1034</v>
      </c>
      <c r="D1581" s="7" t="s">
        <v>4438</v>
      </c>
      <c r="E1581" s="6" t="s">
        <v>4439</v>
      </c>
      <c r="F1581" s="8" t="e">
        <f>VLOOKUP($D1581,설문!$C$2:$G$444,3,FALSE)</f>
        <v>#N/A</v>
      </c>
      <c r="G1581" s="8" t="e">
        <f>VLOOKUP($D1581,설문!$C$2:$G$444,4,FALSE)</f>
        <v>#N/A</v>
      </c>
      <c r="H1581" s="8" t="e">
        <f>VLOOKUP($D1581,설문!$C$2:$G$444,5,FALSE)</f>
        <v>#N/A</v>
      </c>
    </row>
    <row r="1582" spans="1:8">
      <c r="A1582" s="6" t="s">
        <v>47</v>
      </c>
      <c r="B1582" s="7" t="s">
        <v>1034</v>
      </c>
      <c r="C1582" s="7" t="s">
        <v>1034</v>
      </c>
      <c r="D1582" s="7" t="s">
        <v>4440</v>
      </c>
      <c r="E1582" s="6" t="s">
        <v>862</v>
      </c>
      <c r="F1582" s="8" t="e">
        <f>VLOOKUP($D1582,설문!$C$2:$G$444,3,FALSE)</f>
        <v>#N/A</v>
      </c>
      <c r="G1582" s="8" t="e">
        <f>VLOOKUP($D1582,설문!$C$2:$G$444,4,FALSE)</f>
        <v>#N/A</v>
      </c>
      <c r="H1582" s="8" t="e">
        <f>VLOOKUP($D1582,설문!$C$2:$G$444,5,FALSE)</f>
        <v>#N/A</v>
      </c>
    </row>
    <row r="1583" spans="1:8">
      <c r="A1583" s="6" t="s">
        <v>47</v>
      </c>
      <c r="B1583" s="7" t="s">
        <v>1034</v>
      </c>
      <c r="C1583" s="7" t="s">
        <v>1034</v>
      </c>
      <c r="D1583" s="7" t="s">
        <v>4441</v>
      </c>
      <c r="E1583" s="6" t="s">
        <v>4442</v>
      </c>
      <c r="F1583" s="8" t="e">
        <f>VLOOKUP($D1583,설문!$C$2:$G$444,3,FALSE)</f>
        <v>#N/A</v>
      </c>
      <c r="G1583" s="8" t="e">
        <f>VLOOKUP($D1583,설문!$C$2:$G$444,4,FALSE)</f>
        <v>#N/A</v>
      </c>
      <c r="H1583" s="8" t="e">
        <f>VLOOKUP($D1583,설문!$C$2:$G$444,5,FALSE)</f>
        <v>#N/A</v>
      </c>
    </row>
    <row r="1584" spans="1:8">
      <c r="A1584" s="6" t="s">
        <v>47</v>
      </c>
      <c r="B1584" s="7" t="s">
        <v>1034</v>
      </c>
      <c r="C1584" s="7" t="s">
        <v>1034</v>
      </c>
      <c r="D1584" s="7" t="s">
        <v>4443</v>
      </c>
      <c r="E1584" s="6" t="s">
        <v>4444</v>
      </c>
      <c r="F1584" s="8" t="e">
        <f>VLOOKUP($D1584,설문!$C$2:$G$444,3,FALSE)</f>
        <v>#N/A</v>
      </c>
      <c r="G1584" s="8" t="e">
        <f>VLOOKUP($D1584,설문!$C$2:$G$444,4,FALSE)</f>
        <v>#N/A</v>
      </c>
      <c r="H1584" s="8" t="e">
        <f>VLOOKUP($D1584,설문!$C$2:$G$444,5,FALSE)</f>
        <v>#N/A</v>
      </c>
    </row>
    <row r="1585" spans="1:8">
      <c r="A1585" s="6" t="s">
        <v>47</v>
      </c>
      <c r="B1585" s="7" t="s">
        <v>4445</v>
      </c>
      <c r="C1585" s="7" t="s">
        <v>4445</v>
      </c>
      <c r="D1585" s="7" t="s">
        <v>4446</v>
      </c>
      <c r="E1585" s="6" t="s">
        <v>4447</v>
      </c>
      <c r="F1585" s="8" t="e">
        <f>VLOOKUP($D1585,설문!$C$2:$G$444,3,FALSE)</f>
        <v>#N/A</v>
      </c>
      <c r="G1585" s="8" t="e">
        <f>VLOOKUP($D1585,설문!$C$2:$G$444,4,FALSE)</f>
        <v>#N/A</v>
      </c>
      <c r="H1585" s="8" t="e">
        <f>VLOOKUP($D1585,설문!$C$2:$G$444,5,FALSE)</f>
        <v>#N/A</v>
      </c>
    </row>
    <row r="1586" spans="1:8">
      <c r="A1586" s="6" t="s">
        <v>47</v>
      </c>
      <c r="B1586" s="7" t="s">
        <v>4448</v>
      </c>
      <c r="C1586" s="7" t="s">
        <v>4448</v>
      </c>
      <c r="D1586" s="7" t="s">
        <v>4449</v>
      </c>
      <c r="E1586" s="6" t="s">
        <v>4450</v>
      </c>
      <c r="F1586" s="8" t="e">
        <f>VLOOKUP($D1586,설문!$C$2:$G$444,3,FALSE)</f>
        <v>#N/A</v>
      </c>
      <c r="G1586" s="8" t="e">
        <f>VLOOKUP($D1586,설문!$C$2:$G$444,4,FALSE)</f>
        <v>#N/A</v>
      </c>
      <c r="H1586" s="8" t="e">
        <f>VLOOKUP($D1586,설문!$C$2:$G$444,5,FALSE)</f>
        <v>#N/A</v>
      </c>
    </row>
    <row r="1587" spans="1:8">
      <c r="A1587" s="6" t="s">
        <v>47</v>
      </c>
      <c r="B1587" s="7" t="s">
        <v>4451</v>
      </c>
      <c r="C1587" s="7" t="s">
        <v>4452</v>
      </c>
      <c r="D1587" s="7" t="s">
        <v>4453</v>
      </c>
      <c r="E1587" s="6" t="s">
        <v>4454</v>
      </c>
      <c r="F1587" s="8" t="e">
        <f>VLOOKUP($D1587,설문!$C$2:$G$444,3,FALSE)</f>
        <v>#N/A</v>
      </c>
      <c r="G1587" s="8" t="e">
        <f>VLOOKUP($D1587,설문!$C$2:$G$444,4,FALSE)</f>
        <v>#N/A</v>
      </c>
      <c r="H1587" s="8" t="e">
        <f>VLOOKUP($D1587,설문!$C$2:$G$444,5,FALSE)</f>
        <v>#N/A</v>
      </c>
    </row>
    <row r="1588" spans="1:8">
      <c r="A1588" s="6" t="s">
        <v>47</v>
      </c>
      <c r="B1588" s="7" t="s">
        <v>4455</v>
      </c>
      <c r="C1588" s="7" t="s">
        <v>4455</v>
      </c>
      <c r="D1588" s="7" t="s">
        <v>4456</v>
      </c>
      <c r="E1588" s="6" t="s">
        <v>4457</v>
      </c>
      <c r="F1588" s="8" t="e">
        <f>VLOOKUP($D1588,설문!$C$2:$G$444,3,FALSE)</f>
        <v>#N/A</v>
      </c>
      <c r="G1588" s="8" t="e">
        <f>VLOOKUP($D1588,설문!$C$2:$G$444,4,FALSE)</f>
        <v>#N/A</v>
      </c>
      <c r="H1588" s="8" t="e">
        <f>VLOOKUP($D1588,설문!$C$2:$G$444,5,FALSE)</f>
        <v>#N/A</v>
      </c>
    </row>
    <row r="1589" spans="1:8">
      <c r="A1589" s="6" t="s">
        <v>47</v>
      </c>
      <c r="B1589" s="7" t="s">
        <v>4448</v>
      </c>
      <c r="C1589" s="7" t="s">
        <v>4448</v>
      </c>
      <c r="D1589" s="7" t="s">
        <v>4458</v>
      </c>
      <c r="E1589" s="6" t="s">
        <v>4459</v>
      </c>
      <c r="F1589" s="8" t="e">
        <f>VLOOKUP($D1589,설문!$C$2:$G$444,3,FALSE)</f>
        <v>#N/A</v>
      </c>
      <c r="G1589" s="8" t="e">
        <f>VLOOKUP($D1589,설문!$C$2:$G$444,4,FALSE)</f>
        <v>#N/A</v>
      </c>
      <c r="H1589" s="8" t="e">
        <f>VLOOKUP($D1589,설문!$C$2:$G$444,5,FALSE)</f>
        <v>#N/A</v>
      </c>
    </row>
    <row r="1590" spans="1:8">
      <c r="A1590" s="6" t="s">
        <v>47</v>
      </c>
      <c r="B1590" s="7" t="s">
        <v>4460</v>
      </c>
      <c r="C1590" s="7" t="s">
        <v>4461</v>
      </c>
      <c r="D1590" s="7" t="s">
        <v>4462</v>
      </c>
      <c r="E1590" s="6" t="s">
        <v>2867</v>
      </c>
      <c r="F1590" s="8" t="e">
        <f>VLOOKUP($D1590,설문!$C$2:$G$444,3,FALSE)</f>
        <v>#N/A</v>
      </c>
      <c r="G1590" s="8" t="e">
        <f>VLOOKUP($D1590,설문!$C$2:$G$444,4,FALSE)</f>
        <v>#N/A</v>
      </c>
      <c r="H1590" s="8" t="e">
        <f>VLOOKUP($D1590,설문!$C$2:$G$444,5,FALSE)</f>
        <v>#N/A</v>
      </c>
    </row>
    <row r="1591" spans="1:8">
      <c r="A1591" s="6" t="s">
        <v>47</v>
      </c>
      <c r="B1591" s="7" t="s">
        <v>4463</v>
      </c>
      <c r="C1591" s="7" t="s">
        <v>483</v>
      </c>
      <c r="D1591" s="7" t="s">
        <v>4464</v>
      </c>
      <c r="E1591" s="6" t="s">
        <v>4465</v>
      </c>
      <c r="F1591" s="8" t="e">
        <f>VLOOKUP($D1591,설문!$C$2:$G$444,3,FALSE)</f>
        <v>#N/A</v>
      </c>
      <c r="G1591" s="8" t="e">
        <f>VLOOKUP($D1591,설문!$C$2:$G$444,4,FALSE)</f>
        <v>#N/A</v>
      </c>
      <c r="H1591" s="8" t="e">
        <f>VLOOKUP($D1591,설문!$C$2:$G$444,5,FALSE)</f>
        <v>#N/A</v>
      </c>
    </row>
    <row r="1592" spans="1:8">
      <c r="A1592" s="6" t="s">
        <v>47</v>
      </c>
      <c r="B1592" s="7" t="s">
        <v>482</v>
      </c>
      <c r="C1592" s="7" t="s">
        <v>483</v>
      </c>
      <c r="D1592" s="7" t="s">
        <v>4466</v>
      </c>
      <c r="E1592" s="6" t="s">
        <v>2071</v>
      </c>
      <c r="F1592" s="8" t="e">
        <f>VLOOKUP($D1592,설문!$C$2:$G$444,3,FALSE)</f>
        <v>#N/A</v>
      </c>
      <c r="G1592" s="8" t="e">
        <f>VLOOKUP($D1592,설문!$C$2:$G$444,4,FALSE)</f>
        <v>#N/A</v>
      </c>
      <c r="H1592" s="8" t="e">
        <f>VLOOKUP($D1592,설문!$C$2:$G$444,5,FALSE)</f>
        <v>#N/A</v>
      </c>
    </row>
    <row r="1593" spans="1:8">
      <c r="A1593" s="6" t="s">
        <v>47</v>
      </c>
      <c r="B1593" s="7" t="s">
        <v>482</v>
      </c>
      <c r="C1593" s="7" t="s">
        <v>483</v>
      </c>
      <c r="D1593" s="7" t="s">
        <v>4467</v>
      </c>
      <c r="E1593" s="6" t="s">
        <v>4468</v>
      </c>
      <c r="F1593" s="8" t="str">
        <f>VLOOKUP($D1593,설문!$C$2:$G$444,3,FALSE)</f>
        <v>딜러</v>
      </c>
      <c r="G1593" s="8" t="str">
        <f>VLOOKUP($D1593,설문!$C$2:$G$444,4,FALSE)</f>
        <v>금융회사</v>
      </c>
      <c r="H1593" s="8" t="str">
        <f>VLOOKUP($D1593,설문!$C$2:$G$444,5,FALSE)</f>
        <v>국고채/통안채,회사채,국채선물,원화 이자율스왑</v>
      </c>
    </row>
    <row r="1594" spans="1:8">
      <c r="A1594" s="6" t="s">
        <v>47</v>
      </c>
      <c r="B1594" s="7" t="s">
        <v>482</v>
      </c>
      <c r="C1594" s="7" t="s">
        <v>483</v>
      </c>
      <c r="D1594" s="7" t="s">
        <v>4469</v>
      </c>
      <c r="E1594" s="6" t="s">
        <v>4470</v>
      </c>
      <c r="F1594" s="8" t="e">
        <f>VLOOKUP($D1594,설문!$C$2:$G$444,3,FALSE)</f>
        <v>#N/A</v>
      </c>
      <c r="G1594" s="8" t="e">
        <f>VLOOKUP($D1594,설문!$C$2:$G$444,4,FALSE)</f>
        <v>#N/A</v>
      </c>
      <c r="H1594" s="8" t="e">
        <f>VLOOKUP($D1594,설문!$C$2:$G$444,5,FALSE)</f>
        <v>#N/A</v>
      </c>
    </row>
    <row r="1595" spans="1:8">
      <c r="A1595" s="6" t="s">
        <v>47</v>
      </c>
      <c r="B1595" s="7" t="s">
        <v>482</v>
      </c>
      <c r="C1595" s="7" t="s">
        <v>483</v>
      </c>
      <c r="D1595" s="7" t="s">
        <v>4471</v>
      </c>
      <c r="E1595" s="6" t="s">
        <v>4472</v>
      </c>
      <c r="F1595" s="8" t="e">
        <f>VLOOKUP($D1595,설문!$C$2:$G$444,3,FALSE)</f>
        <v>#N/A</v>
      </c>
      <c r="G1595" s="8" t="e">
        <f>VLOOKUP($D1595,설문!$C$2:$G$444,4,FALSE)</f>
        <v>#N/A</v>
      </c>
      <c r="H1595" s="8" t="e">
        <f>VLOOKUP($D1595,설문!$C$2:$G$444,5,FALSE)</f>
        <v>#N/A</v>
      </c>
    </row>
    <row r="1596" spans="1:8">
      <c r="A1596" s="6" t="s">
        <v>47</v>
      </c>
      <c r="B1596" s="7" t="s">
        <v>482</v>
      </c>
      <c r="C1596" s="7" t="s">
        <v>483</v>
      </c>
      <c r="D1596" s="7" t="s">
        <v>4473</v>
      </c>
      <c r="E1596" s="6" t="s">
        <v>4474</v>
      </c>
      <c r="F1596" s="8" t="str">
        <f>VLOOKUP($D1596,설문!$C$2:$G$444,3,FALSE)</f>
        <v>딜러</v>
      </c>
      <c r="G1596" s="8" t="str">
        <f>VLOOKUP($D1596,설문!$C$2:$G$444,4,FALSE)</f>
        <v>금융회사</v>
      </c>
      <c r="H1596" s="8" t="str">
        <f>VLOOKUP($D1596,설문!$C$2:$G$444,5,FALSE)</f>
        <v>국고채/통안채,회사채,RP,국채선물,Korean Paper,외화채권(KP제외),외화채권선물,원화 이자율스왑,외화 이자율스왑,FX Spot &amp; FX Swap</v>
      </c>
    </row>
    <row r="1597" spans="1:8">
      <c r="A1597" s="6" t="s">
        <v>47</v>
      </c>
      <c r="B1597" s="7" t="s">
        <v>482</v>
      </c>
      <c r="C1597" s="7" t="s">
        <v>483</v>
      </c>
      <c r="D1597" s="7" t="s">
        <v>4475</v>
      </c>
      <c r="E1597" s="6" t="s">
        <v>4476</v>
      </c>
      <c r="F1597" s="8" t="e">
        <f>VLOOKUP($D1597,설문!$C$2:$G$444,3,FALSE)</f>
        <v>#N/A</v>
      </c>
      <c r="G1597" s="8" t="e">
        <f>VLOOKUP($D1597,설문!$C$2:$G$444,4,FALSE)</f>
        <v>#N/A</v>
      </c>
      <c r="H1597" s="8" t="e">
        <f>VLOOKUP($D1597,설문!$C$2:$G$444,5,FALSE)</f>
        <v>#N/A</v>
      </c>
    </row>
    <row r="1598" spans="1:8">
      <c r="A1598" s="6" t="s">
        <v>47</v>
      </c>
      <c r="B1598" s="7" t="s">
        <v>482</v>
      </c>
      <c r="C1598" s="7" t="s">
        <v>483</v>
      </c>
      <c r="D1598" s="7" t="s">
        <v>4477</v>
      </c>
      <c r="E1598" s="6" t="s">
        <v>4478</v>
      </c>
      <c r="F1598" s="8" t="e">
        <f>VLOOKUP($D1598,설문!$C$2:$G$444,3,FALSE)</f>
        <v>#N/A</v>
      </c>
      <c r="G1598" s="8" t="e">
        <f>VLOOKUP($D1598,설문!$C$2:$G$444,4,FALSE)</f>
        <v>#N/A</v>
      </c>
      <c r="H1598" s="8" t="e">
        <f>VLOOKUP($D1598,설문!$C$2:$G$444,5,FALSE)</f>
        <v>#N/A</v>
      </c>
    </row>
    <row r="1599" spans="1:8">
      <c r="A1599" s="6" t="s">
        <v>47</v>
      </c>
      <c r="B1599" s="7" t="s">
        <v>1522</v>
      </c>
      <c r="C1599" s="7" t="s">
        <v>1523</v>
      </c>
      <c r="D1599" s="7" t="s">
        <v>4479</v>
      </c>
      <c r="E1599" s="6" t="s">
        <v>4480</v>
      </c>
      <c r="F1599" s="8" t="str">
        <f>VLOOKUP($D1599,설문!$C$2:$G$444,3,FALSE)</f>
        <v>딜러</v>
      </c>
      <c r="G1599" s="8" t="str">
        <f>VLOOKUP($D1599,설문!$C$2:$G$444,4,FALSE)</f>
        <v>금융회사</v>
      </c>
      <c r="H1599" s="8" t="str">
        <f>VLOOKUP($D1599,설문!$C$2:$G$444,5,FALSE)</f>
        <v>국고채/통안채</v>
      </c>
    </row>
    <row r="1600" spans="1:8">
      <c r="A1600" s="6" t="s">
        <v>47</v>
      </c>
      <c r="B1600" s="7" t="s">
        <v>1319</v>
      </c>
      <c r="C1600" s="7" t="s">
        <v>1319</v>
      </c>
      <c r="D1600" s="7" t="s">
        <v>4481</v>
      </c>
      <c r="E1600" s="6" t="s">
        <v>4482</v>
      </c>
      <c r="F1600" s="8" t="e">
        <f>VLOOKUP($D1600,설문!$C$2:$G$444,3,FALSE)</f>
        <v>#N/A</v>
      </c>
      <c r="G1600" s="8" t="e">
        <f>VLOOKUP($D1600,설문!$C$2:$G$444,4,FALSE)</f>
        <v>#N/A</v>
      </c>
      <c r="H1600" s="8" t="e">
        <f>VLOOKUP($D1600,설문!$C$2:$G$444,5,FALSE)</f>
        <v>#N/A</v>
      </c>
    </row>
    <row r="1601" spans="1:8">
      <c r="A1601" s="6" t="s">
        <v>47</v>
      </c>
      <c r="B1601" s="7" t="s">
        <v>1319</v>
      </c>
      <c r="C1601" s="7" t="s">
        <v>1319</v>
      </c>
      <c r="D1601" s="7" t="s">
        <v>4483</v>
      </c>
      <c r="E1601" s="6" t="s">
        <v>4484</v>
      </c>
      <c r="F1601" s="8" t="e">
        <f>VLOOKUP($D1601,설문!$C$2:$G$444,3,FALSE)</f>
        <v>#N/A</v>
      </c>
      <c r="G1601" s="8" t="e">
        <f>VLOOKUP($D1601,설문!$C$2:$G$444,4,FALSE)</f>
        <v>#N/A</v>
      </c>
      <c r="H1601" s="8" t="e">
        <f>VLOOKUP($D1601,설문!$C$2:$G$444,5,FALSE)</f>
        <v>#N/A</v>
      </c>
    </row>
    <row r="1602" spans="1:8">
      <c r="A1602" s="6" t="s">
        <v>47</v>
      </c>
      <c r="B1602" s="7" t="s">
        <v>1319</v>
      </c>
      <c r="C1602" s="7" t="s">
        <v>1319</v>
      </c>
      <c r="D1602" s="7" t="s">
        <v>4485</v>
      </c>
      <c r="E1602" s="6" t="s">
        <v>4486</v>
      </c>
      <c r="F1602" s="8" t="e">
        <f>VLOOKUP($D1602,설문!$C$2:$G$444,3,FALSE)</f>
        <v>#N/A</v>
      </c>
      <c r="G1602" s="8" t="e">
        <f>VLOOKUP($D1602,설문!$C$2:$G$444,4,FALSE)</f>
        <v>#N/A</v>
      </c>
      <c r="H1602" s="8" t="e">
        <f>VLOOKUP($D1602,설문!$C$2:$G$444,5,FALSE)</f>
        <v>#N/A</v>
      </c>
    </row>
    <row r="1603" spans="1:8">
      <c r="A1603" s="6" t="s">
        <v>47</v>
      </c>
      <c r="B1603" s="7" t="s">
        <v>1319</v>
      </c>
      <c r="C1603" s="7" t="s">
        <v>1319</v>
      </c>
      <c r="D1603" s="7" t="s">
        <v>4487</v>
      </c>
      <c r="E1603" s="6" t="s">
        <v>4488</v>
      </c>
      <c r="F1603" s="8" t="e">
        <f>VLOOKUP($D1603,설문!$C$2:$G$444,3,FALSE)</f>
        <v>#N/A</v>
      </c>
      <c r="G1603" s="8" t="e">
        <f>VLOOKUP($D1603,설문!$C$2:$G$444,4,FALSE)</f>
        <v>#N/A</v>
      </c>
      <c r="H1603" s="8" t="e">
        <f>VLOOKUP($D1603,설문!$C$2:$G$444,5,FALSE)</f>
        <v>#N/A</v>
      </c>
    </row>
    <row r="1604" spans="1:8">
      <c r="A1604" s="6" t="s">
        <v>47</v>
      </c>
      <c r="B1604" s="7" t="s">
        <v>1319</v>
      </c>
      <c r="C1604" s="7" t="s">
        <v>1319</v>
      </c>
      <c r="D1604" s="7" t="s">
        <v>4489</v>
      </c>
      <c r="E1604" s="6" t="s">
        <v>4490</v>
      </c>
      <c r="F1604" s="8" t="e">
        <f>VLOOKUP($D1604,설문!$C$2:$G$444,3,FALSE)</f>
        <v>#N/A</v>
      </c>
      <c r="G1604" s="8" t="e">
        <f>VLOOKUP($D1604,설문!$C$2:$G$444,4,FALSE)</f>
        <v>#N/A</v>
      </c>
      <c r="H1604" s="8" t="e">
        <f>VLOOKUP($D1604,설문!$C$2:$G$444,5,FALSE)</f>
        <v>#N/A</v>
      </c>
    </row>
    <row r="1605" spans="1:8">
      <c r="A1605" s="6" t="s">
        <v>47</v>
      </c>
      <c r="B1605" s="7" t="s">
        <v>4491</v>
      </c>
      <c r="C1605" s="7" t="s">
        <v>4492</v>
      </c>
      <c r="D1605" s="7" t="s">
        <v>4493</v>
      </c>
      <c r="E1605" s="6" t="s">
        <v>4494</v>
      </c>
      <c r="F1605" s="8" t="str">
        <f>VLOOKUP($D1605,설문!$C$2:$G$444,3,FALSE)</f>
        <v>펀드매니저</v>
      </c>
      <c r="G1605" s="8" t="str">
        <f>VLOOKUP($D1605,설문!$C$2:$G$444,4,FALSE)</f>
        <v>일반기업고객,개인고객</v>
      </c>
      <c r="H1605" s="8" t="str">
        <f>VLOOKUP($D1605,설문!$C$2:$G$444,5,FALSE)</f>
        <v>회사채,소액채권</v>
      </c>
    </row>
    <row r="1606" spans="1:8">
      <c r="A1606" s="6" t="s">
        <v>47</v>
      </c>
      <c r="B1606" s="7" t="s">
        <v>4491</v>
      </c>
      <c r="C1606" s="7" t="s">
        <v>4492</v>
      </c>
      <c r="D1606" s="7" t="s">
        <v>4495</v>
      </c>
      <c r="E1606" s="6" t="s">
        <v>4496</v>
      </c>
      <c r="F1606" s="8" t="e">
        <f>VLOOKUP($D1606,설문!$C$2:$G$444,3,FALSE)</f>
        <v>#N/A</v>
      </c>
      <c r="G1606" s="8" t="e">
        <f>VLOOKUP($D1606,설문!$C$2:$G$444,4,FALSE)</f>
        <v>#N/A</v>
      </c>
      <c r="H1606" s="8" t="e">
        <f>VLOOKUP($D1606,설문!$C$2:$G$444,5,FALSE)</f>
        <v>#N/A</v>
      </c>
    </row>
    <row r="1607" spans="1:8">
      <c r="A1607" s="6" t="s">
        <v>47</v>
      </c>
      <c r="B1607" s="7" t="s">
        <v>4491</v>
      </c>
      <c r="C1607" s="7" t="s">
        <v>4491</v>
      </c>
      <c r="D1607" s="7" t="s">
        <v>4497</v>
      </c>
      <c r="E1607" s="6" t="s">
        <v>4498</v>
      </c>
      <c r="F1607" s="8" t="e">
        <f>VLOOKUP($D1607,설문!$C$2:$G$444,3,FALSE)</f>
        <v>#N/A</v>
      </c>
      <c r="G1607" s="8" t="e">
        <f>VLOOKUP($D1607,설문!$C$2:$G$444,4,FALSE)</f>
        <v>#N/A</v>
      </c>
      <c r="H1607" s="8" t="e">
        <f>VLOOKUP($D1607,설문!$C$2:$G$444,5,FALSE)</f>
        <v>#N/A</v>
      </c>
    </row>
    <row r="1608" spans="1:8">
      <c r="A1608" s="6" t="s">
        <v>47</v>
      </c>
      <c r="B1608" s="7" t="s">
        <v>4491</v>
      </c>
      <c r="C1608" s="7" t="s">
        <v>4492</v>
      </c>
      <c r="D1608" s="7" t="s">
        <v>4499</v>
      </c>
      <c r="E1608" s="6" t="s">
        <v>4500</v>
      </c>
      <c r="F1608" s="8" t="e">
        <f>VLOOKUP($D1608,설문!$C$2:$G$444,3,FALSE)</f>
        <v>#N/A</v>
      </c>
      <c r="G1608" s="8" t="e">
        <f>VLOOKUP($D1608,설문!$C$2:$G$444,4,FALSE)</f>
        <v>#N/A</v>
      </c>
      <c r="H1608" s="8" t="e">
        <f>VLOOKUP($D1608,설문!$C$2:$G$444,5,FALSE)</f>
        <v>#N/A</v>
      </c>
    </row>
    <row r="1609" spans="1:8">
      <c r="A1609" s="6" t="s">
        <v>47</v>
      </c>
      <c r="B1609" s="7" t="s">
        <v>4491</v>
      </c>
      <c r="C1609" s="7" t="s">
        <v>4492</v>
      </c>
      <c r="D1609" s="7" t="s">
        <v>4501</v>
      </c>
      <c r="E1609" s="6" t="s">
        <v>4502</v>
      </c>
      <c r="F1609" s="8" t="e">
        <f>VLOOKUP($D1609,설문!$C$2:$G$444,3,FALSE)</f>
        <v>#N/A</v>
      </c>
      <c r="G1609" s="8" t="e">
        <f>VLOOKUP($D1609,설문!$C$2:$G$444,4,FALSE)</f>
        <v>#N/A</v>
      </c>
      <c r="H1609" s="8" t="e">
        <f>VLOOKUP($D1609,설문!$C$2:$G$444,5,FALSE)</f>
        <v>#N/A</v>
      </c>
    </row>
    <row r="1610" spans="1:8">
      <c r="A1610" s="6" t="s">
        <v>47</v>
      </c>
      <c r="B1610" s="7" t="s">
        <v>4491</v>
      </c>
      <c r="C1610" s="7" t="s">
        <v>565</v>
      </c>
      <c r="D1610" s="7" t="s">
        <v>4503</v>
      </c>
      <c r="E1610" s="6" t="s">
        <v>4504</v>
      </c>
      <c r="F1610" s="8" t="e">
        <f>VLOOKUP($D1610,설문!$C$2:$G$444,3,FALSE)</f>
        <v>#N/A</v>
      </c>
      <c r="G1610" s="8" t="e">
        <f>VLOOKUP($D1610,설문!$C$2:$G$444,4,FALSE)</f>
        <v>#N/A</v>
      </c>
      <c r="H1610" s="8" t="e">
        <f>VLOOKUP($D1610,설문!$C$2:$G$444,5,FALSE)</f>
        <v>#N/A</v>
      </c>
    </row>
    <row r="1611" spans="1:8">
      <c r="A1611" s="6" t="s">
        <v>47</v>
      </c>
      <c r="B1611" s="7" t="s">
        <v>4491</v>
      </c>
      <c r="C1611" s="7" t="s">
        <v>4491</v>
      </c>
      <c r="D1611" s="7" t="s">
        <v>4505</v>
      </c>
      <c r="E1611" s="6" t="s">
        <v>4506</v>
      </c>
      <c r="F1611" s="8" t="e">
        <f>VLOOKUP($D1611,설문!$C$2:$G$444,3,FALSE)</f>
        <v>#N/A</v>
      </c>
      <c r="G1611" s="8" t="e">
        <f>VLOOKUP($D1611,설문!$C$2:$G$444,4,FALSE)</f>
        <v>#N/A</v>
      </c>
      <c r="H1611" s="8" t="e">
        <f>VLOOKUP($D1611,설문!$C$2:$G$444,5,FALSE)</f>
        <v>#N/A</v>
      </c>
    </row>
    <row r="1612" spans="1:8">
      <c r="A1612" s="6" t="s">
        <v>47</v>
      </c>
      <c r="B1612" s="7" t="s">
        <v>4491</v>
      </c>
      <c r="C1612" s="7" t="s">
        <v>4491</v>
      </c>
      <c r="D1612" s="7" t="s">
        <v>4507</v>
      </c>
      <c r="E1612" s="6" t="s">
        <v>2904</v>
      </c>
      <c r="F1612" s="8" t="e">
        <f>VLOOKUP($D1612,설문!$C$2:$G$444,3,FALSE)</f>
        <v>#N/A</v>
      </c>
      <c r="G1612" s="8" t="e">
        <f>VLOOKUP($D1612,설문!$C$2:$G$444,4,FALSE)</f>
        <v>#N/A</v>
      </c>
      <c r="H1612" s="8" t="e">
        <f>VLOOKUP($D1612,설문!$C$2:$G$444,5,FALSE)</f>
        <v>#N/A</v>
      </c>
    </row>
    <row r="1613" spans="1:8">
      <c r="A1613" s="6" t="s">
        <v>47</v>
      </c>
      <c r="B1613" s="7" t="s">
        <v>4491</v>
      </c>
      <c r="C1613" s="7" t="s">
        <v>4491</v>
      </c>
      <c r="D1613" s="7" t="s">
        <v>4508</v>
      </c>
      <c r="E1613" s="6" t="s">
        <v>3930</v>
      </c>
      <c r="F1613" s="8" t="e">
        <f>VLOOKUP($D1613,설문!$C$2:$G$444,3,FALSE)</f>
        <v>#N/A</v>
      </c>
      <c r="G1613" s="8" t="e">
        <f>VLOOKUP($D1613,설문!$C$2:$G$444,4,FALSE)</f>
        <v>#N/A</v>
      </c>
      <c r="H1613" s="8" t="e">
        <f>VLOOKUP($D1613,설문!$C$2:$G$444,5,FALSE)</f>
        <v>#N/A</v>
      </c>
    </row>
    <row r="1614" spans="1:8">
      <c r="A1614" s="6" t="s">
        <v>47</v>
      </c>
      <c r="B1614" s="7" t="s">
        <v>4509</v>
      </c>
      <c r="C1614" s="7" t="s">
        <v>4509</v>
      </c>
      <c r="D1614" s="7" t="s">
        <v>4510</v>
      </c>
      <c r="E1614" s="6" t="s">
        <v>4511</v>
      </c>
      <c r="F1614" s="8" t="e">
        <f>VLOOKUP($D1614,설문!$C$2:$G$444,3,FALSE)</f>
        <v>#N/A</v>
      </c>
      <c r="G1614" s="8" t="e">
        <f>VLOOKUP($D1614,설문!$C$2:$G$444,4,FALSE)</f>
        <v>#N/A</v>
      </c>
      <c r="H1614" s="8" t="e">
        <f>VLOOKUP($D1614,설문!$C$2:$G$444,5,FALSE)</f>
        <v>#N/A</v>
      </c>
    </row>
    <row r="1615" spans="1:8">
      <c r="A1615" s="6" t="s">
        <v>47</v>
      </c>
      <c r="B1615" s="7" t="s">
        <v>4509</v>
      </c>
      <c r="C1615" s="7" t="s">
        <v>4509</v>
      </c>
      <c r="D1615" s="7" t="s">
        <v>4512</v>
      </c>
      <c r="E1615" s="6" t="s">
        <v>4513</v>
      </c>
      <c r="F1615" s="8" t="e">
        <f>VLOOKUP($D1615,설문!$C$2:$G$444,3,FALSE)</f>
        <v>#N/A</v>
      </c>
      <c r="G1615" s="8" t="e">
        <f>VLOOKUP($D1615,설문!$C$2:$G$444,4,FALSE)</f>
        <v>#N/A</v>
      </c>
      <c r="H1615" s="8" t="e">
        <f>VLOOKUP($D1615,설문!$C$2:$G$444,5,FALSE)</f>
        <v>#N/A</v>
      </c>
    </row>
    <row r="1616" spans="1:8">
      <c r="A1616" s="6" t="s">
        <v>47</v>
      </c>
      <c r="B1616" s="7" t="s">
        <v>4514</v>
      </c>
      <c r="C1616" s="7" t="s">
        <v>4515</v>
      </c>
      <c r="D1616" s="7" t="s">
        <v>4516</v>
      </c>
      <c r="E1616" s="6" t="s">
        <v>4517</v>
      </c>
      <c r="F1616" s="8" t="e">
        <f>VLOOKUP($D1616,설문!$C$2:$G$444,3,FALSE)</f>
        <v>#N/A</v>
      </c>
      <c r="G1616" s="8" t="e">
        <f>VLOOKUP($D1616,설문!$C$2:$G$444,4,FALSE)</f>
        <v>#N/A</v>
      </c>
      <c r="H1616" s="8" t="e">
        <f>VLOOKUP($D1616,설문!$C$2:$G$444,5,FALSE)</f>
        <v>#N/A</v>
      </c>
    </row>
    <row r="1617" spans="1:8">
      <c r="A1617" s="6" t="s">
        <v>47</v>
      </c>
      <c r="B1617" s="7" t="s">
        <v>4518</v>
      </c>
      <c r="C1617" s="7" t="s">
        <v>2225</v>
      </c>
      <c r="D1617" s="7" t="s">
        <v>4519</v>
      </c>
      <c r="E1617" s="6" t="s">
        <v>4520</v>
      </c>
      <c r="F1617" s="8" t="e">
        <f>VLOOKUP($D1617,설문!$C$2:$G$444,3,FALSE)</f>
        <v>#N/A</v>
      </c>
      <c r="G1617" s="8" t="e">
        <f>VLOOKUP($D1617,설문!$C$2:$G$444,4,FALSE)</f>
        <v>#N/A</v>
      </c>
      <c r="H1617" s="8" t="e">
        <f>VLOOKUP($D1617,설문!$C$2:$G$444,5,FALSE)</f>
        <v>#N/A</v>
      </c>
    </row>
    <row r="1618" spans="1:8">
      <c r="A1618" s="6" t="s">
        <v>47</v>
      </c>
      <c r="B1618" s="7" t="s">
        <v>1522</v>
      </c>
      <c r="C1618" s="7" t="s">
        <v>1523</v>
      </c>
      <c r="D1618" s="7" t="s">
        <v>4521</v>
      </c>
      <c r="E1618" s="6" t="s">
        <v>4522</v>
      </c>
      <c r="F1618" s="8" t="e">
        <f>VLOOKUP($D1618,설문!$C$2:$G$444,3,FALSE)</f>
        <v>#N/A</v>
      </c>
      <c r="G1618" s="8" t="e">
        <f>VLOOKUP($D1618,설문!$C$2:$G$444,4,FALSE)</f>
        <v>#N/A</v>
      </c>
      <c r="H1618" s="8" t="e">
        <f>VLOOKUP($D1618,설문!$C$2:$G$444,5,FALSE)</f>
        <v>#N/A</v>
      </c>
    </row>
    <row r="1619" spans="1:8">
      <c r="A1619" s="6" t="s">
        <v>47</v>
      </c>
      <c r="B1619" s="7" t="s">
        <v>1522</v>
      </c>
      <c r="C1619" s="7" t="s">
        <v>4523</v>
      </c>
      <c r="D1619" s="7" t="s">
        <v>4524</v>
      </c>
      <c r="E1619" s="6" t="s">
        <v>4525</v>
      </c>
      <c r="F1619" s="8" t="str">
        <f>VLOOKUP($D1619,설문!$C$2:$G$444,3,FALSE)</f>
        <v>딜러</v>
      </c>
      <c r="G1619" s="8" t="str">
        <f>VLOOKUP($D1619,설문!$C$2:$G$444,4,FALSE)</f>
        <v>금융회사</v>
      </c>
      <c r="H1619" s="8" t="str">
        <f>VLOOKUP($D1619,설문!$C$2:$G$444,5,FALSE)</f>
        <v>국고채/통안채,국채선물,원화 이자율스왑,외화 이자율스왑</v>
      </c>
    </row>
    <row r="1620" spans="1:8">
      <c r="A1620" s="6" t="s">
        <v>47</v>
      </c>
      <c r="B1620" s="7" t="s">
        <v>1522</v>
      </c>
      <c r="C1620" s="7" t="s">
        <v>4526</v>
      </c>
      <c r="D1620" s="7" t="s">
        <v>4527</v>
      </c>
      <c r="E1620" s="6" t="s">
        <v>4528</v>
      </c>
      <c r="F1620" s="8" t="e">
        <f>VLOOKUP($D1620,설문!$C$2:$G$444,3,FALSE)</f>
        <v>#N/A</v>
      </c>
      <c r="G1620" s="8" t="e">
        <f>VLOOKUP($D1620,설문!$C$2:$G$444,4,FALSE)</f>
        <v>#N/A</v>
      </c>
      <c r="H1620" s="8" t="e">
        <f>VLOOKUP($D1620,설문!$C$2:$G$444,5,FALSE)</f>
        <v>#N/A</v>
      </c>
    </row>
    <row r="1621" spans="1:8">
      <c r="A1621" s="6" t="s">
        <v>47</v>
      </c>
      <c r="B1621" s="7" t="s">
        <v>1522</v>
      </c>
      <c r="C1621" s="7" t="s">
        <v>4529</v>
      </c>
      <c r="D1621" s="7" t="s">
        <v>4530</v>
      </c>
      <c r="E1621" s="6" t="s">
        <v>4531</v>
      </c>
      <c r="F1621" s="8" t="e">
        <f>VLOOKUP($D1621,설문!$C$2:$G$444,3,FALSE)</f>
        <v>#N/A</v>
      </c>
      <c r="G1621" s="8" t="e">
        <f>VLOOKUP($D1621,설문!$C$2:$G$444,4,FALSE)</f>
        <v>#N/A</v>
      </c>
      <c r="H1621" s="8" t="e">
        <f>VLOOKUP($D1621,설문!$C$2:$G$444,5,FALSE)</f>
        <v>#N/A</v>
      </c>
    </row>
    <row r="1622" spans="1:8">
      <c r="A1622" s="6" t="s">
        <v>63</v>
      </c>
      <c r="B1622" s="7" t="s">
        <v>64</v>
      </c>
      <c r="C1622" s="7" t="s">
        <v>64</v>
      </c>
      <c r="D1622" s="7" t="s">
        <v>65</v>
      </c>
      <c r="E1622" s="6" t="s">
        <v>62</v>
      </c>
      <c r="F1622" s="8" t="e">
        <f>VLOOKUP($D1622,설문!$C$2:$G$444,3,FALSE)</f>
        <v>#N/A</v>
      </c>
      <c r="G1622" s="8" t="e">
        <f>VLOOKUP($D1622,설문!$C$2:$G$444,4,FALSE)</f>
        <v>#N/A</v>
      </c>
      <c r="H1622" s="8" t="e">
        <f>VLOOKUP($D1622,설문!$C$2:$G$444,5,FALSE)</f>
        <v>#N/A</v>
      </c>
    </row>
    <row r="1623" spans="1:8">
      <c r="A1623" s="6" t="s">
        <v>63</v>
      </c>
      <c r="B1623" s="7" t="s">
        <v>9</v>
      </c>
      <c r="C1623" s="7" t="s">
        <v>220</v>
      </c>
      <c r="D1623" s="7" t="s">
        <v>221</v>
      </c>
      <c r="E1623" s="6" t="s">
        <v>222</v>
      </c>
      <c r="F1623" s="8" t="e">
        <f>VLOOKUP($D1623,설문!$C$2:$G$444,3,FALSE)</f>
        <v>#N/A</v>
      </c>
      <c r="G1623" s="8" t="e">
        <f>VLOOKUP($D1623,설문!$C$2:$G$444,4,FALSE)</f>
        <v>#N/A</v>
      </c>
      <c r="H1623" s="8" t="e">
        <f>VLOOKUP($D1623,설문!$C$2:$G$444,5,FALSE)</f>
        <v>#N/A</v>
      </c>
    </row>
    <row r="1624" spans="1:8">
      <c r="A1624" s="6" t="s">
        <v>63</v>
      </c>
      <c r="B1624" s="7" t="s">
        <v>1389</v>
      </c>
      <c r="C1624" s="7" t="s">
        <v>9</v>
      </c>
      <c r="D1624" s="7" t="s">
        <v>1390</v>
      </c>
      <c r="E1624" s="6" t="s">
        <v>62</v>
      </c>
      <c r="F1624" s="8" t="e">
        <f>VLOOKUP($D1624,설문!$C$2:$G$444,3,FALSE)</f>
        <v>#N/A</v>
      </c>
      <c r="G1624" s="8" t="e">
        <f>VLOOKUP($D1624,설문!$C$2:$G$444,4,FALSE)</f>
        <v>#N/A</v>
      </c>
      <c r="H1624" s="8" t="e">
        <f>VLOOKUP($D1624,설문!$C$2:$G$444,5,FALSE)</f>
        <v>#N/A</v>
      </c>
    </row>
    <row r="1625" spans="1:8">
      <c r="A1625" s="6" t="s">
        <v>63</v>
      </c>
      <c r="B1625" s="7" t="s">
        <v>5136</v>
      </c>
      <c r="C1625" s="7" t="s">
        <v>1240</v>
      </c>
      <c r="D1625" s="7" t="s">
        <v>5137</v>
      </c>
      <c r="E1625" s="6" t="s">
        <v>5138</v>
      </c>
      <c r="F1625" s="8" t="e">
        <f>VLOOKUP($D1625,설문!$C$2:$G$444,3,FALSE)</f>
        <v>#N/A</v>
      </c>
      <c r="G1625" s="8" t="e">
        <f>VLOOKUP($D1625,설문!$C$2:$G$444,4,FALSE)</f>
        <v>#N/A</v>
      </c>
      <c r="H1625" s="8" t="e">
        <f>VLOOKUP($D1625,설문!$C$2:$G$444,5,FALSE)</f>
        <v>#N/A</v>
      </c>
    </row>
    <row r="1626" spans="1:8">
      <c r="A1626" s="6" t="s">
        <v>63</v>
      </c>
      <c r="B1626" s="7" t="s">
        <v>3075</v>
      </c>
      <c r="C1626" s="7" t="s">
        <v>9</v>
      </c>
      <c r="D1626" s="7" t="s">
        <v>5139</v>
      </c>
      <c r="E1626" s="6" t="s">
        <v>5140</v>
      </c>
      <c r="F1626" s="8" t="e">
        <f>VLOOKUP($D1626,설문!$C$2:$G$444,3,FALSE)</f>
        <v>#N/A</v>
      </c>
      <c r="G1626" s="8" t="e">
        <f>VLOOKUP($D1626,설문!$C$2:$G$444,4,FALSE)</f>
        <v>#N/A</v>
      </c>
      <c r="H1626" s="8" t="e">
        <f>VLOOKUP($D1626,설문!$C$2:$G$444,5,FALSE)</f>
        <v>#N/A</v>
      </c>
    </row>
    <row r="1627" spans="1:8">
      <c r="A1627" s="6" t="s">
        <v>63</v>
      </c>
      <c r="B1627" s="7" t="s">
        <v>3075</v>
      </c>
      <c r="C1627" s="7" t="s">
        <v>9</v>
      </c>
      <c r="D1627" s="7" t="s">
        <v>5141</v>
      </c>
      <c r="E1627" s="6" t="s">
        <v>5140</v>
      </c>
      <c r="F1627" s="8" t="e">
        <f>VLOOKUP($D1627,설문!$C$2:$G$444,3,FALSE)</f>
        <v>#N/A</v>
      </c>
      <c r="G1627" s="8" t="e">
        <f>VLOOKUP($D1627,설문!$C$2:$G$444,4,FALSE)</f>
        <v>#N/A</v>
      </c>
      <c r="H1627" s="8" t="e">
        <f>VLOOKUP($D1627,설문!$C$2:$G$444,5,FALSE)</f>
        <v>#N/A</v>
      </c>
    </row>
    <row r="1628" spans="1:8">
      <c r="A1628" s="6" t="s">
        <v>63</v>
      </c>
      <c r="B1628" s="7" t="s">
        <v>3075</v>
      </c>
      <c r="C1628" s="7" t="s">
        <v>9</v>
      </c>
      <c r="D1628" s="7" t="s">
        <v>5142</v>
      </c>
      <c r="E1628" s="6" t="s">
        <v>5140</v>
      </c>
      <c r="F1628" s="8" t="e">
        <f>VLOOKUP($D1628,설문!$C$2:$G$444,3,FALSE)</f>
        <v>#N/A</v>
      </c>
      <c r="G1628" s="8" t="e">
        <f>VLOOKUP($D1628,설문!$C$2:$G$444,4,FALSE)</f>
        <v>#N/A</v>
      </c>
      <c r="H1628" s="8" t="e">
        <f>VLOOKUP($D1628,설문!$C$2:$G$444,5,FALSE)</f>
        <v>#N/A</v>
      </c>
    </row>
    <row r="1629" spans="1:8">
      <c r="A1629" s="6" t="s">
        <v>63</v>
      </c>
      <c r="B1629" s="7" t="s">
        <v>3075</v>
      </c>
      <c r="C1629" s="7" t="s">
        <v>9</v>
      </c>
      <c r="D1629" s="7" t="s">
        <v>5143</v>
      </c>
      <c r="E1629" s="6" t="s">
        <v>5140</v>
      </c>
      <c r="F1629" s="8" t="e">
        <f>VLOOKUP($D1629,설문!$C$2:$G$444,3,FALSE)</f>
        <v>#N/A</v>
      </c>
      <c r="G1629" s="8" t="e">
        <f>VLOOKUP($D1629,설문!$C$2:$G$444,4,FALSE)</f>
        <v>#N/A</v>
      </c>
      <c r="H1629" s="8" t="e">
        <f>VLOOKUP($D1629,설문!$C$2:$G$444,5,FALSE)</f>
        <v>#N/A</v>
      </c>
    </row>
    <row r="1630" spans="1:8">
      <c r="A1630" s="6" t="s">
        <v>63</v>
      </c>
      <c r="B1630" s="7" t="s">
        <v>3075</v>
      </c>
      <c r="C1630" s="7" t="s">
        <v>9</v>
      </c>
      <c r="D1630" s="7" t="s">
        <v>5144</v>
      </c>
      <c r="E1630" s="6" t="s">
        <v>5140</v>
      </c>
      <c r="F1630" s="8" t="e">
        <f>VLOOKUP($D1630,설문!$C$2:$G$444,3,FALSE)</f>
        <v>#N/A</v>
      </c>
      <c r="G1630" s="8" t="e">
        <f>VLOOKUP($D1630,설문!$C$2:$G$444,4,FALSE)</f>
        <v>#N/A</v>
      </c>
      <c r="H1630" s="8" t="e">
        <f>VLOOKUP($D1630,설문!$C$2:$G$444,5,FALSE)</f>
        <v>#N/A</v>
      </c>
    </row>
    <row r="1631" spans="1:8">
      <c r="A1631" s="6" t="s">
        <v>63</v>
      </c>
      <c r="B1631" s="7" t="s">
        <v>3075</v>
      </c>
      <c r="C1631" s="7" t="s">
        <v>9</v>
      </c>
      <c r="D1631" s="7" t="s">
        <v>5145</v>
      </c>
      <c r="E1631" s="6" t="s">
        <v>5140</v>
      </c>
      <c r="F1631" s="8" t="e">
        <f>VLOOKUP($D1631,설문!$C$2:$G$444,3,FALSE)</f>
        <v>#N/A</v>
      </c>
      <c r="G1631" s="8" t="e">
        <f>VLOOKUP($D1631,설문!$C$2:$G$444,4,FALSE)</f>
        <v>#N/A</v>
      </c>
      <c r="H1631" s="8" t="e">
        <f>VLOOKUP($D1631,설문!$C$2:$G$444,5,FALSE)</f>
        <v>#N/A</v>
      </c>
    </row>
    <row r="1632" spans="1:8">
      <c r="A1632" s="6" t="s">
        <v>63</v>
      </c>
      <c r="B1632" s="7" t="s">
        <v>64</v>
      </c>
      <c r="C1632" s="7" t="s">
        <v>377</v>
      </c>
      <c r="D1632" s="7" t="s">
        <v>5146</v>
      </c>
      <c r="E1632" s="6" t="s">
        <v>5147</v>
      </c>
      <c r="F1632" s="8" t="e">
        <f>VLOOKUP($D1632,설문!$C$2:$G$444,3,FALSE)</f>
        <v>#N/A</v>
      </c>
      <c r="G1632" s="8" t="e">
        <f>VLOOKUP($D1632,설문!$C$2:$G$444,4,FALSE)</f>
        <v>#N/A</v>
      </c>
      <c r="H1632" s="8" t="e">
        <f>VLOOKUP($D1632,설문!$C$2:$G$444,5,FALSE)</f>
        <v>#N/A</v>
      </c>
    </row>
    <row r="1633" spans="1:8">
      <c r="A1633" s="6" t="s">
        <v>63</v>
      </c>
      <c r="B1633" s="7" t="s">
        <v>64</v>
      </c>
      <c r="C1633" s="7" t="s">
        <v>1079</v>
      </c>
      <c r="D1633" s="7" t="s">
        <v>5148</v>
      </c>
      <c r="E1633" s="6" t="s">
        <v>5149</v>
      </c>
      <c r="F1633" s="8" t="str">
        <f>VLOOKUP($D1633,설문!$C$2:$G$444,3,FALSE)</f>
        <v>딜러</v>
      </c>
      <c r="G1633" s="8" t="str">
        <f>VLOOKUP($D1633,설문!$C$2:$G$444,4,FALSE)</f>
        <v>금융회사,금융 유관기관</v>
      </c>
      <c r="H1633" s="8" t="str">
        <f>VLOOKUP($D1633,설문!$C$2:$G$444,5,FALSE)</f>
        <v>국내주식/지수,국내주식/지수관련파생</v>
      </c>
    </row>
    <row r="1634" spans="1:8">
      <c r="A1634" s="6" t="s">
        <v>63</v>
      </c>
      <c r="B1634" s="7" t="s">
        <v>64</v>
      </c>
      <c r="C1634" s="7" t="s">
        <v>377</v>
      </c>
      <c r="D1634" s="7" t="s">
        <v>5150</v>
      </c>
      <c r="E1634" s="6" t="s">
        <v>5151</v>
      </c>
      <c r="F1634" s="8" t="e">
        <f>VLOOKUP($D1634,설문!$C$2:$G$444,3,FALSE)</f>
        <v>#N/A</v>
      </c>
      <c r="G1634" s="8" t="e">
        <f>VLOOKUP($D1634,설문!$C$2:$G$444,4,FALSE)</f>
        <v>#N/A</v>
      </c>
      <c r="H1634" s="8" t="e">
        <f>VLOOKUP($D1634,설문!$C$2:$G$444,5,FALSE)</f>
        <v>#N/A</v>
      </c>
    </row>
    <row r="1635" spans="1:8">
      <c r="A1635" s="6" t="s">
        <v>63</v>
      </c>
      <c r="B1635" s="7" t="s">
        <v>1389</v>
      </c>
      <c r="C1635" s="7" t="s">
        <v>377</v>
      </c>
      <c r="D1635" s="7" t="s">
        <v>5152</v>
      </c>
      <c r="E1635" s="6" t="s">
        <v>547</v>
      </c>
      <c r="F1635" s="8" t="str">
        <f>VLOOKUP($D1635,설문!$C$2:$G$444,3,FALSE)</f>
        <v>트레이더</v>
      </c>
      <c r="G1635" s="8" t="str">
        <f>VLOOKUP($D1635,설문!$C$2:$G$444,4,FALSE)</f>
        <v>금융회사</v>
      </c>
      <c r="H1635" s="8" t="str">
        <f>VLOOKUP($D1635,설문!$C$2:$G$444,5,FALSE)</f>
        <v>국내주식/지수</v>
      </c>
    </row>
    <row r="1636" spans="1:8">
      <c r="A1636" s="6" t="s">
        <v>63</v>
      </c>
      <c r="B1636" s="7" t="s">
        <v>1389</v>
      </c>
      <c r="C1636" s="7" t="s">
        <v>202</v>
      </c>
      <c r="D1636" s="7" t="s">
        <v>5153</v>
      </c>
      <c r="E1636" s="6" t="s">
        <v>5154</v>
      </c>
      <c r="F1636" s="8" t="e">
        <f>VLOOKUP($D1636,설문!$C$2:$G$444,3,FALSE)</f>
        <v>#N/A</v>
      </c>
      <c r="G1636" s="8" t="e">
        <f>VLOOKUP($D1636,설문!$C$2:$G$444,4,FALSE)</f>
        <v>#N/A</v>
      </c>
      <c r="H1636" s="8" t="e">
        <f>VLOOKUP($D1636,설문!$C$2:$G$444,5,FALSE)</f>
        <v>#N/A</v>
      </c>
    </row>
    <row r="1637" spans="1:8">
      <c r="A1637" s="6" t="s">
        <v>63</v>
      </c>
      <c r="B1637" s="7" t="s">
        <v>5155</v>
      </c>
      <c r="C1637" s="7" t="s">
        <v>3334</v>
      </c>
      <c r="D1637" s="7" t="s">
        <v>5156</v>
      </c>
      <c r="E1637" s="6" t="s">
        <v>5157</v>
      </c>
      <c r="F1637" s="8" t="e">
        <f>VLOOKUP($D1637,설문!$C$2:$G$444,3,FALSE)</f>
        <v>#N/A</v>
      </c>
      <c r="G1637" s="8" t="e">
        <f>VLOOKUP($D1637,설문!$C$2:$G$444,4,FALSE)</f>
        <v>#N/A</v>
      </c>
      <c r="H1637" s="8" t="e">
        <f>VLOOKUP($D1637,설문!$C$2:$G$444,5,FALSE)</f>
        <v>#N/A</v>
      </c>
    </row>
    <row r="1638" spans="1:8">
      <c r="A1638" s="6" t="s">
        <v>63</v>
      </c>
      <c r="B1638" s="7" t="s">
        <v>5158</v>
      </c>
      <c r="C1638" s="7" t="s">
        <v>1079</v>
      </c>
      <c r="D1638" s="7" t="s">
        <v>5159</v>
      </c>
      <c r="E1638" s="6" t="s">
        <v>5160</v>
      </c>
      <c r="F1638" s="8" t="e">
        <f>VLOOKUP($D1638,설문!$C$2:$G$444,3,FALSE)</f>
        <v>#N/A</v>
      </c>
      <c r="G1638" s="8" t="e">
        <f>VLOOKUP($D1638,설문!$C$2:$G$444,4,FALSE)</f>
        <v>#N/A</v>
      </c>
      <c r="H1638" s="8" t="e">
        <f>VLOOKUP($D1638,설문!$C$2:$G$444,5,FALSE)</f>
        <v>#N/A</v>
      </c>
    </row>
    <row r="1639" spans="1:8">
      <c r="A1639" s="6" t="s">
        <v>63</v>
      </c>
      <c r="B1639" s="7" t="s">
        <v>5158</v>
      </c>
      <c r="C1639" s="7" t="s">
        <v>1079</v>
      </c>
      <c r="D1639" s="7" t="s">
        <v>5161</v>
      </c>
      <c r="E1639" s="6" t="s">
        <v>326</v>
      </c>
      <c r="F1639" s="8" t="e">
        <f>VLOOKUP($D1639,설문!$C$2:$G$444,3,FALSE)</f>
        <v>#N/A</v>
      </c>
      <c r="G1639" s="8" t="e">
        <f>VLOOKUP($D1639,설문!$C$2:$G$444,4,FALSE)</f>
        <v>#N/A</v>
      </c>
      <c r="H1639" s="8" t="e">
        <f>VLOOKUP($D1639,설문!$C$2:$G$444,5,FALSE)</f>
        <v>#N/A</v>
      </c>
    </row>
    <row r="1640" spans="1:8">
      <c r="A1640" s="6" t="s">
        <v>63</v>
      </c>
      <c r="B1640" s="7" t="s">
        <v>5158</v>
      </c>
      <c r="C1640" s="7" t="s">
        <v>5162</v>
      </c>
      <c r="D1640" s="7" t="s">
        <v>5163</v>
      </c>
      <c r="E1640" s="6" t="s">
        <v>5164</v>
      </c>
      <c r="F1640" s="8" t="e">
        <f>VLOOKUP($D1640,설문!$C$2:$G$444,3,FALSE)</f>
        <v>#N/A</v>
      </c>
      <c r="G1640" s="8" t="e">
        <f>VLOOKUP($D1640,설문!$C$2:$G$444,4,FALSE)</f>
        <v>#N/A</v>
      </c>
      <c r="H1640" s="8" t="e">
        <f>VLOOKUP($D1640,설문!$C$2:$G$444,5,FALSE)</f>
        <v>#N/A</v>
      </c>
    </row>
    <row r="1641" spans="1:8">
      <c r="A1641" s="6" t="s">
        <v>63</v>
      </c>
      <c r="B1641" s="7" t="s">
        <v>5158</v>
      </c>
      <c r="C1641" s="7" t="s">
        <v>5162</v>
      </c>
      <c r="D1641" s="7" t="s">
        <v>5165</v>
      </c>
      <c r="E1641" s="6" t="s">
        <v>5166</v>
      </c>
      <c r="F1641" s="8" t="str">
        <f>VLOOKUP($D1641,설문!$C$2:$G$444,3,FALSE)</f>
        <v>트레이더,세일즈</v>
      </c>
      <c r="G1641" s="8" t="str">
        <f>VLOOKUP($D1641,설문!$C$2:$G$444,4,FALSE)</f>
        <v>금융회사</v>
      </c>
      <c r="H1641" s="8" t="str">
        <f>VLOOKUP($D1641,설문!$C$2:$G$444,5,FALSE)</f>
        <v>국내주식/지수,국내주식/지수관련파생,ETF/ETN</v>
      </c>
    </row>
    <row r="1642" spans="1:8">
      <c r="A1642" s="6" t="s">
        <v>152</v>
      </c>
      <c r="B1642" s="7" t="s">
        <v>153</v>
      </c>
      <c r="C1642" s="7" t="s">
        <v>153</v>
      </c>
      <c r="D1642" s="7" t="s">
        <v>154</v>
      </c>
      <c r="E1642" s="6" t="s">
        <v>155</v>
      </c>
      <c r="F1642" s="8" t="e">
        <f>VLOOKUP($D1642,설문!$C$2:$G$444,3,FALSE)</f>
        <v>#N/A</v>
      </c>
      <c r="G1642" s="8" t="e">
        <f>VLOOKUP($D1642,설문!$C$2:$G$444,4,FALSE)</f>
        <v>#N/A</v>
      </c>
      <c r="H1642" s="8" t="e">
        <f>VLOOKUP($D1642,설문!$C$2:$G$444,5,FALSE)</f>
        <v>#N/A</v>
      </c>
    </row>
    <row r="1643" spans="1:8">
      <c r="A1643" s="6" t="s">
        <v>152</v>
      </c>
      <c r="B1643" s="7" t="s">
        <v>382</v>
      </c>
      <c r="C1643" s="7" t="s">
        <v>382</v>
      </c>
      <c r="D1643" s="7" t="s">
        <v>383</v>
      </c>
      <c r="E1643" s="6" t="s">
        <v>384</v>
      </c>
      <c r="F1643" s="8" t="e">
        <f>VLOOKUP($D1643,설문!$C$2:$G$444,3,FALSE)</f>
        <v>#N/A</v>
      </c>
      <c r="G1643" s="8" t="e">
        <f>VLOOKUP($D1643,설문!$C$2:$G$444,4,FALSE)</f>
        <v>#N/A</v>
      </c>
      <c r="H1643" s="8" t="e">
        <f>VLOOKUP($D1643,설문!$C$2:$G$444,5,FALSE)</f>
        <v>#N/A</v>
      </c>
    </row>
    <row r="1644" spans="1:8">
      <c r="A1644" s="6" t="s">
        <v>152</v>
      </c>
      <c r="B1644" s="7" t="s">
        <v>382</v>
      </c>
      <c r="C1644" s="7" t="s">
        <v>382</v>
      </c>
      <c r="D1644" s="7" t="s">
        <v>837</v>
      </c>
      <c r="E1644" s="6" t="s">
        <v>838</v>
      </c>
      <c r="F1644" s="8" t="e">
        <f>VLOOKUP($D1644,설문!$C$2:$G$444,3,FALSE)</f>
        <v>#N/A</v>
      </c>
      <c r="G1644" s="8" t="e">
        <f>VLOOKUP($D1644,설문!$C$2:$G$444,4,FALSE)</f>
        <v>#N/A</v>
      </c>
      <c r="H1644" s="8" t="e">
        <f>VLOOKUP($D1644,설문!$C$2:$G$444,5,FALSE)</f>
        <v>#N/A</v>
      </c>
    </row>
    <row r="1645" spans="1:8">
      <c r="A1645" s="6" t="s">
        <v>152</v>
      </c>
      <c r="B1645" s="7" t="s">
        <v>2313</v>
      </c>
      <c r="C1645" s="7" t="s">
        <v>2313</v>
      </c>
      <c r="D1645" s="7" t="s">
        <v>5296</v>
      </c>
      <c r="E1645" s="6" t="s">
        <v>5297</v>
      </c>
      <c r="F1645" s="8" t="e">
        <f>VLOOKUP($D1645,설문!$C$2:$G$444,3,FALSE)</f>
        <v>#N/A</v>
      </c>
      <c r="G1645" s="8" t="e">
        <f>VLOOKUP($D1645,설문!$C$2:$G$444,4,FALSE)</f>
        <v>#N/A</v>
      </c>
      <c r="H1645" s="8" t="e">
        <f>VLOOKUP($D1645,설문!$C$2:$G$444,5,FALSE)</f>
        <v>#N/A</v>
      </c>
    </row>
    <row r="1646" spans="1:8">
      <c r="A1646" s="6" t="s">
        <v>152</v>
      </c>
      <c r="B1646" s="7" t="s">
        <v>2313</v>
      </c>
      <c r="C1646" s="7" t="s">
        <v>2313</v>
      </c>
      <c r="D1646" s="7" t="s">
        <v>5298</v>
      </c>
      <c r="E1646" s="6" t="s">
        <v>5297</v>
      </c>
      <c r="F1646" s="8" t="e">
        <f>VLOOKUP($D1646,설문!$C$2:$G$444,3,FALSE)</f>
        <v>#N/A</v>
      </c>
      <c r="G1646" s="8" t="e">
        <f>VLOOKUP($D1646,설문!$C$2:$G$444,4,FALSE)</f>
        <v>#N/A</v>
      </c>
      <c r="H1646" s="8" t="e">
        <f>VLOOKUP($D1646,설문!$C$2:$G$444,5,FALSE)</f>
        <v>#N/A</v>
      </c>
    </row>
    <row r="1647" spans="1:8">
      <c r="A1647" s="6" t="s">
        <v>152</v>
      </c>
      <c r="B1647" s="7" t="s">
        <v>153</v>
      </c>
      <c r="C1647" s="7" t="s">
        <v>153</v>
      </c>
      <c r="D1647" s="7" t="s">
        <v>5299</v>
      </c>
      <c r="E1647" s="6" t="s">
        <v>2186</v>
      </c>
      <c r="F1647" s="8" t="e">
        <f>VLOOKUP($D1647,설문!$C$2:$G$444,3,FALSE)</f>
        <v>#N/A</v>
      </c>
      <c r="G1647" s="8" t="e">
        <f>VLOOKUP($D1647,설문!$C$2:$G$444,4,FALSE)</f>
        <v>#N/A</v>
      </c>
      <c r="H1647" s="8" t="e">
        <f>VLOOKUP($D1647,설문!$C$2:$G$444,5,FALSE)</f>
        <v>#N/A</v>
      </c>
    </row>
    <row r="1648" spans="1:8">
      <c r="A1648" s="6" t="s">
        <v>152</v>
      </c>
      <c r="B1648" s="7" t="s">
        <v>153</v>
      </c>
      <c r="C1648" s="7" t="s">
        <v>153</v>
      </c>
      <c r="D1648" s="7" t="s">
        <v>5300</v>
      </c>
      <c r="E1648" s="6" t="s">
        <v>5301</v>
      </c>
      <c r="F1648" s="8" t="str">
        <f>VLOOKUP($D1648,설문!$C$2:$G$444,3,FALSE)</f>
        <v>딜러</v>
      </c>
      <c r="G1648" s="8" t="str">
        <f>VLOOKUP($D1648,설문!$C$2:$G$444,4,FALSE)</f>
        <v>일반기업고객,기타</v>
      </c>
      <c r="H1648" s="8" t="str">
        <f>VLOOKUP($D1648,설문!$C$2:$G$444,5,FALSE)</f>
        <v>국내주식/지수</v>
      </c>
    </row>
    <row r="1649" spans="1:8">
      <c r="A1649" s="6" t="s">
        <v>152</v>
      </c>
      <c r="B1649" s="7" t="s">
        <v>153</v>
      </c>
      <c r="C1649" s="7" t="s">
        <v>153</v>
      </c>
      <c r="D1649" s="7" t="s">
        <v>5302</v>
      </c>
      <c r="E1649" s="6" t="s">
        <v>5303</v>
      </c>
      <c r="F1649" s="8" t="e">
        <f>VLOOKUP($D1649,설문!$C$2:$G$444,3,FALSE)</f>
        <v>#N/A</v>
      </c>
      <c r="G1649" s="8" t="e">
        <f>VLOOKUP($D1649,설문!$C$2:$G$444,4,FALSE)</f>
        <v>#N/A</v>
      </c>
      <c r="H1649" s="8" t="e">
        <f>VLOOKUP($D1649,설문!$C$2:$G$444,5,FALSE)</f>
        <v>#N/A</v>
      </c>
    </row>
    <row r="1650" spans="1:8">
      <c r="A1650" s="6" t="s">
        <v>152</v>
      </c>
      <c r="B1650" s="7" t="s">
        <v>382</v>
      </c>
      <c r="C1650" s="7" t="s">
        <v>382</v>
      </c>
      <c r="D1650" s="7" t="s">
        <v>5304</v>
      </c>
      <c r="E1650" s="6" t="s">
        <v>5305</v>
      </c>
      <c r="F1650" s="8" t="e">
        <f>VLOOKUP($D1650,설문!$C$2:$G$444,3,FALSE)</f>
        <v>#N/A</v>
      </c>
      <c r="G1650" s="8" t="e">
        <f>VLOOKUP($D1650,설문!$C$2:$G$444,4,FALSE)</f>
        <v>#N/A</v>
      </c>
      <c r="H1650" s="8" t="e">
        <f>VLOOKUP($D1650,설문!$C$2:$G$444,5,FALSE)</f>
        <v>#N/A</v>
      </c>
    </row>
    <row r="1651" spans="1:8">
      <c r="A1651" s="6" t="s">
        <v>427</v>
      </c>
      <c r="B1651" s="7" t="s">
        <v>428</v>
      </c>
      <c r="C1651" s="7" t="s">
        <v>429</v>
      </c>
      <c r="D1651" s="7" t="s">
        <v>430</v>
      </c>
      <c r="E1651" s="6" t="s">
        <v>431</v>
      </c>
      <c r="F1651" s="8" t="e">
        <f>VLOOKUP($D1651,설문!$C$2:$G$444,3,FALSE)</f>
        <v>#N/A</v>
      </c>
      <c r="G1651" s="8" t="e">
        <f>VLOOKUP($D1651,설문!$C$2:$G$444,4,FALSE)</f>
        <v>#N/A</v>
      </c>
      <c r="H1651" s="8" t="e">
        <f>VLOOKUP($D1651,설문!$C$2:$G$444,5,FALSE)</f>
        <v>#N/A</v>
      </c>
    </row>
    <row r="1652" spans="1:8">
      <c r="A1652" s="6" t="s">
        <v>427</v>
      </c>
      <c r="B1652" s="7" t="s">
        <v>428</v>
      </c>
      <c r="C1652" s="7" t="s">
        <v>1798</v>
      </c>
      <c r="D1652" s="7" t="s">
        <v>5208</v>
      </c>
      <c r="E1652" s="6" t="s">
        <v>62</v>
      </c>
      <c r="F1652" s="8" t="e">
        <f>VLOOKUP($D1652,설문!$C$2:$G$444,3,FALSE)</f>
        <v>#N/A</v>
      </c>
      <c r="G1652" s="8" t="e">
        <f>VLOOKUP($D1652,설문!$C$2:$G$444,4,FALSE)</f>
        <v>#N/A</v>
      </c>
      <c r="H1652" s="8" t="e">
        <f>VLOOKUP($D1652,설문!$C$2:$G$444,5,FALSE)</f>
        <v>#N/A</v>
      </c>
    </row>
    <row r="1653" spans="1:8">
      <c r="A1653" s="6" t="s">
        <v>427</v>
      </c>
      <c r="B1653" s="7" t="s">
        <v>5209</v>
      </c>
      <c r="C1653" s="7" t="s">
        <v>5209</v>
      </c>
      <c r="D1653" s="7" t="s">
        <v>5210</v>
      </c>
      <c r="E1653" s="6" t="s">
        <v>5211</v>
      </c>
      <c r="F1653" s="8" t="e">
        <f>VLOOKUP($D1653,설문!$C$2:$G$444,3,FALSE)</f>
        <v>#N/A</v>
      </c>
      <c r="G1653" s="8" t="e">
        <f>VLOOKUP($D1653,설문!$C$2:$G$444,4,FALSE)</f>
        <v>#N/A</v>
      </c>
      <c r="H1653" s="8" t="e">
        <f>VLOOKUP($D1653,설문!$C$2:$G$444,5,FALSE)</f>
        <v>#N/A</v>
      </c>
    </row>
    <row r="1654" spans="1:8">
      <c r="A1654" s="6" t="s">
        <v>427</v>
      </c>
      <c r="B1654" s="7" t="s">
        <v>428</v>
      </c>
      <c r="C1654" s="7" t="s">
        <v>429</v>
      </c>
      <c r="D1654" s="7" t="s">
        <v>5212</v>
      </c>
      <c r="E1654" s="6" t="s">
        <v>5213</v>
      </c>
      <c r="F1654" s="8" t="e">
        <f>VLOOKUP($D1654,설문!$C$2:$G$444,3,FALSE)</f>
        <v>#N/A</v>
      </c>
      <c r="G1654" s="8" t="e">
        <f>VLOOKUP($D1654,설문!$C$2:$G$444,4,FALSE)</f>
        <v>#N/A</v>
      </c>
      <c r="H1654" s="8" t="e">
        <f>VLOOKUP($D1654,설문!$C$2:$G$444,5,FALSE)</f>
        <v>#N/A</v>
      </c>
    </row>
    <row r="1655" spans="1:8">
      <c r="A1655" s="6" t="s">
        <v>427</v>
      </c>
      <c r="B1655" s="7" t="s">
        <v>428</v>
      </c>
      <c r="C1655" s="7" t="s">
        <v>429</v>
      </c>
      <c r="D1655" s="7" t="s">
        <v>5214</v>
      </c>
      <c r="E1655" s="6" t="s">
        <v>5215</v>
      </c>
      <c r="F1655" s="8" t="e">
        <f>VLOOKUP($D1655,설문!$C$2:$G$444,3,FALSE)</f>
        <v>#N/A</v>
      </c>
      <c r="G1655" s="8" t="e">
        <f>VLOOKUP($D1655,설문!$C$2:$G$444,4,FALSE)</f>
        <v>#N/A</v>
      </c>
      <c r="H1655" s="8" t="e">
        <f>VLOOKUP($D1655,설문!$C$2:$G$444,5,FALSE)</f>
        <v>#N/A</v>
      </c>
    </row>
    <row r="1656" spans="1:8">
      <c r="A1656" s="6" t="s">
        <v>427</v>
      </c>
      <c r="B1656" s="7" t="s">
        <v>428</v>
      </c>
      <c r="C1656" s="7" t="s">
        <v>429</v>
      </c>
      <c r="D1656" s="7" t="s">
        <v>5216</v>
      </c>
      <c r="E1656" s="6" t="s">
        <v>3124</v>
      </c>
      <c r="F1656" s="8" t="e">
        <f>VLOOKUP($D1656,설문!$C$2:$G$444,3,FALSE)</f>
        <v>#N/A</v>
      </c>
      <c r="G1656" s="8" t="e">
        <f>VLOOKUP($D1656,설문!$C$2:$G$444,4,FALSE)</f>
        <v>#N/A</v>
      </c>
      <c r="H1656" s="8" t="e">
        <f>VLOOKUP($D1656,설문!$C$2:$G$444,5,FALSE)</f>
        <v>#N/A</v>
      </c>
    </row>
    <row r="1657" spans="1:8">
      <c r="A1657" s="6" t="s">
        <v>427</v>
      </c>
      <c r="B1657" s="7" t="s">
        <v>428</v>
      </c>
      <c r="C1657" s="7" t="s">
        <v>429</v>
      </c>
      <c r="D1657" s="7" t="s">
        <v>5217</v>
      </c>
      <c r="E1657" s="6" t="s">
        <v>5218</v>
      </c>
      <c r="F1657" s="8" t="e">
        <f>VLOOKUP($D1657,설문!$C$2:$G$444,3,FALSE)</f>
        <v>#N/A</v>
      </c>
      <c r="G1657" s="8" t="e">
        <f>VLOOKUP($D1657,설문!$C$2:$G$444,4,FALSE)</f>
        <v>#N/A</v>
      </c>
      <c r="H1657" s="8" t="e">
        <f>VLOOKUP($D1657,설문!$C$2:$G$444,5,FALSE)</f>
        <v>#N/A</v>
      </c>
    </row>
    <row r="1658" spans="1:8">
      <c r="A1658" s="6" t="s">
        <v>427</v>
      </c>
      <c r="B1658" s="7" t="s">
        <v>1079</v>
      </c>
      <c r="C1658" s="7" t="s">
        <v>1079</v>
      </c>
      <c r="D1658" s="7" t="s">
        <v>5219</v>
      </c>
      <c r="E1658" s="6" t="s">
        <v>5220</v>
      </c>
      <c r="F1658" s="8" t="e">
        <f>VLOOKUP($D1658,설문!$C$2:$G$444,3,FALSE)</f>
        <v>#N/A</v>
      </c>
      <c r="G1658" s="8" t="e">
        <f>VLOOKUP($D1658,설문!$C$2:$G$444,4,FALSE)</f>
        <v>#N/A</v>
      </c>
      <c r="H1658" s="8" t="e">
        <f>VLOOKUP($D1658,설문!$C$2:$G$444,5,FALSE)</f>
        <v>#N/A</v>
      </c>
    </row>
    <row r="1659" spans="1:8">
      <c r="A1659" s="6" t="s">
        <v>427</v>
      </c>
      <c r="B1659" s="7" t="s">
        <v>5221</v>
      </c>
      <c r="C1659" s="7" t="s">
        <v>5221</v>
      </c>
      <c r="D1659" s="7" t="s">
        <v>5222</v>
      </c>
      <c r="E1659" s="6" t="s">
        <v>46</v>
      </c>
      <c r="F1659" s="8" t="e">
        <f>VLOOKUP($D1659,설문!$C$2:$G$444,3,FALSE)</f>
        <v>#N/A</v>
      </c>
      <c r="G1659" s="8" t="e">
        <f>VLOOKUP($D1659,설문!$C$2:$G$444,4,FALSE)</f>
        <v>#N/A</v>
      </c>
      <c r="H1659" s="8" t="e">
        <f>VLOOKUP($D1659,설문!$C$2:$G$444,5,FALSE)</f>
        <v>#N/A</v>
      </c>
    </row>
    <row r="1660" spans="1:8">
      <c r="A1660" s="6" t="s">
        <v>2128</v>
      </c>
      <c r="B1660" s="7" t="s">
        <v>9</v>
      </c>
      <c r="C1660" s="7" t="s">
        <v>2129</v>
      </c>
      <c r="D1660" s="7" t="s">
        <v>2130</v>
      </c>
      <c r="E1660" s="6" t="s">
        <v>324</v>
      </c>
      <c r="F1660" s="8" t="e">
        <f>VLOOKUP($D1660,설문!$C$2:$G$444,3,FALSE)</f>
        <v>#N/A</v>
      </c>
      <c r="G1660" s="8" t="e">
        <f>VLOOKUP($D1660,설문!$C$2:$G$444,4,FALSE)</f>
        <v>#N/A</v>
      </c>
      <c r="H1660" s="8" t="e">
        <f>VLOOKUP($D1660,설문!$C$2:$G$444,5,FALSE)</f>
        <v>#N/A</v>
      </c>
    </row>
    <row r="1661" spans="1:8">
      <c r="A1661" s="6" t="s">
        <v>2128</v>
      </c>
      <c r="B1661" s="7" t="s">
        <v>69</v>
      </c>
      <c r="C1661" s="7" t="s">
        <v>2131</v>
      </c>
      <c r="D1661" s="7" t="s">
        <v>2132</v>
      </c>
      <c r="E1661" s="6" t="s">
        <v>1585</v>
      </c>
      <c r="F1661" s="8" t="e">
        <f>VLOOKUP($D1661,설문!$C$2:$G$444,3,FALSE)</f>
        <v>#N/A</v>
      </c>
      <c r="G1661" s="8" t="e">
        <f>VLOOKUP($D1661,설문!$C$2:$G$444,4,FALSE)</f>
        <v>#N/A</v>
      </c>
      <c r="H1661" s="8" t="e">
        <f>VLOOKUP($D1661,설문!$C$2:$G$444,5,FALSE)</f>
        <v>#N/A</v>
      </c>
    </row>
    <row r="1662" spans="1:8">
      <c r="A1662" s="6" t="s">
        <v>2128</v>
      </c>
      <c r="B1662" s="7" t="s">
        <v>9</v>
      </c>
      <c r="C1662" s="7" t="s">
        <v>2133</v>
      </c>
      <c r="D1662" s="7" t="s">
        <v>2134</v>
      </c>
      <c r="E1662" s="6" t="s">
        <v>2135</v>
      </c>
      <c r="F1662" s="8" t="e">
        <f>VLOOKUP($D1662,설문!$C$2:$G$444,3,FALSE)</f>
        <v>#N/A</v>
      </c>
      <c r="G1662" s="8" t="e">
        <f>VLOOKUP($D1662,설문!$C$2:$G$444,4,FALSE)</f>
        <v>#N/A</v>
      </c>
      <c r="H1662" s="8" t="e">
        <f>VLOOKUP($D1662,설문!$C$2:$G$444,5,FALSE)</f>
        <v>#N/A</v>
      </c>
    </row>
    <row r="1663" spans="1:8">
      <c r="A1663" s="6" t="s">
        <v>2128</v>
      </c>
      <c r="B1663" s="7" t="s">
        <v>9</v>
      </c>
      <c r="C1663" s="7" t="s">
        <v>2129</v>
      </c>
      <c r="D1663" s="7" t="s">
        <v>2136</v>
      </c>
      <c r="E1663" s="6" t="s">
        <v>2137</v>
      </c>
      <c r="F1663" s="8" t="e">
        <f>VLOOKUP($D1663,설문!$C$2:$G$444,3,FALSE)</f>
        <v>#N/A</v>
      </c>
      <c r="G1663" s="8" t="e">
        <f>VLOOKUP($D1663,설문!$C$2:$G$444,4,FALSE)</f>
        <v>#N/A</v>
      </c>
      <c r="H1663" s="8" t="e">
        <f>VLOOKUP($D1663,설문!$C$2:$G$444,5,FALSE)</f>
        <v>#N/A</v>
      </c>
    </row>
    <row r="1664" spans="1:8">
      <c r="A1664" s="6" t="s">
        <v>2128</v>
      </c>
      <c r="B1664" s="7" t="s">
        <v>9</v>
      </c>
      <c r="C1664" s="7" t="s">
        <v>2133</v>
      </c>
      <c r="D1664" s="7" t="s">
        <v>2138</v>
      </c>
      <c r="E1664" s="6" t="s">
        <v>2139</v>
      </c>
      <c r="F1664" s="8" t="e">
        <f>VLOOKUP($D1664,설문!$C$2:$G$444,3,FALSE)</f>
        <v>#N/A</v>
      </c>
      <c r="G1664" s="8" t="e">
        <f>VLOOKUP($D1664,설문!$C$2:$G$444,4,FALSE)</f>
        <v>#N/A</v>
      </c>
      <c r="H1664" s="8" t="e">
        <f>VLOOKUP($D1664,설문!$C$2:$G$444,5,FALSE)</f>
        <v>#N/A</v>
      </c>
    </row>
    <row r="1665" spans="1:8">
      <c r="A1665" s="6" t="s">
        <v>2128</v>
      </c>
      <c r="B1665" s="7" t="s">
        <v>2140</v>
      </c>
      <c r="C1665" s="7" t="s">
        <v>2141</v>
      </c>
      <c r="D1665" s="7" t="s">
        <v>2142</v>
      </c>
      <c r="E1665" s="6" t="s">
        <v>2143</v>
      </c>
      <c r="F1665" s="8" t="e">
        <f>VLOOKUP($D1665,설문!$C$2:$G$444,3,FALSE)</f>
        <v>#N/A</v>
      </c>
      <c r="G1665" s="8" t="e">
        <f>VLOOKUP($D1665,설문!$C$2:$G$444,4,FALSE)</f>
        <v>#N/A</v>
      </c>
      <c r="H1665" s="8" t="e">
        <f>VLOOKUP($D1665,설문!$C$2:$G$444,5,FALSE)</f>
        <v>#N/A</v>
      </c>
    </row>
    <row r="1666" spans="1:8">
      <c r="A1666" s="6" t="s">
        <v>2128</v>
      </c>
      <c r="B1666" s="7" t="s">
        <v>9</v>
      </c>
      <c r="C1666" s="7" t="s">
        <v>2131</v>
      </c>
      <c r="D1666" s="7" t="s">
        <v>2144</v>
      </c>
      <c r="E1666" s="6" t="s">
        <v>2145</v>
      </c>
      <c r="F1666" s="8" t="e">
        <f>VLOOKUP($D1666,설문!$C$2:$G$444,3,FALSE)</f>
        <v>#N/A</v>
      </c>
      <c r="G1666" s="8" t="e">
        <f>VLOOKUP($D1666,설문!$C$2:$G$444,4,FALSE)</f>
        <v>#N/A</v>
      </c>
      <c r="H1666" s="8" t="e">
        <f>VLOOKUP($D1666,설문!$C$2:$G$444,5,FALSE)</f>
        <v>#N/A</v>
      </c>
    </row>
    <row r="1667" spans="1:8">
      <c r="A1667" s="6" t="s">
        <v>2128</v>
      </c>
      <c r="B1667" s="7" t="s">
        <v>9</v>
      </c>
      <c r="C1667" s="7" t="s">
        <v>2131</v>
      </c>
      <c r="D1667" s="7" t="s">
        <v>2146</v>
      </c>
      <c r="E1667" s="6" t="s">
        <v>2147</v>
      </c>
      <c r="F1667" s="8" t="e">
        <f>VLOOKUP($D1667,설문!$C$2:$G$444,3,FALSE)</f>
        <v>#N/A</v>
      </c>
      <c r="G1667" s="8" t="e">
        <f>VLOOKUP($D1667,설문!$C$2:$G$444,4,FALSE)</f>
        <v>#N/A</v>
      </c>
      <c r="H1667" s="8" t="e">
        <f>VLOOKUP($D1667,설문!$C$2:$G$444,5,FALSE)</f>
        <v>#N/A</v>
      </c>
    </row>
    <row r="1668" spans="1:8">
      <c r="A1668" s="6" t="s">
        <v>2128</v>
      </c>
      <c r="B1668" s="7" t="s">
        <v>9</v>
      </c>
      <c r="C1668" s="7" t="s">
        <v>2148</v>
      </c>
      <c r="D1668" s="7" t="s">
        <v>2149</v>
      </c>
      <c r="E1668" s="6" t="s">
        <v>2150</v>
      </c>
      <c r="F1668" s="8" t="str">
        <f>VLOOKUP($D1668,설문!$C$2:$G$444,3,FALSE)</f>
        <v>리스크관리(미들)</v>
      </c>
      <c r="G1668" s="8" t="str">
        <f>VLOOKUP($D1668,설문!$C$2:$G$444,4,FALSE)</f>
        <v>기타</v>
      </c>
      <c r="H1668" s="8" t="str">
        <f>VLOOKUP($D1668,설문!$C$2:$G$444,5,FALSE)</f>
        <v>국고채/통안채,단기자금,국내주식/지수관련파생</v>
      </c>
    </row>
    <row r="1669" spans="1:8">
      <c r="A1669" s="6" t="s">
        <v>2128</v>
      </c>
      <c r="B1669" s="7" t="s">
        <v>9</v>
      </c>
      <c r="C1669" s="7" t="s">
        <v>2131</v>
      </c>
      <c r="D1669" s="7" t="s">
        <v>2151</v>
      </c>
      <c r="E1669" s="6" t="s">
        <v>2152</v>
      </c>
      <c r="F1669" s="8" t="e">
        <f>VLOOKUP($D1669,설문!$C$2:$G$444,3,FALSE)</f>
        <v>#N/A</v>
      </c>
      <c r="G1669" s="8" t="e">
        <f>VLOOKUP($D1669,설문!$C$2:$G$444,4,FALSE)</f>
        <v>#N/A</v>
      </c>
      <c r="H1669" s="8" t="e">
        <f>VLOOKUP($D1669,설문!$C$2:$G$444,5,FALSE)</f>
        <v>#N/A</v>
      </c>
    </row>
    <row r="1670" spans="1:8">
      <c r="A1670" s="6" t="s">
        <v>2128</v>
      </c>
      <c r="B1670" s="7" t="s">
        <v>9</v>
      </c>
      <c r="C1670" s="7" t="s">
        <v>2131</v>
      </c>
      <c r="D1670" s="7" t="s">
        <v>2153</v>
      </c>
      <c r="E1670" s="6" t="s">
        <v>2154</v>
      </c>
      <c r="F1670" s="8" t="e">
        <f>VLOOKUP($D1670,설문!$C$2:$G$444,3,FALSE)</f>
        <v>#N/A</v>
      </c>
      <c r="G1670" s="8" t="e">
        <f>VLOOKUP($D1670,설문!$C$2:$G$444,4,FALSE)</f>
        <v>#N/A</v>
      </c>
      <c r="H1670" s="8" t="e">
        <f>VLOOKUP($D1670,설문!$C$2:$G$444,5,FALSE)</f>
        <v>#N/A</v>
      </c>
    </row>
    <row r="1671" spans="1:8">
      <c r="A1671" s="6" t="s">
        <v>2128</v>
      </c>
      <c r="B1671" s="7" t="s">
        <v>9</v>
      </c>
      <c r="C1671" s="7" t="s">
        <v>2131</v>
      </c>
      <c r="D1671" s="7" t="s">
        <v>2155</v>
      </c>
      <c r="E1671" s="6" t="s">
        <v>2156</v>
      </c>
      <c r="F1671" s="8" t="e">
        <f>VLOOKUP($D1671,설문!$C$2:$G$444,3,FALSE)</f>
        <v>#N/A</v>
      </c>
      <c r="G1671" s="8" t="e">
        <f>VLOOKUP($D1671,설문!$C$2:$G$444,4,FALSE)</f>
        <v>#N/A</v>
      </c>
      <c r="H1671" s="8" t="e">
        <f>VLOOKUP($D1671,설문!$C$2:$G$444,5,FALSE)</f>
        <v>#N/A</v>
      </c>
    </row>
    <row r="1672" spans="1:8">
      <c r="A1672" s="6" t="s">
        <v>2128</v>
      </c>
      <c r="B1672" s="7" t="s">
        <v>9</v>
      </c>
      <c r="C1672" s="7" t="s">
        <v>2129</v>
      </c>
      <c r="D1672" s="7" t="s">
        <v>2157</v>
      </c>
      <c r="E1672" s="6" t="s">
        <v>2158</v>
      </c>
      <c r="F1672" s="8" t="e">
        <f>VLOOKUP($D1672,설문!$C$2:$G$444,3,FALSE)</f>
        <v>#N/A</v>
      </c>
      <c r="G1672" s="8" t="e">
        <f>VLOOKUP($D1672,설문!$C$2:$G$444,4,FALSE)</f>
        <v>#N/A</v>
      </c>
      <c r="H1672" s="8" t="e">
        <f>VLOOKUP($D1672,설문!$C$2:$G$444,5,FALSE)</f>
        <v>#N/A</v>
      </c>
    </row>
    <row r="1673" spans="1:8">
      <c r="A1673" s="6" t="s">
        <v>2128</v>
      </c>
      <c r="B1673" s="7" t="s">
        <v>9</v>
      </c>
      <c r="C1673" s="7" t="s">
        <v>134</v>
      </c>
      <c r="D1673" s="7" t="s">
        <v>2159</v>
      </c>
      <c r="E1673" s="6" t="s">
        <v>2160</v>
      </c>
      <c r="F1673" s="8" t="e">
        <f>VLOOKUP($D1673,설문!$C$2:$G$444,3,FALSE)</f>
        <v>#N/A</v>
      </c>
      <c r="G1673" s="8" t="e">
        <f>VLOOKUP($D1673,설문!$C$2:$G$444,4,FALSE)</f>
        <v>#N/A</v>
      </c>
      <c r="H1673" s="8" t="e">
        <f>VLOOKUP($D1673,설문!$C$2:$G$444,5,FALSE)</f>
        <v>#N/A</v>
      </c>
    </row>
    <row r="1674" spans="1:8">
      <c r="A1674" s="6" t="s">
        <v>182</v>
      </c>
      <c r="B1674" s="7" t="s">
        <v>183</v>
      </c>
      <c r="C1674" s="7" t="s">
        <v>183</v>
      </c>
      <c r="D1674" s="7" t="s">
        <v>184</v>
      </c>
      <c r="E1674" s="6" t="s">
        <v>185</v>
      </c>
      <c r="F1674" s="8" t="e">
        <f>VLOOKUP($D1674,설문!$C$2:$G$444,3,FALSE)</f>
        <v>#N/A</v>
      </c>
      <c r="G1674" s="8" t="e">
        <f>VLOOKUP($D1674,설문!$C$2:$G$444,4,FALSE)</f>
        <v>#N/A</v>
      </c>
      <c r="H1674" s="8" t="e">
        <f>VLOOKUP($D1674,설문!$C$2:$G$444,5,FALSE)</f>
        <v>#N/A</v>
      </c>
    </row>
    <row r="1675" spans="1:8">
      <c r="A1675" s="6" t="s">
        <v>182</v>
      </c>
      <c r="B1675" s="7" t="s">
        <v>216</v>
      </c>
      <c r="C1675" s="7" t="s">
        <v>217</v>
      </c>
      <c r="D1675" s="7" t="s">
        <v>218</v>
      </c>
      <c r="E1675" s="6" t="s">
        <v>219</v>
      </c>
      <c r="F1675" s="8" t="e">
        <f>VLOOKUP($D1675,설문!$C$2:$G$444,3,FALSE)</f>
        <v>#N/A</v>
      </c>
      <c r="G1675" s="8" t="e">
        <f>VLOOKUP($D1675,설문!$C$2:$G$444,4,FALSE)</f>
        <v>#N/A</v>
      </c>
      <c r="H1675" s="8" t="e">
        <f>VLOOKUP($D1675,설문!$C$2:$G$444,5,FALSE)</f>
        <v>#N/A</v>
      </c>
    </row>
    <row r="1676" spans="1:8">
      <c r="A1676" s="6" t="s">
        <v>182</v>
      </c>
      <c r="B1676" s="7" t="s">
        <v>947</v>
      </c>
      <c r="C1676" s="7" t="s">
        <v>947</v>
      </c>
      <c r="D1676" s="7" t="s">
        <v>948</v>
      </c>
      <c r="E1676" s="6" t="s">
        <v>949</v>
      </c>
      <c r="F1676" s="8" t="e">
        <f>VLOOKUP($D1676,설문!$C$2:$G$444,3,FALSE)</f>
        <v>#N/A</v>
      </c>
      <c r="G1676" s="8" t="e">
        <f>VLOOKUP($D1676,설문!$C$2:$G$444,4,FALSE)</f>
        <v>#N/A</v>
      </c>
      <c r="H1676" s="8" t="e">
        <f>VLOOKUP($D1676,설문!$C$2:$G$444,5,FALSE)</f>
        <v>#N/A</v>
      </c>
    </row>
    <row r="1677" spans="1:8">
      <c r="A1677" s="6" t="s">
        <v>182</v>
      </c>
      <c r="B1677" s="7" t="s">
        <v>458</v>
      </c>
      <c r="C1677" s="7" t="s">
        <v>458</v>
      </c>
      <c r="D1677" s="7" t="s">
        <v>1015</v>
      </c>
      <c r="E1677" s="6" t="s">
        <v>1016</v>
      </c>
      <c r="F1677" s="8" t="e">
        <f>VLOOKUP($D1677,설문!$C$2:$G$444,3,FALSE)</f>
        <v>#N/A</v>
      </c>
      <c r="G1677" s="8" t="e">
        <f>VLOOKUP($D1677,설문!$C$2:$G$444,4,FALSE)</f>
        <v>#N/A</v>
      </c>
      <c r="H1677" s="8" t="e">
        <f>VLOOKUP($D1677,설문!$C$2:$G$444,5,FALSE)</f>
        <v>#N/A</v>
      </c>
    </row>
    <row r="1678" spans="1:8">
      <c r="A1678" s="6" t="s">
        <v>182</v>
      </c>
      <c r="B1678" s="7" t="s">
        <v>1057</v>
      </c>
      <c r="C1678" s="7" t="s">
        <v>149</v>
      </c>
      <c r="D1678" s="7" t="s">
        <v>1058</v>
      </c>
      <c r="E1678" s="6" t="s">
        <v>1059</v>
      </c>
      <c r="F1678" s="8" t="e">
        <f>VLOOKUP($D1678,설문!$C$2:$G$444,3,FALSE)</f>
        <v>#N/A</v>
      </c>
      <c r="G1678" s="8" t="e">
        <f>VLOOKUP($D1678,설문!$C$2:$G$444,4,FALSE)</f>
        <v>#N/A</v>
      </c>
      <c r="H1678" s="8" t="e">
        <f>VLOOKUP($D1678,설문!$C$2:$G$444,5,FALSE)</f>
        <v>#N/A</v>
      </c>
    </row>
    <row r="1679" spans="1:8">
      <c r="A1679" s="6" t="s">
        <v>182</v>
      </c>
      <c r="B1679" s="7" t="s">
        <v>1179</v>
      </c>
      <c r="C1679" s="7" t="s">
        <v>789</v>
      </c>
      <c r="D1679" s="7" t="s">
        <v>1180</v>
      </c>
      <c r="E1679" s="6" t="s">
        <v>1181</v>
      </c>
      <c r="F1679" s="8" t="e">
        <f>VLOOKUP($D1679,설문!$C$2:$G$444,3,FALSE)</f>
        <v>#N/A</v>
      </c>
      <c r="G1679" s="8" t="e">
        <f>VLOOKUP($D1679,설문!$C$2:$G$444,4,FALSE)</f>
        <v>#N/A</v>
      </c>
      <c r="H1679" s="8" t="e">
        <f>VLOOKUP($D1679,설문!$C$2:$G$444,5,FALSE)</f>
        <v>#N/A</v>
      </c>
    </row>
    <row r="1680" spans="1:8">
      <c r="A1680" s="6" t="s">
        <v>182</v>
      </c>
      <c r="B1680" s="7" t="s">
        <v>609</v>
      </c>
      <c r="C1680" s="7" t="s">
        <v>217</v>
      </c>
      <c r="D1680" s="7" t="s">
        <v>1189</v>
      </c>
      <c r="E1680" s="6" t="s">
        <v>1190</v>
      </c>
      <c r="F1680" s="8" t="e">
        <f>VLOOKUP($D1680,설문!$C$2:$G$444,3,FALSE)</f>
        <v>#N/A</v>
      </c>
      <c r="G1680" s="8" t="e">
        <f>VLOOKUP($D1680,설문!$C$2:$G$444,4,FALSE)</f>
        <v>#N/A</v>
      </c>
      <c r="H1680" s="8" t="e">
        <f>VLOOKUP($D1680,설문!$C$2:$G$444,5,FALSE)</f>
        <v>#N/A</v>
      </c>
    </row>
    <row r="1681" spans="1:8">
      <c r="A1681" s="6" t="s">
        <v>182</v>
      </c>
      <c r="B1681" s="7" t="s">
        <v>1411</v>
      </c>
      <c r="C1681" s="7" t="s">
        <v>149</v>
      </c>
      <c r="D1681" s="7" t="s">
        <v>1412</v>
      </c>
      <c r="E1681" s="6" t="s">
        <v>1413</v>
      </c>
      <c r="F1681" s="8" t="e">
        <f>VLOOKUP($D1681,설문!$C$2:$G$444,3,FALSE)</f>
        <v>#N/A</v>
      </c>
      <c r="G1681" s="8" t="e">
        <f>VLOOKUP($D1681,설문!$C$2:$G$444,4,FALSE)</f>
        <v>#N/A</v>
      </c>
      <c r="H1681" s="8" t="e">
        <f>VLOOKUP($D1681,설문!$C$2:$G$444,5,FALSE)</f>
        <v>#N/A</v>
      </c>
    </row>
    <row r="1682" spans="1:8">
      <c r="A1682" s="6" t="s">
        <v>182</v>
      </c>
      <c r="B1682" s="7" t="s">
        <v>1057</v>
      </c>
      <c r="C1682" s="7" t="s">
        <v>135</v>
      </c>
      <c r="D1682" s="7" t="s">
        <v>1534</v>
      </c>
      <c r="E1682" s="6" t="s">
        <v>1535</v>
      </c>
      <c r="F1682" s="8" t="e">
        <f>VLOOKUP($D1682,설문!$C$2:$G$444,3,FALSE)</f>
        <v>#N/A</v>
      </c>
      <c r="G1682" s="8" t="e">
        <f>VLOOKUP($D1682,설문!$C$2:$G$444,4,FALSE)</f>
        <v>#N/A</v>
      </c>
      <c r="H1682" s="8" t="e">
        <f>VLOOKUP($D1682,설문!$C$2:$G$444,5,FALSE)</f>
        <v>#N/A</v>
      </c>
    </row>
    <row r="1683" spans="1:8">
      <c r="A1683" s="6" t="s">
        <v>182</v>
      </c>
      <c r="B1683" s="7" t="s">
        <v>4694</v>
      </c>
      <c r="C1683" s="7" t="s">
        <v>4694</v>
      </c>
      <c r="D1683" s="7" t="s">
        <v>4695</v>
      </c>
      <c r="E1683" s="6" t="s">
        <v>2331</v>
      </c>
      <c r="F1683" s="8" t="e">
        <f>VLOOKUP($D1683,설문!$C$2:$G$444,3,FALSE)</f>
        <v>#N/A</v>
      </c>
      <c r="G1683" s="8" t="e">
        <f>VLOOKUP($D1683,설문!$C$2:$G$444,4,FALSE)</f>
        <v>#N/A</v>
      </c>
      <c r="H1683" s="8" t="e">
        <f>VLOOKUP($D1683,설문!$C$2:$G$444,5,FALSE)</f>
        <v>#N/A</v>
      </c>
    </row>
    <row r="1684" spans="1:8">
      <c r="A1684" s="6" t="s">
        <v>182</v>
      </c>
      <c r="B1684" s="7" t="s">
        <v>947</v>
      </c>
      <c r="C1684" s="7" t="s">
        <v>947</v>
      </c>
      <c r="D1684" s="7" t="s">
        <v>4696</v>
      </c>
      <c r="E1684" s="6" t="s">
        <v>4697</v>
      </c>
      <c r="F1684" s="8" t="e">
        <f>VLOOKUP($D1684,설문!$C$2:$G$444,3,FALSE)</f>
        <v>#N/A</v>
      </c>
      <c r="G1684" s="8" t="e">
        <f>VLOOKUP($D1684,설문!$C$2:$G$444,4,FALSE)</f>
        <v>#N/A</v>
      </c>
      <c r="H1684" s="8" t="e">
        <f>VLOOKUP($D1684,설문!$C$2:$G$444,5,FALSE)</f>
        <v>#N/A</v>
      </c>
    </row>
    <row r="1685" spans="1:8">
      <c r="A1685" s="6" t="s">
        <v>182</v>
      </c>
      <c r="B1685" s="7" t="s">
        <v>4698</v>
      </c>
      <c r="C1685" s="7" t="s">
        <v>4698</v>
      </c>
      <c r="D1685" s="7" t="s">
        <v>4699</v>
      </c>
      <c r="E1685" s="6" t="s">
        <v>2401</v>
      </c>
      <c r="F1685" s="8" t="e">
        <f>VLOOKUP($D1685,설문!$C$2:$G$444,3,FALSE)</f>
        <v>#N/A</v>
      </c>
      <c r="G1685" s="8" t="e">
        <f>VLOOKUP($D1685,설문!$C$2:$G$444,4,FALSE)</f>
        <v>#N/A</v>
      </c>
      <c r="H1685" s="8" t="e">
        <f>VLOOKUP($D1685,설문!$C$2:$G$444,5,FALSE)</f>
        <v>#N/A</v>
      </c>
    </row>
    <row r="1686" spans="1:8">
      <c r="A1686" s="6" t="s">
        <v>182</v>
      </c>
      <c r="B1686" s="7" t="s">
        <v>1179</v>
      </c>
      <c r="C1686" s="7" t="s">
        <v>789</v>
      </c>
      <c r="D1686" s="7" t="s">
        <v>4700</v>
      </c>
      <c r="E1686" s="6" t="s">
        <v>4701</v>
      </c>
      <c r="F1686" s="8" t="str">
        <f>VLOOKUP($D1686,설문!$C$2:$G$444,3,FALSE)</f>
        <v>세일즈</v>
      </c>
      <c r="G1686" s="8" t="str">
        <f>VLOOKUP($D1686,설문!$C$2:$G$444,4,FALSE)</f>
        <v>일반기업고객,개인고객</v>
      </c>
      <c r="H1686" s="8" t="str">
        <f>VLOOKUP($D1686,설문!$C$2:$G$444,5,FALSE)</f>
        <v>국고채/통안채,회사채,소액채권,원화 구조화채권,대체투자(부동산/인프라)</v>
      </c>
    </row>
    <row r="1687" spans="1:8">
      <c r="A1687" s="6" t="s">
        <v>182</v>
      </c>
      <c r="B1687" s="7" t="s">
        <v>1179</v>
      </c>
      <c r="C1687" s="7" t="s">
        <v>789</v>
      </c>
      <c r="D1687" s="7" t="s">
        <v>4702</v>
      </c>
      <c r="E1687" s="6" t="s">
        <v>4703</v>
      </c>
      <c r="F1687" s="8" t="e">
        <f>VLOOKUP($D1687,설문!$C$2:$G$444,3,FALSE)</f>
        <v>#N/A</v>
      </c>
      <c r="G1687" s="8" t="e">
        <f>VLOOKUP($D1687,설문!$C$2:$G$444,4,FALSE)</f>
        <v>#N/A</v>
      </c>
      <c r="H1687" s="8" t="e">
        <f>VLOOKUP($D1687,설문!$C$2:$G$444,5,FALSE)</f>
        <v>#N/A</v>
      </c>
    </row>
    <row r="1688" spans="1:8">
      <c r="A1688" s="6" t="s">
        <v>182</v>
      </c>
      <c r="B1688" s="7" t="s">
        <v>1179</v>
      </c>
      <c r="C1688" s="7" t="s">
        <v>789</v>
      </c>
      <c r="D1688" s="7" t="s">
        <v>4704</v>
      </c>
      <c r="E1688" s="6" t="s">
        <v>1652</v>
      </c>
      <c r="F1688" s="8" t="e">
        <f>VLOOKUP($D1688,설문!$C$2:$G$444,3,FALSE)</f>
        <v>#N/A</v>
      </c>
      <c r="G1688" s="8" t="e">
        <f>VLOOKUP($D1688,설문!$C$2:$G$444,4,FALSE)</f>
        <v>#N/A</v>
      </c>
      <c r="H1688" s="8" t="e">
        <f>VLOOKUP($D1688,설문!$C$2:$G$444,5,FALSE)</f>
        <v>#N/A</v>
      </c>
    </row>
    <row r="1689" spans="1:8">
      <c r="A1689" s="6" t="s">
        <v>182</v>
      </c>
      <c r="B1689" s="7" t="s">
        <v>1411</v>
      </c>
      <c r="C1689" s="7" t="s">
        <v>78</v>
      </c>
      <c r="D1689" s="7" t="s">
        <v>4705</v>
      </c>
      <c r="E1689" s="6" t="s">
        <v>4706</v>
      </c>
      <c r="F1689" s="8" t="str">
        <f>VLOOKUP($D1689,설문!$C$2:$G$444,3,FALSE)</f>
        <v>트레이더</v>
      </c>
      <c r="G1689" s="8" t="str">
        <f>VLOOKUP($D1689,설문!$C$2:$G$444,4,FALSE)</f>
        <v>금융회사</v>
      </c>
      <c r="H1689" s="8" t="str">
        <f>VLOOKUP($D1689,설문!$C$2:$G$444,5,FALSE)</f>
        <v>국내주식/지수</v>
      </c>
    </row>
    <row r="1690" spans="1:8">
      <c r="A1690" s="6" t="s">
        <v>182</v>
      </c>
      <c r="B1690" s="7" t="s">
        <v>188</v>
      </c>
      <c r="C1690" s="7" t="s">
        <v>149</v>
      </c>
      <c r="D1690" s="7" t="s">
        <v>4707</v>
      </c>
      <c r="E1690" s="6" t="s">
        <v>4708</v>
      </c>
      <c r="F1690" s="8" t="e">
        <f>VLOOKUP($D1690,설문!$C$2:$G$444,3,FALSE)</f>
        <v>#N/A</v>
      </c>
      <c r="G1690" s="8" t="e">
        <f>VLOOKUP($D1690,설문!$C$2:$G$444,4,FALSE)</f>
        <v>#N/A</v>
      </c>
      <c r="H1690" s="8" t="e">
        <f>VLOOKUP($D1690,설문!$C$2:$G$444,5,FALSE)</f>
        <v>#N/A</v>
      </c>
    </row>
    <row r="1691" spans="1:8">
      <c r="A1691" s="6" t="s">
        <v>182</v>
      </c>
      <c r="B1691" s="7" t="s">
        <v>188</v>
      </c>
      <c r="C1691" s="7" t="s">
        <v>149</v>
      </c>
      <c r="D1691" s="7" t="s">
        <v>4709</v>
      </c>
      <c r="E1691" s="6" t="s">
        <v>4710</v>
      </c>
      <c r="F1691" s="8" t="str">
        <f>VLOOKUP($D1691,설문!$C$2:$G$444,3,FALSE)</f>
        <v>브로커</v>
      </c>
      <c r="G1691" s="8" t="str">
        <f>VLOOKUP($D1691,설문!$C$2:$G$444,4,FALSE)</f>
        <v>금융회사</v>
      </c>
      <c r="H1691" s="8" t="str">
        <f>VLOOKUP($D1691,설문!$C$2:$G$444,5,FALSE)</f>
        <v>국고채/통안채,회사채,소액채권,RP,외화채권(KP제외),외화 구조화채권</v>
      </c>
    </row>
    <row r="1692" spans="1:8">
      <c r="A1692" s="6" t="s">
        <v>182</v>
      </c>
      <c r="B1692" s="7" t="s">
        <v>188</v>
      </c>
      <c r="C1692" s="7" t="s">
        <v>149</v>
      </c>
      <c r="D1692" s="7" t="s">
        <v>4711</v>
      </c>
      <c r="E1692" s="6" t="s">
        <v>4712</v>
      </c>
      <c r="F1692" s="8" t="e">
        <f>VLOOKUP($D1692,설문!$C$2:$G$444,3,FALSE)</f>
        <v>#N/A</v>
      </c>
      <c r="G1692" s="8" t="e">
        <f>VLOOKUP($D1692,설문!$C$2:$G$444,4,FALSE)</f>
        <v>#N/A</v>
      </c>
      <c r="H1692" s="8" t="e">
        <f>VLOOKUP($D1692,설문!$C$2:$G$444,5,FALSE)</f>
        <v>#N/A</v>
      </c>
    </row>
    <row r="1693" spans="1:8">
      <c r="A1693" s="6" t="s">
        <v>182</v>
      </c>
      <c r="B1693" s="7" t="s">
        <v>4713</v>
      </c>
      <c r="C1693" s="7" t="s">
        <v>135</v>
      </c>
      <c r="D1693" s="7" t="s">
        <v>4714</v>
      </c>
      <c r="E1693" s="6" t="s">
        <v>4715</v>
      </c>
      <c r="F1693" s="8" t="e">
        <f>VLOOKUP($D1693,설문!$C$2:$G$444,3,FALSE)</f>
        <v>#N/A</v>
      </c>
      <c r="G1693" s="8" t="e">
        <f>VLOOKUP($D1693,설문!$C$2:$G$444,4,FALSE)</f>
        <v>#N/A</v>
      </c>
      <c r="H1693" s="8" t="e">
        <f>VLOOKUP($D1693,설문!$C$2:$G$444,5,FALSE)</f>
        <v>#N/A</v>
      </c>
    </row>
    <row r="1694" spans="1:8">
      <c r="A1694" s="6" t="s">
        <v>182</v>
      </c>
      <c r="B1694" s="7" t="s">
        <v>4716</v>
      </c>
      <c r="C1694" s="7" t="s">
        <v>4716</v>
      </c>
      <c r="D1694" s="7" t="s">
        <v>4717</v>
      </c>
      <c r="E1694" s="6" t="s">
        <v>2331</v>
      </c>
      <c r="F1694" s="8" t="e">
        <f>VLOOKUP($D1694,설문!$C$2:$G$444,3,FALSE)</f>
        <v>#N/A</v>
      </c>
      <c r="G1694" s="8" t="e">
        <f>VLOOKUP($D1694,설문!$C$2:$G$444,4,FALSE)</f>
        <v>#N/A</v>
      </c>
      <c r="H1694" s="8" t="e">
        <f>VLOOKUP($D1694,설문!$C$2:$G$444,5,FALSE)</f>
        <v>#N/A</v>
      </c>
    </row>
    <row r="1695" spans="1:8">
      <c r="A1695" s="6" t="s">
        <v>182</v>
      </c>
      <c r="B1695" s="7" t="s">
        <v>4718</v>
      </c>
      <c r="C1695" s="7" t="s">
        <v>4718</v>
      </c>
      <c r="D1695" s="7" t="s">
        <v>4719</v>
      </c>
      <c r="E1695" s="6" t="s">
        <v>4720</v>
      </c>
      <c r="F1695" s="8" t="e">
        <f>VLOOKUP($D1695,설문!$C$2:$G$444,3,FALSE)</f>
        <v>#N/A</v>
      </c>
      <c r="G1695" s="8" t="e">
        <f>VLOOKUP($D1695,설문!$C$2:$G$444,4,FALSE)</f>
        <v>#N/A</v>
      </c>
      <c r="H1695" s="8" t="e">
        <f>VLOOKUP($D1695,설문!$C$2:$G$444,5,FALSE)</f>
        <v>#N/A</v>
      </c>
    </row>
    <row r="1696" spans="1:8">
      <c r="A1696" s="6" t="s">
        <v>182</v>
      </c>
      <c r="B1696" s="7" t="s">
        <v>4721</v>
      </c>
      <c r="C1696" s="7" t="s">
        <v>4722</v>
      </c>
      <c r="D1696" s="7" t="s">
        <v>4723</v>
      </c>
      <c r="E1696" s="6" t="s">
        <v>4724</v>
      </c>
      <c r="F1696" s="8" t="e">
        <f>VLOOKUP($D1696,설문!$C$2:$G$444,3,FALSE)</f>
        <v>#N/A</v>
      </c>
      <c r="G1696" s="8" t="e">
        <f>VLOOKUP($D1696,설문!$C$2:$G$444,4,FALSE)</f>
        <v>#N/A</v>
      </c>
      <c r="H1696" s="8" t="e">
        <f>VLOOKUP($D1696,설문!$C$2:$G$444,5,FALSE)</f>
        <v>#N/A</v>
      </c>
    </row>
    <row r="1697" spans="1:8">
      <c r="A1697" s="6" t="s">
        <v>182</v>
      </c>
      <c r="B1697" s="7" t="s">
        <v>4718</v>
      </c>
      <c r="C1697" s="7" t="s">
        <v>4718</v>
      </c>
      <c r="D1697" s="7" t="s">
        <v>4725</v>
      </c>
      <c r="E1697" s="6" t="s">
        <v>4726</v>
      </c>
      <c r="F1697" s="8" t="e">
        <f>VLOOKUP($D1697,설문!$C$2:$G$444,3,FALSE)</f>
        <v>#N/A</v>
      </c>
      <c r="G1697" s="8" t="e">
        <f>VLOOKUP($D1697,설문!$C$2:$G$444,4,FALSE)</f>
        <v>#N/A</v>
      </c>
      <c r="H1697" s="8" t="e">
        <f>VLOOKUP($D1697,설문!$C$2:$G$444,5,FALSE)</f>
        <v>#N/A</v>
      </c>
    </row>
    <row r="1698" spans="1:8">
      <c r="A1698" s="6" t="s">
        <v>182</v>
      </c>
      <c r="B1698" s="7" t="s">
        <v>4727</v>
      </c>
      <c r="C1698" s="7" t="s">
        <v>988</v>
      </c>
      <c r="D1698" s="7" t="s">
        <v>4728</v>
      </c>
      <c r="E1698" s="6" t="s">
        <v>1333</v>
      </c>
      <c r="F1698" s="8" t="str">
        <f>VLOOKUP($D1698,설문!$C$2:$G$444,3,FALSE)</f>
        <v>펀드매니저,트레이더,분석 및 전략</v>
      </c>
      <c r="G1698" s="8" t="str">
        <f>VLOOKUP($D1698,설문!$C$2:$G$444,4,FALSE)</f>
        <v>금융회사</v>
      </c>
      <c r="H1698" s="8" t="str">
        <f>VLOOKUP($D1698,설문!$C$2:$G$444,5,FALSE)</f>
        <v>국내주식/지수,국고채/통안채,회사채,국채선물,Korean Paper,외화채권(KP제외),외화채권선물,원화 구조화채권,국내주식/지수관련파생,외화 구조화채권,원화 이자율스왑,외화 이자율스왑,FX Spot &amp; FX Swap,CRS &amp; FX Option,신용파생,해외주식/지수,해외주식/지수관련파생,ELS/DLS</v>
      </c>
    </row>
    <row r="1699" spans="1:8">
      <c r="A1699" s="6" t="s">
        <v>182</v>
      </c>
      <c r="B1699" s="7" t="s">
        <v>988</v>
      </c>
      <c r="C1699" s="7" t="s">
        <v>988</v>
      </c>
      <c r="D1699" s="7" t="s">
        <v>4729</v>
      </c>
      <c r="E1699" s="6" t="s">
        <v>4730</v>
      </c>
      <c r="F1699" s="8" t="e">
        <f>VLOOKUP($D1699,설문!$C$2:$G$444,3,FALSE)</f>
        <v>#N/A</v>
      </c>
      <c r="G1699" s="8" t="e">
        <f>VLOOKUP($D1699,설문!$C$2:$G$444,4,FALSE)</f>
        <v>#N/A</v>
      </c>
      <c r="H1699" s="8" t="e">
        <f>VLOOKUP($D1699,설문!$C$2:$G$444,5,FALSE)</f>
        <v>#N/A</v>
      </c>
    </row>
    <row r="1700" spans="1:8">
      <c r="A1700" s="6" t="s">
        <v>182</v>
      </c>
      <c r="B1700" s="7" t="s">
        <v>988</v>
      </c>
      <c r="C1700" s="7" t="s">
        <v>988</v>
      </c>
      <c r="D1700" s="7" t="s">
        <v>4731</v>
      </c>
      <c r="E1700" s="6" t="s">
        <v>4732</v>
      </c>
      <c r="F1700" s="8" t="str">
        <f>VLOOKUP($D1700,설문!$C$2:$G$444,3,FALSE)</f>
        <v>트레이더,퀀트,세일즈,분석 및 전략</v>
      </c>
      <c r="G1700" s="8" t="str">
        <f>VLOOKUP($D1700,설문!$C$2:$G$444,4,FALSE)</f>
        <v>금융회사</v>
      </c>
      <c r="H1700" s="8" t="str">
        <f>VLOOKUP($D1700,설문!$C$2:$G$444,5,FALSE)</f>
        <v>국고채/통안채,회사채,RP,국채선물,Korean Paper,외화채권(KP제외),외화채권선물,원화 구조화채권,외화 구조화채권,원화 이자율스왑,외화 이자율스왑,FX Spot &amp; FX Swap,CRS &amp; FX Option,신용파생,ELS/DLS</v>
      </c>
    </row>
    <row r="1701" spans="1:8">
      <c r="A1701" s="6" t="s">
        <v>182</v>
      </c>
      <c r="B1701" s="7" t="s">
        <v>4733</v>
      </c>
      <c r="C1701" s="7" t="s">
        <v>4733</v>
      </c>
      <c r="D1701" s="7" t="s">
        <v>4734</v>
      </c>
      <c r="E1701" s="6" t="s">
        <v>4735</v>
      </c>
      <c r="F1701" s="8" t="e">
        <f>VLOOKUP($D1701,설문!$C$2:$G$444,3,FALSE)</f>
        <v>#N/A</v>
      </c>
      <c r="G1701" s="8" t="e">
        <f>VLOOKUP($D1701,설문!$C$2:$G$444,4,FALSE)</f>
        <v>#N/A</v>
      </c>
      <c r="H1701" s="8" t="e">
        <f>VLOOKUP($D1701,설문!$C$2:$G$444,5,FALSE)</f>
        <v>#N/A</v>
      </c>
    </row>
    <row r="1702" spans="1:8">
      <c r="A1702" s="6" t="s">
        <v>182</v>
      </c>
      <c r="B1702" s="7" t="s">
        <v>108</v>
      </c>
      <c r="C1702" s="7" t="s">
        <v>108</v>
      </c>
      <c r="D1702" s="7" t="s">
        <v>4736</v>
      </c>
      <c r="E1702" s="6" t="s">
        <v>4737</v>
      </c>
      <c r="F1702" s="8" t="e">
        <f>VLOOKUP($D1702,설문!$C$2:$G$444,3,FALSE)</f>
        <v>#N/A</v>
      </c>
      <c r="G1702" s="8" t="e">
        <f>VLOOKUP($D1702,설문!$C$2:$G$444,4,FALSE)</f>
        <v>#N/A</v>
      </c>
      <c r="H1702" s="8" t="e">
        <f>VLOOKUP($D1702,설문!$C$2:$G$444,5,FALSE)</f>
        <v>#N/A</v>
      </c>
    </row>
    <row r="1703" spans="1:8">
      <c r="A1703" s="6" t="s">
        <v>182</v>
      </c>
      <c r="B1703" s="7" t="s">
        <v>609</v>
      </c>
      <c r="C1703" s="7" t="s">
        <v>217</v>
      </c>
      <c r="D1703" s="7" t="s">
        <v>4738</v>
      </c>
      <c r="E1703" s="6" t="s">
        <v>4739</v>
      </c>
      <c r="F1703" s="8" t="e">
        <f>VLOOKUP($D1703,설문!$C$2:$G$444,3,FALSE)</f>
        <v>#N/A</v>
      </c>
      <c r="G1703" s="8" t="e">
        <f>VLOOKUP($D1703,설문!$C$2:$G$444,4,FALSE)</f>
        <v>#N/A</v>
      </c>
      <c r="H1703" s="8" t="e">
        <f>VLOOKUP($D1703,설문!$C$2:$G$444,5,FALSE)</f>
        <v>#N/A</v>
      </c>
    </row>
    <row r="1704" spans="1:8">
      <c r="A1704" s="6" t="s">
        <v>182</v>
      </c>
      <c r="B1704" s="7" t="s">
        <v>609</v>
      </c>
      <c r="C1704" s="7" t="s">
        <v>217</v>
      </c>
      <c r="D1704" s="7" t="s">
        <v>4740</v>
      </c>
      <c r="E1704" s="6" t="s">
        <v>4741</v>
      </c>
      <c r="F1704" s="8" t="e">
        <f>VLOOKUP($D1704,설문!$C$2:$G$444,3,FALSE)</f>
        <v>#N/A</v>
      </c>
      <c r="G1704" s="8" t="e">
        <f>VLOOKUP($D1704,설문!$C$2:$G$444,4,FALSE)</f>
        <v>#N/A</v>
      </c>
      <c r="H1704" s="8" t="e">
        <f>VLOOKUP($D1704,설문!$C$2:$G$444,5,FALSE)</f>
        <v>#N/A</v>
      </c>
    </row>
    <row r="1705" spans="1:8">
      <c r="A1705" s="6" t="s">
        <v>182</v>
      </c>
      <c r="B1705" s="7" t="s">
        <v>1131</v>
      </c>
      <c r="C1705" s="7" t="s">
        <v>1131</v>
      </c>
      <c r="D1705" s="7" t="s">
        <v>4742</v>
      </c>
      <c r="E1705" s="6" t="s">
        <v>4743</v>
      </c>
      <c r="F1705" s="8" t="e">
        <f>VLOOKUP($D1705,설문!$C$2:$G$444,3,FALSE)</f>
        <v>#N/A</v>
      </c>
      <c r="G1705" s="8" t="e">
        <f>VLOOKUP($D1705,설문!$C$2:$G$444,4,FALSE)</f>
        <v>#N/A</v>
      </c>
      <c r="H1705" s="8" t="e">
        <f>VLOOKUP($D1705,설문!$C$2:$G$444,5,FALSE)</f>
        <v>#N/A</v>
      </c>
    </row>
    <row r="1706" spans="1:8">
      <c r="A1706" s="6" t="s">
        <v>182</v>
      </c>
      <c r="B1706" s="7" t="s">
        <v>3032</v>
      </c>
      <c r="C1706" s="7" t="s">
        <v>3032</v>
      </c>
      <c r="D1706" s="7" t="s">
        <v>4744</v>
      </c>
      <c r="E1706" s="6" t="s">
        <v>4745</v>
      </c>
      <c r="F1706" s="8" t="e">
        <f>VLOOKUP($D1706,설문!$C$2:$G$444,3,FALSE)</f>
        <v>#N/A</v>
      </c>
      <c r="G1706" s="8" t="e">
        <f>VLOOKUP($D1706,설문!$C$2:$G$444,4,FALSE)</f>
        <v>#N/A</v>
      </c>
      <c r="H1706" s="8" t="e">
        <f>VLOOKUP($D1706,설문!$C$2:$G$444,5,FALSE)</f>
        <v>#N/A</v>
      </c>
    </row>
    <row r="1707" spans="1:8">
      <c r="A1707" s="6" t="s">
        <v>2508</v>
      </c>
      <c r="B1707" s="7" t="s">
        <v>2509</v>
      </c>
      <c r="C1707" s="7" t="s">
        <v>2509</v>
      </c>
      <c r="D1707" s="7" t="s">
        <v>2510</v>
      </c>
      <c r="E1707" s="6" t="s">
        <v>2511</v>
      </c>
      <c r="F1707" s="8" t="e">
        <f>VLOOKUP($D1707,설문!$C$2:$G$444,3,FALSE)</f>
        <v>#N/A</v>
      </c>
      <c r="G1707" s="8" t="e">
        <f>VLOOKUP($D1707,설문!$C$2:$G$444,4,FALSE)</f>
        <v>#N/A</v>
      </c>
      <c r="H1707" s="8" t="e">
        <f>VLOOKUP($D1707,설문!$C$2:$G$444,5,FALSE)</f>
        <v>#N/A</v>
      </c>
    </row>
    <row r="1708" spans="1:8">
      <c r="A1708" s="6" t="s">
        <v>11</v>
      </c>
      <c r="B1708" s="7" t="s">
        <v>9</v>
      </c>
      <c r="C1708" s="7" t="s">
        <v>9</v>
      </c>
      <c r="D1708" s="7" t="s">
        <v>12</v>
      </c>
      <c r="E1708" s="6" t="s">
        <v>13</v>
      </c>
      <c r="F1708" s="8" t="e">
        <f>VLOOKUP($D1708,설문!$C$2:$G$444,3,FALSE)</f>
        <v>#N/A</v>
      </c>
      <c r="G1708" s="8" t="e">
        <f>VLOOKUP($D1708,설문!$C$2:$G$444,4,FALSE)</f>
        <v>#N/A</v>
      </c>
      <c r="H1708" s="8" t="e">
        <f>VLOOKUP($D1708,설문!$C$2:$G$444,5,FALSE)</f>
        <v>#N/A</v>
      </c>
    </row>
    <row r="1709" spans="1:8">
      <c r="A1709" s="6" t="s">
        <v>11</v>
      </c>
      <c r="B1709" s="7" t="s">
        <v>9</v>
      </c>
      <c r="C1709" s="7" t="s">
        <v>9</v>
      </c>
      <c r="D1709" s="7" t="s">
        <v>14</v>
      </c>
      <c r="E1709" s="6" t="s">
        <v>15</v>
      </c>
      <c r="F1709" s="8" t="e">
        <f>VLOOKUP($D1709,설문!$C$2:$G$444,3,FALSE)</f>
        <v>#N/A</v>
      </c>
      <c r="G1709" s="8" t="e">
        <f>VLOOKUP($D1709,설문!$C$2:$G$444,4,FALSE)</f>
        <v>#N/A</v>
      </c>
      <c r="H1709" s="8" t="e">
        <f>VLOOKUP($D1709,설문!$C$2:$G$444,5,FALSE)</f>
        <v>#N/A</v>
      </c>
    </row>
    <row r="1710" spans="1:8">
      <c r="A1710" s="6" t="s">
        <v>11</v>
      </c>
      <c r="B1710" s="7" t="s">
        <v>9</v>
      </c>
      <c r="C1710" s="7" t="s">
        <v>9</v>
      </c>
      <c r="D1710" s="7" t="s">
        <v>16</v>
      </c>
      <c r="E1710" s="6" t="s">
        <v>17</v>
      </c>
      <c r="F1710" s="8" t="e">
        <f>VLOOKUP($D1710,설문!$C$2:$G$444,3,FALSE)</f>
        <v>#N/A</v>
      </c>
      <c r="G1710" s="8" t="e">
        <f>VLOOKUP($D1710,설문!$C$2:$G$444,4,FALSE)</f>
        <v>#N/A</v>
      </c>
      <c r="H1710" s="8" t="e">
        <f>VLOOKUP($D1710,설문!$C$2:$G$444,5,FALSE)</f>
        <v>#N/A</v>
      </c>
    </row>
    <row r="1711" spans="1:8">
      <c r="A1711" s="6" t="s">
        <v>11</v>
      </c>
      <c r="B1711" s="7" t="s">
        <v>9</v>
      </c>
      <c r="C1711" s="7" t="s">
        <v>9</v>
      </c>
      <c r="D1711" s="7" t="s">
        <v>18</v>
      </c>
      <c r="E1711" s="6" t="s">
        <v>19</v>
      </c>
      <c r="F1711" s="8" t="e">
        <f>VLOOKUP($D1711,설문!$C$2:$G$444,3,FALSE)</f>
        <v>#N/A</v>
      </c>
      <c r="G1711" s="8" t="e">
        <f>VLOOKUP($D1711,설문!$C$2:$G$444,4,FALSE)</f>
        <v>#N/A</v>
      </c>
      <c r="H1711" s="8" t="e">
        <f>VLOOKUP($D1711,설문!$C$2:$G$444,5,FALSE)</f>
        <v>#N/A</v>
      </c>
    </row>
    <row r="1712" spans="1:8">
      <c r="A1712" s="6" t="s">
        <v>11</v>
      </c>
      <c r="B1712" s="7" t="s">
        <v>9</v>
      </c>
      <c r="C1712" s="7" t="s">
        <v>9</v>
      </c>
      <c r="D1712" s="7" t="s">
        <v>20</v>
      </c>
      <c r="E1712" s="6" t="s">
        <v>21</v>
      </c>
      <c r="F1712" s="8" t="e">
        <f>VLOOKUP($D1712,설문!$C$2:$G$444,3,FALSE)</f>
        <v>#N/A</v>
      </c>
      <c r="G1712" s="8" t="e">
        <f>VLOOKUP($D1712,설문!$C$2:$G$444,4,FALSE)</f>
        <v>#N/A</v>
      </c>
      <c r="H1712" s="8" t="e">
        <f>VLOOKUP($D1712,설문!$C$2:$G$444,5,FALSE)</f>
        <v>#N/A</v>
      </c>
    </row>
    <row r="1713" spans="1:8">
      <c r="A1713" s="6" t="s">
        <v>334</v>
      </c>
      <c r="B1713" s="7" t="s">
        <v>335</v>
      </c>
      <c r="C1713" s="7" t="s">
        <v>336</v>
      </c>
      <c r="D1713" s="7" t="s">
        <v>337</v>
      </c>
      <c r="E1713" s="6" t="s">
        <v>338</v>
      </c>
      <c r="F1713" s="8" t="e">
        <f>VLOOKUP($D1713,설문!$C$2:$G$444,3,FALSE)</f>
        <v>#N/A</v>
      </c>
      <c r="G1713" s="8" t="e">
        <f>VLOOKUP($D1713,설문!$C$2:$G$444,4,FALSE)</f>
        <v>#N/A</v>
      </c>
      <c r="H1713" s="8" t="e">
        <f>VLOOKUP($D1713,설문!$C$2:$G$444,5,FALSE)</f>
        <v>#N/A</v>
      </c>
    </row>
    <row r="1714" spans="1:8">
      <c r="A1714" s="6" t="s">
        <v>334</v>
      </c>
      <c r="B1714" s="7" t="s">
        <v>9</v>
      </c>
      <c r="C1714" s="7" t="s">
        <v>1026</v>
      </c>
      <c r="D1714" s="7" t="s">
        <v>1027</v>
      </c>
      <c r="E1714" s="6" t="s">
        <v>1028</v>
      </c>
      <c r="F1714" s="8" t="e">
        <f>VLOOKUP($D1714,설문!$C$2:$G$444,3,FALSE)</f>
        <v>#N/A</v>
      </c>
      <c r="G1714" s="8" t="e">
        <f>VLOOKUP($D1714,설문!$C$2:$G$444,4,FALSE)</f>
        <v>#N/A</v>
      </c>
      <c r="H1714" s="8" t="e">
        <f>VLOOKUP($D1714,설문!$C$2:$G$444,5,FALSE)</f>
        <v>#N/A</v>
      </c>
    </row>
    <row r="1715" spans="1:8">
      <c r="A1715" s="6" t="s">
        <v>334</v>
      </c>
      <c r="B1715" s="7" t="s">
        <v>9</v>
      </c>
      <c r="C1715" s="7" t="s">
        <v>429</v>
      </c>
      <c r="D1715" s="7" t="s">
        <v>3258</v>
      </c>
      <c r="E1715" s="6" t="s">
        <v>3259</v>
      </c>
      <c r="F1715" s="8" t="e">
        <f>VLOOKUP($D1715,설문!$C$2:$G$444,3,FALSE)</f>
        <v>#N/A</v>
      </c>
      <c r="G1715" s="8" t="e">
        <f>VLOOKUP($D1715,설문!$C$2:$G$444,4,FALSE)</f>
        <v>#N/A</v>
      </c>
      <c r="H1715" s="8" t="e">
        <f>VLOOKUP($D1715,설문!$C$2:$G$444,5,FALSE)</f>
        <v>#N/A</v>
      </c>
    </row>
    <row r="1716" spans="1:8">
      <c r="A1716" s="6" t="s">
        <v>334</v>
      </c>
      <c r="B1716" s="7" t="s">
        <v>9</v>
      </c>
      <c r="C1716" s="7" t="s">
        <v>3260</v>
      </c>
      <c r="D1716" s="7" t="s">
        <v>3261</v>
      </c>
      <c r="E1716" s="6" t="s">
        <v>3262</v>
      </c>
      <c r="F1716" s="8" t="e">
        <f>VLOOKUP($D1716,설문!$C$2:$G$444,3,FALSE)</f>
        <v>#N/A</v>
      </c>
      <c r="G1716" s="8" t="e">
        <f>VLOOKUP($D1716,설문!$C$2:$G$444,4,FALSE)</f>
        <v>#N/A</v>
      </c>
      <c r="H1716" s="8" t="e">
        <f>VLOOKUP($D1716,설문!$C$2:$G$444,5,FALSE)</f>
        <v>#N/A</v>
      </c>
    </row>
    <row r="1717" spans="1:8">
      <c r="A1717" s="6" t="s">
        <v>334</v>
      </c>
      <c r="B1717" s="7" t="s">
        <v>9</v>
      </c>
      <c r="C1717" s="7" t="s">
        <v>3260</v>
      </c>
      <c r="D1717" s="7" t="s">
        <v>3263</v>
      </c>
      <c r="E1717" s="6" t="s">
        <v>3264</v>
      </c>
      <c r="F1717" s="8" t="e">
        <f>VLOOKUP($D1717,설문!$C$2:$G$444,3,FALSE)</f>
        <v>#N/A</v>
      </c>
      <c r="G1717" s="8" t="e">
        <f>VLOOKUP($D1717,설문!$C$2:$G$444,4,FALSE)</f>
        <v>#N/A</v>
      </c>
      <c r="H1717" s="8" t="e">
        <f>VLOOKUP($D1717,설문!$C$2:$G$444,5,FALSE)</f>
        <v>#N/A</v>
      </c>
    </row>
    <row r="1718" spans="1:8">
      <c r="A1718" s="6" t="s">
        <v>334</v>
      </c>
      <c r="B1718" s="7" t="s">
        <v>3265</v>
      </c>
      <c r="C1718" s="7" t="s">
        <v>1240</v>
      </c>
      <c r="D1718" s="7" t="s">
        <v>3266</v>
      </c>
      <c r="E1718" s="6" t="s">
        <v>3267</v>
      </c>
      <c r="F1718" s="8" t="e">
        <f>VLOOKUP($D1718,설문!$C$2:$G$444,3,FALSE)</f>
        <v>#N/A</v>
      </c>
      <c r="G1718" s="8" t="e">
        <f>VLOOKUP($D1718,설문!$C$2:$G$444,4,FALSE)</f>
        <v>#N/A</v>
      </c>
      <c r="H1718" s="8" t="e">
        <f>VLOOKUP($D1718,설문!$C$2:$G$444,5,FALSE)</f>
        <v>#N/A</v>
      </c>
    </row>
    <row r="1719" spans="1:8">
      <c r="A1719" s="6" t="s">
        <v>334</v>
      </c>
      <c r="B1719" s="7" t="s">
        <v>9</v>
      </c>
      <c r="C1719" s="7" t="s">
        <v>3104</v>
      </c>
      <c r="D1719" s="7" t="s">
        <v>3268</v>
      </c>
      <c r="E1719" s="6" t="s">
        <v>3269</v>
      </c>
      <c r="F1719" s="8" t="e">
        <f>VLOOKUP($D1719,설문!$C$2:$G$444,3,FALSE)</f>
        <v>#N/A</v>
      </c>
      <c r="G1719" s="8" t="e">
        <f>VLOOKUP($D1719,설문!$C$2:$G$444,4,FALSE)</f>
        <v>#N/A</v>
      </c>
      <c r="H1719" s="8" t="e">
        <f>VLOOKUP($D1719,설문!$C$2:$G$444,5,FALSE)</f>
        <v>#N/A</v>
      </c>
    </row>
    <row r="1720" spans="1:8">
      <c r="A1720" s="6" t="s">
        <v>334</v>
      </c>
      <c r="B1720" s="7" t="s">
        <v>9</v>
      </c>
      <c r="C1720" s="7" t="s">
        <v>3104</v>
      </c>
      <c r="D1720" s="7" t="s">
        <v>3270</v>
      </c>
      <c r="E1720" s="6" t="s">
        <v>3271</v>
      </c>
      <c r="F1720" s="8" t="e">
        <f>VLOOKUP($D1720,설문!$C$2:$G$444,3,FALSE)</f>
        <v>#N/A</v>
      </c>
      <c r="G1720" s="8" t="e">
        <f>VLOOKUP($D1720,설문!$C$2:$G$444,4,FALSE)</f>
        <v>#N/A</v>
      </c>
      <c r="H1720" s="8" t="e">
        <f>VLOOKUP($D1720,설문!$C$2:$G$444,5,FALSE)</f>
        <v>#N/A</v>
      </c>
    </row>
    <row r="1721" spans="1:8">
      <c r="A1721" s="6" t="s">
        <v>334</v>
      </c>
      <c r="B1721" s="7" t="s">
        <v>9</v>
      </c>
      <c r="C1721" s="7" t="s">
        <v>1026</v>
      </c>
      <c r="D1721" s="7" t="s">
        <v>3272</v>
      </c>
      <c r="E1721" s="6" t="s">
        <v>3273</v>
      </c>
      <c r="F1721" s="8" t="e">
        <f>VLOOKUP($D1721,설문!$C$2:$G$444,3,FALSE)</f>
        <v>#N/A</v>
      </c>
      <c r="G1721" s="8" t="e">
        <f>VLOOKUP($D1721,설문!$C$2:$G$444,4,FALSE)</f>
        <v>#N/A</v>
      </c>
      <c r="H1721" s="8" t="e">
        <f>VLOOKUP($D1721,설문!$C$2:$G$444,5,FALSE)</f>
        <v>#N/A</v>
      </c>
    </row>
    <row r="1722" spans="1:8">
      <c r="A1722" s="6" t="s">
        <v>334</v>
      </c>
      <c r="B1722" s="7" t="s">
        <v>9</v>
      </c>
      <c r="C1722" s="7" t="s">
        <v>3274</v>
      </c>
      <c r="D1722" s="7" t="s">
        <v>3275</v>
      </c>
      <c r="E1722" s="6" t="s">
        <v>3276</v>
      </c>
      <c r="F1722" s="8" t="e">
        <f>VLOOKUP($D1722,설문!$C$2:$G$444,3,FALSE)</f>
        <v>#N/A</v>
      </c>
      <c r="G1722" s="8" t="e">
        <f>VLOOKUP($D1722,설문!$C$2:$G$444,4,FALSE)</f>
        <v>#N/A</v>
      </c>
      <c r="H1722" s="8" t="e">
        <f>VLOOKUP($D1722,설문!$C$2:$G$444,5,FALSE)</f>
        <v>#N/A</v>
      </c>
    </row>
    <row r="1723" spans="1:8">
      <c r="A1723" s="6" t="s">
        <v>334</v>
      </c>
      <c r="B1723" s="7" t="s">
        <v>9</v>
      </c>
      <c r="C1723" s="7" t="s">
        <v>1026</v>
      </c>
      <c r="D1723" s="7" t="s">
        <v>3277</v>
      </c>
      <c r="E1723" s="6" t="s">
        <v>3278</v>
      </c>
      <c r="F1723" s="8" t="e">
        <f>VLOOKUP($D1723,설문!$C$2:$G$444,3,FALSE)</f>
        <v>#N/A</v>
      </c>
      <c r="G1723" s="8" t="e">
        <f>VLOOKUP($D1723,설문!$C$2:$G$444,4,FALSE)</f>
        <v>#N/A</v>
      </c>
      <c r="H1723" s="8" t="e">
        <f>VLOOKUP($D1723,설문!$C$2:$G$444,5,FALSE)</f>
        <v>#N/A</v>
      </c>
    </row>
    <row r="1724" spans="1:8">
      <c r="A1724" s="6" t="s">
        <v>334</v>
      </c>
      <c r="B1724" s="7" t="s">
        <v>9</v>
      </c>
      <c r="C1724" s="7" t="s">
        <v>1026</v>
      </c>
      <c r="D1724" s="7" t="s">
        <v>3280</v>
      </c>
      <c r="E1724" s="6" t="s">
        <v>2186</v>
      </c>
      <c r="F1724" s="8" t="str">
        <f>VLOOKUP($D1724,설문!$C$2:$G$444,3,FALSE)</f>
        <v>펀드매니저</v>
      </c>
      <c r="G1724" s="8" t="str">
        <f>VLOOKUP($D1724,설문!$C$2:$G$444,4,FALSE)</f>
        <v>금융회사,금융 유관기관,일반기업고객,개인고객</v>
      </c>
      <c r="H1724" s="8" t="str">
        <f>VLOOKUP($D1724,설문!$C$2:$G$444,5,FALSE)</f>
        <v>국내주식/지수,국내주식/지수관련파생</v>
      </c>
    </row>
    <row r="1725" spans="1:8">
      <c r="A1725" s="6" t="s">
        <v>334</v>
      </c>
      <c r="B1725" s="7" t="s">
        <v>9</v>
      </c>
      <c r="C1725" s="7" t="s">
        <v>1026</v>
      </c>
      <c r="D1725" s="7" t="s">
        <v>3281</v>
      </c>
      <c r="E1725" s="6" t="s">
        <v>3282</v>
      </c>
      <c r="F1725" s="8" t="e">
        <f>VLOOKUP($D1725,설문!$C$2:$G$444,3,FALSE)</f>
        <v>#N/A</v>
      </c>
      <c r="G1725" s="8" t="e">
        <f>VLOOKUP($D1725,설문!$C$2:$G$444,4,FALSE)</f>
        <v>#N/A</v>
      </c>
      <c r="H1725" s="8" t="e">
        <f>VLOOKUP($D1725,설문!$C$2:$G$444,5,FALSE)</f>
        <v>#N/A</v>
      </c>
    </row>
    <row r="1726" spans="1:8">
      <c r="A1726" s="6" t="s">
        <v>334</v>
      </c>
      <c r="B1726" s="7" t="s">
        <v>9</v>
      </c>
      <c r="C1726" s="7" t="s">
        <v>1026</v>
      </c>
      <c r="D1726" s="7" t="s">
        <v>3283</v>
      </c>
      <c r="E1726" s="6" t="s">
        <v>3284</v>
      </c>
      <c r="F1726" s="8" t="e">
        <f>VLOOKUP($D1726,설문!$C$2:$G$444,3,FALSE)</f>
        <v>#N/A</v>
      </c>
      <c r="G1726" s="8" t="e">
        <f>VLOOKUP($D1726,설문!$C$2:$G$444,4,FALSE)</f>
        <v>#N/A</v>
      </c>
      <c r="H1726" s="8" t="e">
        <f>VLOOKUP($D1726,설문!$C$2:$G$444,5,FALSE)</f>
        <v>#N/A</v>
      </c>
    </row>
    <row r="1727" spans="1:8">
      <c r="A1727" s="6" t="s">
        <v>334</v>
      </c>
      <c r="B1727" s="7" t="s">
        <v>9</v>
      </c>
      <c r="C1727" s="7" t="s">
        <v>1026</v>
      </c>
      <c r="D1727" s="7" t="s">
        <v>3285</v>
      </c>
      <c r="E1727" s="6" t="s">
        <v>2666</v>
      </c>
      <c r="F1727" s="8" t="e">
        <f>VLOOKUP($D1727,설문!$C$2:$G$444,3,FALSE)</f>
        <v>#N/A</v>
      </c>
      <c r="G1727" s="8" t="e">
        <f>VLOOKUP($D1727,설문!$C$2:$G$444,4,FALSE)</f>
        <v>#N/A</v>
      </c>
      <c r="H1727" s="8" t="e">
        <f>VLOOKUP($D1727,설문!$C$2:$G$444,5,FALSE)</f>
        <v>#N/A</v>
      </c>
    </row>
    <row r="1728" spans="1:8">
      <c r="A1728" s="6" t="s">
        <v>334</v>
      </c>
      <c r="B1728" s="7" t="s">
        <v>9</v>
      </c>
      <c r="C1728" s="7" t="s">
        <v>1026</v>
      </c>
      <c r="D1728" s="7" t="s">
        <v>3286</v>
      </c>
      <c r="E1728" s="6" t="s">
        <v>3287</v>
      </c>
      <c r="F1728" s="8" t="e">
        <f>VLOOKUP($D1728,설문!$C$2:$G$444,3,FALSE)</f>
        <v>#N/A</v>
      </c>
      <c r="G1728" s="8" t="e">
        <f>VLOOKUP($D1728,설문!$C$2:$G$444,4,FALSE)</f>
        <v>#N/A</v>
      </c>
      <c r="H1728" s="8" t="e">
        <f>VLOOKUP($D1728,설문!$C$2:$G$444,5,FALSE)</f>
        <v>#N/A</v>
      </c>
    </row>
    <row r="1729" spans="1:9">
      <c r="A1729" s="6" t="s">
        <v>334</v>
      </c>
      <c r="B1729" s="7" t="s">
        <v>9</v>
      </c>
      <c r="C1729" s="7" t="s">
        <v>429</v>
      </c>
      <c r="D1729" s="7" t="s">
        <v>3288</v>
      </c>
      <c r="E1729" s="6" t="s">
        <v>3289</v>
      </c>
      <c r="F1729" s="8" t="str">
        <f>VLOOKUP($D1729,설문!$C$2:$G$444,3,FALSE)</f>
        <v>트레이더</v>
      </c>
      <c r="G1729" s="8" t="str">
        <f>VLOOKUP($D1729,설문!$C$2:$G$444,4,FALSE)</f>
        <v>금융회사</v>
      </c>
      <c r="H1729" s="8" t="str">
        <f>VLOOKUP($D1729,설문!$C$2:$G$444,5,FALSE)</f>
        <v>국내주식/지수,국내주식/지수관련파생,해외주식/지수,ETF/ETN</v>
      </c>
    </row>
    <row r="1730" spans="1:9">
      <c r="A1730" s="6" t="s">
        <v>334</v>
      </c>
      <c r="B1730" s="7" t="s">
        <v>9</v>
      </c>
      <c r="C1730" s="7" t="s">
        <v>3274</v>
      </c>
      <c r="D1730" s="7" t="s">
        <v>3290</v>
      </c>
      <c r="E1730" s="6" t="s">
        <v>269</v>
      </c>
      <c r="F1730" s="8" t="e">
        <f>VLOOKUP($D1730,설문!$C$2:$G$444,3,FALSE)</f>
        <v>#N/A</v>
      </c>
      <c r="G1730" s="8" t="e">
        <f>VLOOKUP($D1730,설문!$C$2:$G$444,4,FALSE)</f>
        <v>#N/A</v>
      </c>
      <c r="H1730" s="8" t="e">
        <f>VLOOKUP($D1730,설문!$C$2:$G$444,5,FALSE)</f>
        <v>#N/A</v>
      </c>
    </row>
    <row r="1731" spans="1:9">
      <c r="A1731" s="6" t="s">
        <v>334</v>
      </c>
      <c r="B1731" s="7" t="s">
        <v>9</v>
      </c>
      <c r="C1731" s="7" t="s">
        <v>1695</v>
      </c>
      <c r="D1731" s="7" t="s">
        <v>3291</v>
      </c>
      <c r="E1731" s="6" t="s">
        <v>3292</v>
      </c>
      <c r="F1731" s="8" t="str">
        <f>VLOOKUP($D1731,설문!$C$2:$G$444,3,FALSE)</f>
        <v>트레이더</v>
      </c>
      <c r="G1731" s="8" t="str">
        <f>VLOOKUP($D1731,설문!$C$2:$G$444,4,FALSE)</f>
        <v>금융 유관기관</v>
      </c>
      <c r="H1731" s="8" t="str">
        <f>VLOOKUP($D1731,설문!$C$2:$G$444,5,FALSE)</f>
        <v>국고채/통안채,회사채</v>
      </c>
      <c r="I1731" t="str">
        <f>설문!$A2</f>
        <v>ABLGAM</v>
      </c>
    </row>
    <row r="1732" spans="1:9">
      <c r="A1732" s="6" t="s">
        <v>334</v>
      </c>
      <c r="B1732" s="7" t="s">
        <v>9</v>
      </c>
      <c r="C1732" s="7" t="s">
        <v>1695</v>
      </c>
      <c r="D1732" s="7" t="s">
        <v>3293</v>
      </c>
      <c r="E1732" s="6" t="s">
        <v>3294</v>
      </c>
      <c r="F1732" s="8" t="str">
        <f>VLOOKUP($D1732,설문!$C$2:$G$444,3,FALSE)</f>
        <v>펀드매니저</v>
      </c>
      <c r="G1732" s="8" t="str">
        <f>VLOOKUP($D1732,설문!$C$2:$G$444,4,FALSE)</f>
        <v>금융 유관기관</v>
      </c>
      <c r="H1732" s="8" t="str">
        <f>VLOOKUP($D1732,설문!$C$2:$G$444,5,FALSE)</f>
        <v>국고채/통안채,회사채,국채선물</v>
      </c>
      <c r="I1732" t="str">
        <f>설문!$A3</f>
        <v>ABL글로벌자산운용</v>
      </c>
    </row>
    <row r="1733" spans="1:9">
      <c r="A1733" s="6" t="s">
        <v>334</v>
      </c>
      <c r="B1733" s="7" t="s">
        <v>9</v>
      </c>
      <c r="C1733" s="7" t="s">
        <v>1695</v>
      </c>
      <c r="D1733" s="7" t="s">
        <v>3295</v>
      </c>
      <c r="E1733" s="6" t="s">
        <v>3296</v>
      </c>
      <c r="F1733" s="8" t="e">
        <f>VLOOKUP($D1733,설문!$C$2:$G$444,3,FALSE)</f>
        <v>#N/A</v>
      </c>
      <c r="G1733" s="8" t="e">
        <f>VLOOKUP($D1733,설문!$C$2:$G$444,4,FALSE)</f>
        <v>#N/A</v>
      </c>
      <c r="H1733" s="8" t="e">
        <f>VLOOKUP($D1733,설문!$C$2:$G$444,5,FALSE)</f>
        <v>#N/A</v>
      </c>
      <c r="I1733" t="str">
        <f>설문!$A4</f>
        <v>ABL글로벌자산운용</v>
      </c>
    </row>
    <row r="1734" spans="1:9">
      <c r="A1734" s="6" t="s">
        <v>2165</v>
      </c>
      <c r="B1734" s="7" t="s">
        <v>1649</v>
      </c>
      <c r="C1734" s="7" t="s">
        <v>264</v>
      </c>
      <c r="D1734" s="7" t="s">
        <v>2166</v>
      </c>
      <c r="E1734" s="6" t="s">
        <v>2167</v>
      </c>
      <c r="F1734" s="8" t="e">
        <f>VLOOKUP($D1734,설문!$C$2:$G$444,3,FALSE)</f>
        <v>#N/A</v>
      </c>
      <c r="G1734" s="8" t="e">
        <f>VLOOKUP($D1734,설문!$C$2:$G$444,4,FALSE)</f>
        <v>#N/A</v>
      </c>
      <c r="H1734" s="8" t="e">
        <f>VLOOKUP($D1734,설문!$C$2:$G$444,5,FALSE)</f>
        <v>#N/A</v>
      </c>
      <c r="I1734" t="str">
        <f>설문!$A5</f>
        <v>ABL생명</v>
      </c>
    </row>
    <row r="1735" spans="1:9">
      <c r="A1735" s="6" t="s">
        <v>2165</v>
      </c>
      <c r="B1735" s="7" t="s">
        <v>1649</v>
      </c>
      <c r="C1735" s="7" t="s">
        <v>264</v>
      </c>
      <c r="D1735" s="7" t="s">
        <v>2168</v>
      </c>
      <c r="E1735" s="6" t="s">
        <v>2169</v>
      </c>
      <c r="F1735" s="8" t="e">
        <f>VLOOKUP($D1735,설문!$C$2:$G$444,3,FALSE)</f>
        <v>#N/A</v>
      </c>
      <c r="G1735" s="8" t="e">
        <f>VLOOKUP($D1735,설문!$C$2:$G$444,4,FALSE)</f>
        <v>#N/A</v>
      </c>
      <c r="H1735" s="8" t="e">
        <f>VLOOKUP($D1735,설문!$C$2:$G$444,5,FALSE)</f>
        <v>#N/A</v>
      </c>
    </row>
    <row r="1736" spans="1:9">
      <c r="A1736" s="6" t="s">
        <v>2165</v>
      </c>
      <c r="B1736" s="7" t="s">
        <v>1649</v>
      </c>
      <c r="C1736" s="7" t="s">
        <v>264</v>
      </c>
      <c r="D1736" s="7" t="s">
        <v>2170</v>
      </c>
      <c r="E1736" s="6" t="s">
        <v>2158</v>
      </c>
      <c r="F1736" s="8" t="e">
        <f>VLOOKUP($D1736,설문!$C$2:$G$444,3,FALSE)</f>
        <v>#N/A</v>
      </c>
      <c r="G1736" s="8" t="e">
        <f>VLOOKUP($D1736,설문!$C$2:$G$444,4,FALSE)</f>
        <v>#N/A</v>
      </c>
      <c r="H1736" s="8" t="e">
        <f>VLOOKUP($D1736,설문!$C$2:$G$444,5,FALSE)</f>
        <v>#N/A</v>
      </c>
    </row>
    <row r="1737" spans="1:9">
      <c r="A1737" s="6" t="s">
        <v>2165</v>
      </c>
      <c r="B1737" s="7" t="s">
        <v>1649</v>
      </c>
      <c r="C1737" s="7" t="s">
        <v>264</v>
      </c>
      <c r="D1737" s="7" t="s">
        <v>2171</v>
      </c>
      <c r="E1737" s="6" t="s">
        <v>2172</v>
      </c>
      <c r="F1737" s="8" t="e">
        <f>VLOOKUP($D1737,설문!$C$2:$G$444,3,FALSE)</f>
        <v>#N/A</v>
      </c>
      <c r="G1737" s="8" t="e">
        <f>VLOOKUP($D1737,설문!$C$2:$G$444,4,FALSE)</f>
        <v>#N/A</v>
      </c>
      <c r="H1737" s="8" t="e">
        <f>VLOOKUP($D1737,설문!$C$2:$G$444,5,FALSE)</f>
        <v>#N/A</v>
      </c>
    </row>
    <row r="1738" spans="1:9">
      <c r="A1738" s="6" t="s">
        <v>209</v>
      </c>
      <c r="B1738" s="7" t="s">
        <v>9</v>
      </c>
      <c r="C1738" s="7" t="s">
        <v>9</v>
      </c>
      <c r="D1738" s="7" t="s">
        <v>210</v>
      </c>
      <c r="E1738" s="6" t="s">
        <v>211</v>
      </c>
      <c r="F1738" s="8" t="e">
        <f>VLOOKUP($D1738,설문!$C$2:$G$444,3,FALSE)</f>
        <v>#N/A</v>
      </c>
      <c r="G1738" s="8" t="e">
        <f>VLOOKUP($D1738,설문!$C$2:$G$444,4,FALSE)</f>
        <v>#N/A</v>
      </c>
      <c r="H1738" s="8" t="e">
        <f>VLOOKUP($D1738,설문!$C$2:$G$444,5,FALSE)</f>
        <v>#N/A</v>
      </c>
    </row>
    <row r="1739" spans="1:9">
      <c r="A1739" s="6" t="s">
        <v>209</v>
      </c>
      <c r="B1739" s="7" t="s">
        <v>9</v>
      </c>
      <c r="C1739" s="7" t="s">
        <v>9</v>
      </c>
      <c r="D1739" s="7" t="s">
        <v>1225</v>
      </c>
      <c r="E1739" s="6" t="s">
        <v>211</v>
      </c>
      <c r="F1739" s="8" t="e">
        <f>VLOOKUP($D1739,설문!$C$2:$G$444,3,FALSE)</f>
        <v>#N/A</v>
      </c>
      <c r="G1739" s="8" t="e">
        <f>VLOOKUP($D1739,설문!$C$2:$G$444,4,FALSE)</f>
        <v>#N/A</v>
      </c>
      <c r="H1739" s="8" t="e">
        <f>VLOOKUP($D1739,설문!$C$2:$G$444,5,FALSE)</f>
        <v>#N/A</v>
      </c>
    </row>
    <row r="1740" spans="1:9">
      <c r="A1740" s="6" t="s">
        <v>4690</v>
      </c>
      <c r="B1740" s="7" t="s">
        <v>9</v>
      </c>
      <c r="C1740" s="7" t="s">
        <v>9</v>
      </c>
      <c r="D1740" s="7" t="s">
        <v>4691</v>
      </c>
      <c r="E1740" s="6" t="s">
        <v>4692</v>
      </c>
      <c r="F1740" s="8" t="e">
        <f>VLOOKUP($D1740,설문!$C$2:$G$444,3,FALSE)</f>
        <v>#N/A</v>
      </c>
      <c r="G1740" s="8" t="e">
        <f>VLOOKUP($D1740,설문!$C$2:$G$444,4,FALSE)</f>
        <v>#N/A</v>
      </c>
      <c r="H1740" s="8" t="e">
        <f>VLOOKUP($D1740,설문!$C$2:$G$444,5,FALSE)</f>
        <v>#N/A</v>
      </c>
    </row>
    <row r="1741" spans="1:9">
      <c r="A1741" s="6" t="s">
        <v>2685</v>
      </c>
      <c r="B1741" s="7" t="s">
        <v>2686</v>
      </c>
      <c r="C1741" s="7" t="s">
        <v>2686</v>
      </c>
      <c r="D1741" s="7" t="s">
        <v>2687</v>
      </c>
      <c r="E1741" s="6" t="s">
        <v>2688</v>
      </c>
      <c r="F1741" s="8" t="e">
        <f>VLOOKUP($D1741,설문!$C$2:$G$444,3,FALSE)</f>
        <v>#N/A</v>
      </c>
      <c r="G1741" s="8" t="e">
        <f>VLOOKUP($D1741,설문!$C$2:$G$444,4,FALSE)</f>
        <v>#N/A</v>
      </c>
      <c r="H1741" s="8" t="e">
        <f>VLOOKUP($D1741,설문!$C$2:$G$444,5,FALSE)</f>
        <v>#N/A</v>
      </c>
    </row>
    <row r="1742" spans="1:9">
      <c r="A1742" s="6" t="s">
        <v>2685</v>
      </c>
      <c r="B1742" s="7" t="s">
        <v>2689</v>
      </c>
      <c r="C1742" s="7" t="s">
        <v>2689</v>
      </c>
      <c r="D1742" s="7" t="s">
        <v>2690</v>
      </c>
      <c r="E1742" s="6" t="s">
        <v>2691</v>
      </c>
      <c r="F1742" s="8" t="e">
        <f>VLOOKUP($D1742,설문!$C$2:$G$444,3,FALSE)</f>
        <v>#N/A</v>
      </c>
      <c r="G1742" s="8" t="e">
        <f>VLOOKUP($D1742,설문!$C$2:$G$444,4,FALSE)</f>
        <v>#N/A</v>
      </c>
      <c r="H1742" s="8" t="e">
        <f>VLOOKUP($D1742,설문!$C$2:$G$444,5,FALSE)</f>
        <v>#N/A</v>
      </c>
    </row>
    <row r="1743" spans="1:9">
      <c r="A1743" s="6" t="s">
        <v>2685</v>
      </c>
      <c r="B1743" s="7" t="s">
        <v>2692</v>
      </c>
      <c r="C1743" s="7" t="s">
        <v>2692</v>
      </c>
      <c r="D1743" s="7" t="s">
        <v>2693</v>
      </c>
      <c r="E1743" s="6" t="s">
        <v>2694</v>
      </c>
      <c r="F1743" s="8" t="str">
        <f>VLOOKUP($D1743,설문!$C$2:$G$444,3,FALSE)</f>
        <v>분석 및 전략</v>
      </c>
      <c r="G1743" s="8" t="str">
        <f>VLOOKUP($D1743,설문!$C$2:$G$444,4,FALSE)</f>
        <v>금융회사</v>
      </c>
      <c r="H1743" s="8" t="str">
        <f>VLOOKUP($D1743,설문!$C$2:$G$444,5,FALSE)</f>
        <v>국내주식/지수,국고채/통안채,회사채,해외주식/지수</v>
      </c>
    </row>
    <row r="1744" spans="1:9">
      <c r="A1744" s="6" t="s">
        <v>2685</v>
      </c>
      <c r="B1744" s="7" t="s">
        <v>2692</v>
      </c>
      <c r="C1744" s="7" t="s">
        <v>2692</v>
      </c>
      <c r="D1744" s="7" t="s">
        <v>2695</v>
      </c>
      <c r="E1744" s="6" t="s">
        <v>2696</v>
      </c>
      <c r="F1744" s="8" t="e">
        <f>VLOOKUP($D1744,설문!$C$2:$G$444,3,FALSE)</f>
        <v>#N/A</v>
      </c>
      <c r="G1744" s="8" t="e">
        <f>VLOOKUP($D1744,설문!$C$2:$G$444,4,FALSE)</f>
        <v>#N/A</v>
      </c>
      <c r="H1744" s="8" t="e">
        <f>VLOOKUP($D1744,설문!$C$2:$G$444,5,FALSE)</f>
        <v>#N/A</v>
      </c>
    </row>
    <row r="1745" spans="1:8">
      <c r="A1745" s="6" t="s">
        <v>1977</v>
      </c>
      <c r="B1745" s="7" t="s">
        <v>9</v>
      </c>
      <c r="C1745" s="7" t="s">
        <v>9</v>
      </c>
      <c r="D1745" s="7" t="s">
        <v>1978</v>
      </c>
      <c r="E1745" s="6" t="s">
        <v>1979</v>
      </c>
      <c r="F1745" s="8" t="e">
        <f>VLOOKUP($D1745,설문!$C$2:$G$444,3,FALSE)</f>
        <v>#N/A</v>
      </c>
      <c r="G1745" s="8" t="e">
        <f>VLOOKUP($D1745,설문!$C$2:$G$444,4,FALSE)</f>
        <v>#N/A</v>
      </c>
      <c r="H1745" s="8" t="e">
        <f>VLOOKUP($D1745,설문!$C$2:$G$444,5,FALSE)</f>
        <v>#N/A</v>
      </c>
    </row>
    <row r="1746" spans="1:8">
      <c r="A1746" s="6" t="s">
        <v>2294</v>
      </c>
      <c r="B1746" s="7" t="s">
        <v>9</v>
      </c>
      <c r="C1746" s="7" t="s">
        <v>1512</v>
      </c>
      <c r="D1746" s="7" t="s">
        <v>2295</v>
      </c>
      <c r="E1746" s="6" t="s">
        <v>2296</v>
      </c>
      <c r="F1746" s="8" t="e">
        <f>VLOOKUP($D1746,설문!$C$2:$G$444,3,FALSE)</f>
        <v>#N/A</v>
      </c>
      <c r="G1746" s="8" t="e">
        <f>VLOOKUP($D1746,설문!$C$2:$G$444,4,FALSE)</f>
        <v>#N/A</v>
      </c>
      <c r="H1746" s="8" t="e">
        <f>VLOOKUP($D1746,설문!$C$2:$G$444,5,FALSE)</f>
        <v>#N/A</v>
      </c>
    </row>
    <row r="1747" spans="1:8">
      <c r="A1747" s="6" t="s">
        <v>2294</v>
      </c>
      <c r="B1747" s="7" t="s">
        <v>9</v>
      </c>
      <c r="C1747" s="7" t="s">
        <v>1512</v>
      </c>
      <c r="D1747" s="7" t="s">
        <v>2297</v>
      </c>
      <c r="E1747" s="6" t="s">
        <v>2298</v>
      </c>
      <c r="F1747" s="8" t="e">
        <f>VLOOKUP($D1747,설문!$C$2:$G$444,3,FALSE)</f>
        <v>#N/A</v>
      </c>
      <c r="G1747" s="8" t="e">
        <f>VLOOKUP($D1747,설문!$C$2:$G$444,4,FALSE)</f>
        <v>#N/A</v>
      </c>
      <c r="H1747" s="8" t="e">
        <f>VLOOKUP($D1747,설문!$C$2:$G$444,5,FALSE)</f>
        <v>#N/A</v>
      </c>
    </row>
    <row r="1748" spans="1:8">
      <c r="A1748" s="6" t="s">
        <v>2294</v>
      </c>
      <c r="B1748" s="7" t="s">
        <v>9</v>
      </c>
      <c r="C1748" s="7" t="s">
        <v>1512</v>
      </c>
      <c r="D1748" s="7" t="s">
        <v>2299</v>
      </c>
      <c r="E1748" s="6" t="s">
        <v>2300</v>
      </c>
      <c r="F1748" s="8" t="e">
        <f>VLOOKUP($D1748,설문!$C$2:$G$444,3,FALSE)</f>
        <v>#N/A</v>
      </c>
      <c r="G1748" s="8" t="e">
        <f>VLOOKUP($D1748,설문!$C$2:$G$444,4,FALSE)</f>
        <v>#N/A</v>
      </c>
      <c r="H1748" s="8" t="e">
        <f>VLOOKUP($D1748,설문!$C$2:$G$444,5,FALSE)</f>
        <v>#N/A</v>
      </c>
    </row>
    <row r="1749" spans="1:8">
      <c r="A1749" s="6" t="s">
        <v>4397</v>
      </c>
      <c r="B1749" s="7" t="s">
        <v>4398</v>
      </c>
      <c r="C1749" s="7" t="s">
        <v>4398</v>
      </c>
      <c r="D1749" s="7" t="s">
        <v>4399</v>
      </c>
      <c r="E1749" s="6" t="s">
        <v>62</v>
      </c>
      <c r="F1749" s="8" t="e">
        <f>VLOOKUP($D1749,설문!$C$2:$G$444,3,FALSE)</f>
        <v>#N/A</v>
      </c>
      <c r="G1749" s="8" t="e">
        <f>VLOOKUP($D1749,설문!$C$2:$G$444,4,FALSE)</f>
        <v>#N/A</v>
      </c>
      <c r="H1749" s="8" t="e">
        <f>VLOOKUP($D1749,설문!$C$2:$G$444,5,FALSE)</f>
        <v>#N/A</v>
      </c>
    </row>
    <row r="1750" spans="1:8">
      <c r="A1750" s="6" t="s">
        <v>451</v>
      </c>
      <c r="B1750" s="7" t="s">
        <v>452</v>
      </c>
      <c r="C1750" s="7" t="s">
        <v>452</v>
      </c>
      <c r="D1750" s="7" t="s">
        <v>453</v>
      </c>
      <c r="E1750" s="6" t="s">
        <v>454</v>
      </c>
      <c r="F1750" s="8" t="e">
        <f>VLOOKUP($D1750,설문!$C$2:$G$444,3,FALSE)</f>
        <v>#N/A</v>
      </c>
      <c r="G1750" s="8" t="e">
        <f>VLOOKUP($D1750,설문!$C$2:$G$444,4,FALSE)</f>
        <v>#N/A</v>
      </c>
      <c r="H1750" s="8" t="e">
        <f>VLOOKUP($D1750,설문!$C$2:$G$444,5,FALSE)</f>
        <v>#N/A</v>
      </c>
    </row>
    <row r="1751" spans="1:8">
      <c r="A1751" s="6" t="s">
        <v>451</v>
      </c>
      <c r="B1751" s="7" t="s">
        <v>802</v>
      </c>
      <c r="C1751" s="7" t="s">
        <v>802</v>
      </c>
      <c r="D1751" s="7" t="s">
        <v>803</v>
      </c>
      <c r="E1751" s="6" t="s">
        <v>804</v>
      </c>
      <c r="F1751" s="8" t="e">
        <f>VLOOKUP($D1751,설문!$C$2:$G$444,3,FALSE)</f>
        <v>#N/A</v>
      </c>
      <c r="G1751" s="8" t="e">
        <f>VLOOKUP($D1751,설문!$C$2:$G$444,4,FALSE)</f>
        <v>#N/A</v>
      </c>
      <c r="H1751" s="8" t="e">
        <f>VLOOKUP($D1751,설문!$C$2:$G$444,5,FALSE)</f>
        <v>#N/A</v>
      </c>
    </row>
    <row r="1752" spans="1:8">
      <c r="A1752" s="6" t="s">
        <v>451</v>
      </c>
      <c r="B1752" s="7" t="s">
        <v>1152</v>
      </c>
      <c r="C1752" s="7" t="s">
        <v>1152</v>
      </c>
      <c r="D1752" s="7" t="s">
        <v>1153</v>
      </c>
      <c r="E1752" s="6" t="s">
        <v>1154</v>
      </c>
      <c r="F1752" s="8" t="str">
        <f>VLOOKUP($D1752,설문!$C$2:$G$444,3,FALSE)</f>
        <v>펀드매니저</v>
      </c>
      <c r="G1752" s="8" t="str">
        <f>VLOOKUP($D1752,설문!$C$2:$G$444,4,FALSE)</f>
        <v>금융회사</v>
      </c>
      <c r="H1752" s="8" t="str">
        <f>VLOOKUP($D1752,설문!$C$2:$G$444,5,FALSE)</f>
        <v>회사채</v>
      </c>
    </row>
    <row r="1753" spans="1:8">
      <c r="A1753" s="6" t="s">
        <v>451</v>
      </c>
      <c r="B1753" s="7" t="s">
        <v>452</v>
      </c>
      <c r="C1753" s="7" t="s">
        <v>452</v>
      </c>
      <c r="D1753" s="7" t="s">
        <v>1193</v>
      </c>
      <c r="E1753" s="6" t="s">
        <v>1194</v>
      </c>
      <c r="F1753" s="8" t="e">
        <f>VLOOKUP($D1753,설문!$C$2:$G$444,3,FALSE)</f>
        <v>#N/A</v>
      </c>
      <c r="G1753" s="8" t="e">
        <f>VLOOKUP($D1753,설문!$C$2:$G$444,4,FALSE)</f>
        <v>#N/A</v>
      </c>
      <c r="H1753" s="8" t="e">
        <f>VLOOKUP($D1753,설문!$C$2:$G$444,5,FALSE)</f>
        <v>#N/A</v>
      </c>
    </row>
    <row r="1754" spans="1:8">
      <c r="A1754" s="6" t="s">
        <v>451</v>
      </c>
      <c r="B1754" s="7" t="s">
        <v>188</v>
      </c>
      <c r="C1754" s="7" t="s">
        <v>149</v>
      </c>
      <c r="D1754" s="7" t="s">
        <v>1290</v>
      </c>
      <c r="E1754" s="6" t="s">
        <v>1291</v>
      </c>
      <c r="F1754" s="8" t="str">
        <f>VLOOKUP($D1754,설문!$C$2:$G$444,3,FALSE)</f>
        <v>브로커</v>
      </c>
      <c r="G1754" s="8" t="str">
        <f>VLOOKUP($D1754,설문!$C$2:$G$444,4,FALSE)</f>
        <v>금융회사</v>
      </c>
      <c r="H1754" s="8" t="str">
        <f>VLOOKUP($D1754,설문!$C$2:$G$444,5,FALSE)</f>
        <v>국고채/통안채,회사채</v>
      </c>
    </row>
    <row r="1755" spans="1:8">
      <c r="A1755" s="6" t="s">
        <v>451</v>
      </c>
      <c r="B1755" s="7" t="s">
        <v>452</v>
      </c>
      <c r="C1755" s="7" t="s">
        <v>452</v>
      </c>
      <c r="D1755" s="7" t="s">
        <v>1536</v>
      </c>
      <c r="E1755" s="6" t="s">
        <v>517</v>
      </c>
      <c r="F1755" s="8" t="e">
        <f>VLOOKUP($D1755,설문!$C$2:$G$444,3,FALSE)</f>
        <v>#N/A</v>
      </c>
      <c r="G1755" s="8" t="e">
        <f>VLOOKUP($D1755,설문!$C$2:$G$444,4,FALSE)</f>
        <v>#N/A</v>
      </c>
      <c r="H1755" s="8" t="e">
        <f>VLOOKUP($D1755,설문!$C$2:$G$444,5,FALSE)</f>
        <v>#N/A</v>
      </c>
    </row>
    <row r="1756" spans="1:8">
      <c r="A1756" s="6" t="s">
        <v>451</v>
      </c>
      <c r="B1756" s="7" t="s">
        <v>264</v>
      </c>
      <c r="C1756" s="7" t="s">
        <v>264</v>
      </c>
      <c r="D1756" s="7" t="s">
        <v>1761</v>
      </c>
      <c r="E1756" s="6" t="s">
        <v>1762</v>
      </c>
      <c r="F1756" s="8" t="str">
        <f>VLOOKUP($D1756,설문!$C$2:$G$444,3,FALSE)</f>
        <v>딜러</v>
      </c>
      <c r="G1756" s="8" t="str">
        <f>VLOOKUP($D1756,설문!$C$2:$G$444,4,FALSE)</f>
        <v>금융회사</v>
      </c>
      <c r="H1756" s="8" t="str">
        <f>VLOOKUP($D1756,설문!$C$2:$G$444,5,FALSE)</f>
        <v>국고채/통안채,회사채,국채선물</v>
      </c>
    </row>
    <row r="1757" spans="1:8">
      <c r="A1757" s="6" t="s">
        <v>451</v>
      </c>
      <c r="B1757" s="7" t="s">
        <v>5952</v>
      </c>
      <c r="C1757" s="7" t="s">
        <v>5952</v>
      </c>
      <c r="D1757" s="7" t="s">
        <v>5953</v>
      </c>
      <c r="E1757" s="6" t="s">
        <v>1088</v>
      </c>
      <c r="F1757" s="8" t="e">
        <f>VLOOKUP($D1757,설문!$C$2:$G$444,3,FALSE)</f>
        <v>#N/A</v>
      </c>
      <c r="G1757" s="8" t="e">
        <f>VLOOKUP($D1757,설문!$C$2:$G$444,4,FALSE)</f>
        <v>#N/A</v>
      </c>
      <c r="H1757" s="8" t="e">
        <f>VLOOKUP($D1757,설문!$C$2:$G$444,5,FALSE)</f>
        <v>#N/A</v>
      </c>
    </row>
    <row r="1758" spans="1:8">
      <c r="A1758" s="6" t="s">
        <v>451</v>
      </c>
      <c r="B1758" s="7" t="s">
        <v>5954</v>
      </c>
      <c r="C1758" s="7" t="s">
        <v>5955</v>
      </c>
      <c r="D1758" s="7" t="s">
        <v>5956</v>
      </c>
      <c r="E1758" s="6" t="s">
        <v>5957</v>
      </c>
      <c r="F1758" s="8" t="e">
        <f>VLOOKUP($D1758,설문!$C$2:$G$444,3,FALSE)</f>
        <v>#N/A</v>
      </c>
      <c r="G1758" s="8" t="e">
        <f>VLOOKUP($D1758,설문!$C$2:$G$444,4,FALSE)</f>
        <v>#N/A</v>
      </c>
      <c r="H1758" s="8" t="e">
        <f>VLOOKUP($D1758,설문!$C$2:$G$444,5,FALSE)</f>
        <v>#N/A</v>
      </c>
    </row>
    <row r="1759" spans="1:8">
      <c r="A1759" s="6" t="s">
        <v>451</v>
      </c>
      <c r="B1759" s="7" t="s">
        <v>3780</v>
      </c>
      <c r="C1759" s="7" t="s">
        <v>3780</v>
      </c>
      <c r="D1759" s="7" t="s">
        <v>5958</v>
      </c>
      <c r="E1759" s="6" t="s">
        <v>2328</v>
      </c>
      <c r="F1759" s="8" t="e">
        <f>VLOOKUP($D1759,설문!$C$2:$G$444,3,FALSE)</f>
        <v>#N/A</v>
      </c>
      <c r="G1759" s="8" t="e">
        <f>VLOOKUP($D1759,설문!$C$2:$G$444,4,FALSE)</f>
        <v>#N/A</v>
      </c>
      <c r="H1759" s="8" t="e">
        <f>VLOOKUP($D1759,설문!$C$2:$G$444,5,FALSE)</f>
        <v>#N/A</v>
      </c>
    </row>
    <row r="1760" spans="1:8">
      <c r="A1760" s="6" t="s">
        <v>451</v>
      </c>
      <c r="B1760" s="7" t="s">
        <v>74</v>
      </c>
      <c r="C1760" s="7" t="s">
        <v>74</v>
      </c>
      <c r="D1760" s="7" t="s">
        <v>5959</v>
      </c>
      <c r="E1760" s="6" t="s">
        <v>5960</v>
      </c>
      <c r="F1760" s="8" t="e">
        <f>VLOOKUP($D1760,설문!$C$2:$G$444,3,FALSE)</f>
        <v>#N/A</v>
      </c>
      <c r="G1760" s="8" t="e">
        <f>VLOOKUP($D1760,설문!$C$2:$G$444,4,FALSE)</f>
        <v>#N/A</v>
      </c>
      <c r="H1760" s="8" t="e">
        <f>VLOOKUP($D1760,설문!$C$2:$G$444,5,FALSE)</f>
        <v>#N/A</v>
      </c>
    </row>
    <row r="1761" spans="1:8">
      <c r="A1761" s="6" t="s">
        <v>451</v>
      </c>
      <c r="B1761" s="7" t="s">
        <v>4716</v>
      </c>
      <c r="C1761" s="7" t="s">
        <v>4716</v>
      </c>
      <c r="D1761" s="7" t="s">
        <v>5961</v>
      </c>
      <c r="E1761" s="6" t="s">
        <v>5962</v>
      </c>
      <c r="F1761" s="8" t="str">
        <f>VLOOKUP($D1761,설문!$C$2:$G$444,3,FALSE)</f>
        <v>백오피스</v>
      </c>
      <c r="G1761" s="8" t="str">
        <f>VLOOKUP($D1761,설문!$C$2:$G$444,4,FALSE)</f>
        <v>금융회사</v>
      </c>
      <c r="H1761" s="8" t="str">
        <f>VLOOKUP($D1761,설문!$C$2:$G$444,5,FALSE)</f>
        <v>외화채권(KP제외),국내주식/지수관련파생,원화 이자율스왑,FX Spot &amp; FX Swap,CRS &amp; FX Option,신용파생,원자재파생,해외주식/지수관련파생,ELS/DLS</v>
      </c>
    </row>
    <row r="1762" spans="1:8">
      <c r="A1762" s="6" t="s">
        <v>451</v>
      </c>
      <c r="B1762" s="7" t="s">
        <v>5963</v>
      </c>
      <c r="C1762" s="7" t="s">
        <v>5963</v>
      </c>
      <c r="D1762" s="7" t="s">
        <v>5964</v>
      </c>
      <c r="E1762" s="6" t="s">
        <v>5965</v>
      </c>
      <c r="F1762" s="8" t="str">
        <f>VLOOKUP($D1762,설문!$C$2:$G$444,3,FALSE)</f>
        <v>세일즈</v>
      </c>
      <c r="G1762" s="8" t="str">
        <f>VLOOKUP($D1762,설문!$C$2:$G$444,4,FALSE)</f>
        <v>금융회사</v>
      </c>
      <c r="H1762" s="8" t="str">
        <f>VLOOKUP($D1762,설문!$C$2:$G$444,5,FALSE)</f>
        <v>국내주식/지수</v>
      </c>
    </row>
    <row r="1763" spans="1:8">
      <c r="A1763" s="6" t="s">
        <v>451</v>
      </c>
      <c r="B1763" s="7" t="s">
        <v>5966</v>
      </c>
      <c r="C1763" s="7" t="s">
        <v>757</v>
      </c>
      <c r="D1763" s="7" t="s">
        <v>5967</v>
      </c>
      <c r="E1763" s="6" t="s">
        <v>5968</v>
      </c>
      <c r="F1763" s="8" t="str">
        <f>VLOOKUP($D1763,설문!$C$2:$G$444,3,FALSE)</f>
        <v>세일즈</v>
      </c>
      <c r="G1763" s="8" t="str">
        <f>VLOOKUP($D1763,설문!$C$2:$G$444,4,FALSE)</f>
        <v>금융회사</v>
      </c>
      <c r="H1763" s="8" t="str">
        <f>VLOOKUP($D1763,설문!$C$2:$G$444,5,FALSE)</f>
        <v>원화 구조화채권,국내주식/지수관련파생,외화 구조화채권,원화 이자율스왑,외화 이자율스왑,FX Spot &amp; FX Swap,CRS &amp; FX Option,FRA/이자율옵션,신용파생,원자재파생,해외주식/지수관련파생,ELS/DLS</v>
      </c>
    </row>
    <row r="1764" spans="1:8">
      <c r="A1764" s="6" t="s">
        <v>451</v>
      </c>
      <c r="B1764" s="7" t="s">
        <v>5969</v>
      </c>
      <c r="C1764" s="7" t="s">
        <v>96</v>
      </c>
      <c r="D1764" s="7" t="s">
        <v>5970</v>
      </c>
      <c r="E1764" s="6" t="s">
        <v>5971</v>
      </c>
      <c r="F1764" s="8" t="e">
        <f>VLOOKUP($D1764,설문!$C$2:$G$444,3,FALSE)</f>
        <v>#N/A</v>
      </c>
      <c r="G1764" s="8" t="e">
        <f>VLOOKUP($D1764,설문!$C$2:$G$444,4,FALSE)</f>
        <v>#N/A</v>
      </c>
      <c r="H1764" s="8" t="e">
        <f>VLOOKUP($D1764,설문!$C$2:$G$444,5,FALSE)</f>
        <v>#N/A</v>
      </c>
    </row>
    <row r="1765" spans="1:8">
      <c r="A1765" s="6" t="s">
        <v>451</v>
      </c>
      <c r="B1765" s="7" t="s">
        <v>5969</v>
      </c>
      <c r="C1765" s="7" t="s">
        <v>96</v>
      </c>
      <c r="D1765" s="7" t="s">
        <v>5972</v>
      </c>
      <c r="E1765" s="6" t="s">
        <v>5973</v>
      </c>
      <c r="F1765" s="8" t="str">
        <f>VLOOKUP($D1765,설문!$C$2:$G$444,3,FALSE)</f>
        <v>트레이더,세일즈</v>
      </c>
      <c r="G1765" s="8" t="str">
        <f>VLOOKUP($D1765,설문!$C$2:$G$444,4,FALSE)</f>
        <v>금융회사,개인고객</v>
      </c>
      <c r="H1765" s="8" t="str">
        <f>VLOOKUP($D1765,설문!$C$2:$G$444,5,FALSE)</f>
        <v>회사채,소액채권</v>
      </c>
    </row>
    <row r="1766" spans="1:8">
      <c r="A1766" s="6" t="s">
        <v>451</v>
      </c>
      <c r="B1766" s="7" t="s">
        <v>452</v>
      </c>
      <c r="C1766" s="7" t="s">
        <v>452</v>
      </c>
      <c r="D1766" s="7" t="s">
        <v>5974</v>
      </c>
      <c r="E1766" s="6" t="s">
        <v>5975</v>
      </c>
      <c r="F1766" s="8" t="e">
        <f>VLOOKUP($D1766,설문!$C$2:$G$444,3,FALSE)</f>
        <v>#N/A</v>
      </c>
      <c r="G1766" s="8" t="e">
        <f>VLOOKUP($D1766,설문!$C$2:$G$444,4,FALSE)</f>
        <v>#N/A</v>
      </c>
      <c r="H1766" s="8" t="e">
        <f>VLOOKUP($D1766,설문!$C$2:$G$444,5,FALSE)</f>
        <v>#N/A</v>
      </c>
    </row>
    <row r="1767" spans="1:8">
      <c r="A1767" s="6" t="s">
        <v>451</v>
      </c>
      <c r="B1767" s="7" t="s">
        <v>452</v>
      </c>
      <c r="C1767" s="7" t="s">
        <v>452</v>
      </c>
      <c r="D1767" s="7" t="s">
        <v>5976</v>
      </c>
      <c r="E1767" s="6" t="s">
        <v>2875</v>
      </c>
      <c r="F1767" s="8" t="e">
        <f>VLOOKUP($D1767,설문!$C$2:$G$444,3,FALSE)</f>
        <v>#N/A</v>
      </c>
      <c r="G1767" s="8" t="e">
        <f>VLOOKUP($D1767,설문!$C$2:$G$444,4,FALSE)</f>
        <v>#N/A</v>
      </c>
      <c r="H1767" s="8" t="e">
        <f>VLOOKUP($D1767,설문!$C$2:$G$444,5,FALSE)</f>
        <v>#N/A</v>
      </c>
    </row>
    <row r="1768" spans="1:8">
      <c r="A1768" s="6" t="s">
        <v>451</v>
      </c>
      <c r="B1768" s="7" t="s">
        <v>452</v>
      </c>
      <c r="C1768" s="7" t="s">
        <v>452</v>
      </c>
      <c r="D1768" s="7" t="s">
        <v>5977</v>
      </c>
      <c r="E1768" s="6" t="s">
        <v>5978</v>
      </c>
      <c r="F1768" s="8" t="e">
        <f>VLOOKUP($D1768,설문!$C$2:$G$444,3,FALSE)</f>
        <v>#N/A</v>
      </c>
      <c r="G1768" s="8" t="e">
        <f>VLOOKUP($D1768,설문!$C$2:$G$444,4,FALSE)</f>
        <v>#N/A</v>
      </c>
      <c r="H1768" s="8" t="e">
        <f>VLOOKUP($D1768,설문!$C$2:$G$444,5,FALSE)</f>
        <v>#N/A</v>
      </c>
    </row>
    <row r="1769" spans="1:8">
      <c r="A1769" s="6" t="s">
        <v>451</v>
      </c>
      <c r="B1769" s="7" t="s">
        <v>452</v>
      </c>
      <c r="C1769" s="7" t="s">
        <v>452</v>
      </c>
      <c r="D1769" s="7" t="s">
        <v>5979</v>
      </c>
      <c r="E1769" s="6" t="s">
        <v>5980</v>
      </c>
      <c r="F1769" s="8" t="str">
        <f>VLOOKUP($D1769,설문!$C$2:$G$444,3,FALSE)</f>
        <v>브로커</v>
      </c>
      <c r="G1769" s="8" t="str">
        <f>VLOOKUP($D1769,설문!$C$2:$G$444,4,FALSE)</f>
        <v>금융회사</v>
      </c>
      <c r="H1769" s="8" t="str">
        <f>VLOOKUP($D1769,설문!$C$2:$G$444,5,FALSE)</f>
        <v>회사채,소액채권</v>
      </c>
    </row>
    <row r="1770" spans="1:8">
      <c r="A1770" s="6" t="s">
        <v>451</v>
      </c>
      <c r="B1770" s="7" t="s">
        <v>452</v>
      </c>
      <c r="C1770" s="7" t="s">
        <v>452</v>
      </c>
      <c r="D1770" s="7" t="s">
        <v>5981</v>
      </c>
      <c r="E1770" s="6" t="s">
        <v>5982</v>
      </c>
      <c r="F1770" s="8" t="e">
        <f>VLOOKUP($D1770,설문!$C$2:$G$444,3,FALSE)</f>
        <v>#N/A</v>
      </c>
      <c r="G1770" s="8" t="e">
        <f>VLOOKUP($D1770,설문!$C$2:$G$444,4,FALSE)</f>
        <v>#N/A</v>
      </c>
      <c r="H1770" s="8" t="e">
        <f>VLOOKUP($D1770,설문!$C$2:$G$444,5,FALSE)</f>
        <v>#N/A</v>
      </c>
    </row>
    <row r="1771" spans="1:8">
      <c r="A1771" s="6" t="s">
        <v>451</v>
      </c>
      <c r="B1771" s="7" t="s">
        <v>452</v>
      </c>
      <c r="C1771" s="7" t="s">
        <v>452</v>
      </c>
      <c r="D1771" s="7" t="s">
        <v>5983</v>
      </c>
      <c r="E1771" s="6" t="s">
        <v>5984</v>
      </c>
      <c r="F1771" s="8" t="e">
        <f>VLOOKUP($D1771,설문!$C$2:$G$444,3,FALSE)</f>
        <v>#N/A</v>
      </c>
      <c r="G1771" s="8" t="e">
        <f>VLOOKUP($D1771,설문!$C$2:$G$444,4,FALSE)</f>
        <v>#N/A</v>
      </c>
      <c r="H1771" s="8" t="e">
        <f>VLOOKUP($D1771,설문!$C$2:$G$444,5,FALSE)</f>
        <v>#N/A</v>
      </c>
    </row>
    <row r="1772" spans="1:8">
      <c r="A1772" s="6" t="s">
        <v>451</v>
      </c>
      <c r="B1772" s="7" t="s">
        <v>452</v>
      </c>
      <c r="C1772" s="7" t="s">
        <v>452</v>
      </c>
      <c r="D1772" s="7" t="s">
        <v>5985</v>
      </c>
      <c r="E1772" s="6" t="s">
        <v>5986</v>
      </c>
      <c r="F1772" s="8" t="e">
        <f>VLOOKUP($D1772,설문!$C$2:$G$444,3,FALSE)</f>
        <v>#N/A</v>
      </c>
      <c r="G1772" s="8" t="e">
        <f>VLOOKUP($D1772,설문!$C$2:$G$444,4,FALSE)</f>
        <v>#N/A</v>
      </c>
      <c r="H1772" s="8" t="e">
        <f>VLOOKUP($D1772,설문!$C$2:$G$444,5,FALSE)</f>
        <v>#N/A</v>
      </c>
    </row>
    <row r="1773" spans="1:8">
      <c r="A1773" s="6" t="s">
        <v>451</v>
      </c>
      <c r="B1773" s="7" t="s">
        <v>452</v>
      </c>
      <c r="C1773" s="7" t="s">
        <v>452</v>
      </c>
      <c r="D1773" s="7" t="s">
        <v>5987</v>
      </c>
      <c r="E1773" s="6" t="s">
        <v>5988</v>
      </c>
      <c r="F1773" s="8" t="e">
        <f>VLOOKUP($D1773,설문!$C$2:$G$444,3,FALSE)</f>
        <v>#N/A</v>
      </c>
      <c r="G1773" s="8" t="e">
        <f>VLOOKUP($D1773,설문!$C$2:$G$444,4,FALSE)</f>
        <v>#N/A</v>
      </c>
      <c r="H1773" s="8" t="e">
        <f>VLOOKUP($D1773,설문!$C$2:$G$444,5,FALSE)</f>
        <v>#N/A</v>
      </c>
    </row>
    <row r="1774" spans="1:8">
      <c r="A1774" s="6" t="s">
        <v>451</v>
      </c>
      <c r="B1774" s="7" t="s">
        <v>452</v>
      </c>
      <c r="C1774" s="7" t="s">
        <v>452</v>
      </c>
      <c r="D1774" s="7" t="s">
        <v>5989</v>
      </c>
      <c r="E1774" s="6" t="s">
        <v>3809</v>
      </c>
      <c r="F1774" s="8" t="e">
        <f>VLOOKUP($D1774,설문!$C$2:$G$444,3,FALSE)</f>
        <v>#N/A</v>
      </c>
      <c r="G1774" s="8" t="e">
        <f>VLOOKUP($D1774,설문!$C$2:$G$444,4,FALSE)</f>
        <v>#N/A</v>
      </c>
      <c r="H1774" s="8" t="e">
        <f>VLOOKUP($D1774,설문!$C$2:$G$444,5,FALSE)</f>
        <v>#N/A</v>
      </c>
    </row>
    <row r="1775" spans="1:8">
      <c r="A1775" s="6" t="s">
        <v>451</v>
      </c>
      <c r="B1775" s="7" t="s">
        <v>1152</v>
      </c>
      <c r="C1775" s="7" t="s">
        <v>1152</v>
      </c>
      <c r="D1775" s="7" t="s">
        <v>5990</v>
      </c>
      <c r="E1775" s="6" t="s">
        <v>5991</v>
      </c>
      <c r="F1775" s="8" t="e">
        <f>VLOOKUP($D1775,설문!$C$2:$G$444,3,FALSE)</f>
        <v>#N/A</v>
      </c>
      <c r="G1775" s="8" t="e">
        <f>VLOOKUP($D1775,설문!$C$2:$G$444,4,FALSE)</f>
        <v>#N/A</v>
      </c>
      <c r="H1775" s="8" t="e">
        <f>VLOOKUP($D1775,설문!$C$2:$G$444,5,FALSE)</f>
        <v>#N/A</v>
      </c>
    </row>
    <row r="1776" spans="1:8">
      <c r="A1776" s="6" t="s">
        <v>451</v>
      </c>
      <c r="B1776" s="7" t="s">
        <v>264</v>
      </c>
      <c r="C1776" s="7" t="s">
        <v>264</v>
      </c>
      <c r="D1776" s="7" t="s">
        <v>5992</v>
      </c>
      <c r="E1776" s="6" t="s">
        <v>5993</v>
      </c>
      <c r="F1776" s="8" t="str">
        <f>VLOOKUP($D1776,설문!$C$2:$G$444,3,FALSE)</f>
        <v>트레이더,딜러</v>
      </c>
      <c r="G1776" s="8" t="str">
        <f>VLOOKUP($D1776,설문!$C$2:$G$444,4,FALSE)</f>
        <v>금융회사,금융 유관기관</v>
      </c>
      <c r="H1776" s="8" t="str">
        <f>VLOOKUP($D1776,설문!$C$2:$G$444,5,FALSE)</f>
        <v>국고채/통안채,회사채,소액채권,RP,단기자금,국채선물,Korean Paper,외화채권선물,원화 이자율스왑,외화 이자율스왑</v>
      </c>
    </row>
    <row r="1777" spans="1:8">
      <c r="A1777" s="6" t="s">
        <v>451</v>
      </c>
      <c r="B1777" s="7" t="s">
        <v>264</v>
      </c>
      <c r="C1777" s="7" t="s">
        <v>264</v>
      </c>
      <c r="D1777" s="7" t="s">
        <v>5994</v>
      </c>
      <c r="E1777" s="6" t="s">
        <v>5995</v>
      </c>
      <c r="F1777" s="8" t="e">
        <f>VLOOKUP($D1777,설문!$C$2:$G$444,3,FALSE)</f>
        <v>#N/A</v>
      </c>
      <c r="G1777" s="8" t="e">
        <f>VLOOKUP($D1777,설문!$C$2:$G$444,4,FALSE)</f>
        <v>#N/A</v>
      </c>
      <c r="H1777" s="8" t="e">
        <f>VLOOKUP($D1777,설문!$C$2:$G$444,5,FALSE)</f>
        <v>#N/A</v>
      </c>
    </row>
    <row r="1778" spans="1:8">
      <c r="A1778" s="6" t="s">
        <v>451</v>
      </c>
      <c r="B1778" s="7" t="s">
        <v>264</v>
      </c>
      <c r="C1778" s="7" t="s">
        <v>264</v>
      </c>
      <c r="D1778" s="7" t="s">
        <v>5996</v>
      </c>
      <c r="E1778" s="6" t="s">
        <v>5997</v>
      </c>
      <c r="F1778" s="8" t="str">
        <f>VLOOKUP($D1778,설문!$C$2:$G$444,3,FALSE)</f>
        <v>백오피스</v>
      </c>
      <c r="G1778" s="8" t="str">
        <f>VLOOKUP($D1778,설문!$C$2:$G$444,4,FALSE)</f>
        <v>금융회사</v>
      </c>
      <c r="H1778" s="8" t="str">
        <f>VLOOKUP($D1778,설문!$C$2:$G$444,5,FALSE)</f>
        <v>국고채/통안채,회사채,RP,원화 구조화채권,외화 구조화채권,원화 이자율스왑,외화 이자율스왑,FX Spot &amp; FX Swap</v>
      </c>
    </row>
    <row r="1779" spans="1:8">
      <c r="A1779" s="6" t="s">
        <v>451</v>
      </c>
      <c r="B1779" s="7" t="s">
        <v>264</v>
      </c>
      <c r="C1779" s="7" t="s">
        <v>264</v>
      </c>
      <c r="D1779" s="7" t="s">
        <v>5998</v>
      </c>
      <c r="E1779" s="6" t="s">
        <v>5999</v>
      </c>
      <c r="F1779" s="8" t="e">
        <f>VLOOKUP($D1779,설문!$C$2:$G$444,3,FALSE)</f>
        <v>#N/A</v>
      </c>
      <c r="G1779" s="8" t="e">
        <f>VLOOKUP($D1779,설문!$C$2:$G$444,4,FALSE)</f>
        <v>#N/A</v>
      </c>
      <c r="H1779" s="8" t="e">
        <f>VLOOKUP($D1779,설문!$C$2:$G$444,5,FALSE)</f>
        <v>#N/A</v>
      </c>
    </row>
    <row r="1780" spans="1:8">
      <c r="A1780" s="6" t="s">
        <v>451</v>
      </c>
      <c r="B1780" s="7" t="s">
        <v>264</v>
      </c>
      <c r="C1780" s="7" t="s">
        <v>264</v>
      </c>
      <c r="D1780" s="7" t="s">
        <v>6000</v>
      </c>
      <c r="E1780" s="6" t="s">
        <v>6001</v>
      </c>
      <c r="F1780" s="8" t="str">
        <f>VLOOKUP($D1780,설문!$C$2:$G$444,3,FALSE)</f>
        <v>트레이더</v>
      </c>
      <c r="G1780" s="8" t="str">
        <f>VLOOKUP($D1780,설문!$C$2:$G$444,4,FALSE)</f>
        <v>금융회사</v>
      </c>
      <c r="H1780" s="8" t="str">
        <f>VLOOKUP($D1780,설문!$C$2:$G$444,5,FALSE)</f>
        <v>국내주식/지수,국고채/통안채,RP,FX Spot &amp; FX Swap</v>
      </c>
    </row>
    <row r="1781" spans="1:8">
      <c r="A1781" s="6" t="s">
        <v>451</v>
      </c>
      <c r="B1781" s="7" t="s">
        <v>898</v>
      </c>
      <c r="C1781" s="7" t="s">
        <v>898</v>
      </c>
      <c r="D1781" s="7" t="s">
        <v>6002</v>
      </c>
      <c r="E1781" s="6" t="s">
        <v>6003</v>
      </c>
      <c r="F1781" s="8" t="str">
        <f>VLOOKUP($D1781,설문!$C$2:$G$444,3,FALSE)</f>
        <v>백오피스</v>
      </c>
      <c r="G1781" s="8" t="str">
        <f>VLOOKUP($D1781,설문!$C$2:$G$444,4,FALSE)</f>
        <v>금융회사</v>
      </c>
      <c r="H1781" s="8" t="str">
        <f>VLOOKUP($D1781,설문!$C$2:$G$444,5,FALSE)</f>
        <v>국고채/통안채</v>
      </c>
    </row>
    <row r="1782" spans="1:8">
      <c r="A1782" s="6" t="s">
        <v>451</v>
      </c>
      <c r="B1782" s="7" t="s">
        <v>898</v>
      </c>
      <c r="C1782" s="7" t="s">
        <v>898</v>
      </c>
      <c r="D1782" s="7" t="s">
        <v>6004</v>
      </c>
      <c r="E1782" s="6" t="s">
        <v>3955</v>
      </c>
      <c r="F1782" s="8" t="e">
        <f>VLOOKUP($D1782,설문!$C$2:$G$444,3,FALSE)</f>
        <v>#N/A</v>
      </c>
      <c r="G1782" s="8" t="e">
        <f>VLOOKUP($D1782,설문!$C$2:$G$444,4,FALSE)</f>
        <v>#N/A</v>
      </c>
      <c r="H1782" s="8" t="e">
        <f>VLOOKUP($D1782,설문!$C$2:$G$444,5,FALSE)</f>
        <v>#N/A</v>
      </c>
    </row>
    <row r="1783" spans="1:8">
      <c r="A1783" s="6" t="s">
        <v>451</v>
      </c>
      <c r="B1783" s="7" t="s">
        <v>898</v>
      </c>
      <c r="C1783" s="7" t="s">
        <v>898</v>
      </c>
      <c r="D1783" s="7" t="s">
        <v>6005</v>
      </c>
      <c r="E1783" s="6" t="s">
        <v>6006</v>
      </c>
      <c r="F1783" s="8" t="e">
        <f>VLOOKUP($D1783,설문!$C$2:$G$444,3,FALSE)</f>
        <v>#N/A</v>
      </c>
      <c r="G1783" s="8" t="e">
        <f>VLOOKUP($D1783,설문!$C$2:$G$444,4,FALSE)</f>
        <v>#N/A</v>
      </c>
      <c r="H1783" s="8" t="e">
        <f>VLOOKUP($D1783,설문!$C$2:$G$444,5,FALSE)</f>
        <v>#N/A</v>
      </c>
    </row>
    <row r="1784" spans="1:8">
      <c r="A1784" s="6" t="s">
        <v>451</v>
      </c>
      <c r="B1784" s="7" t="s">
        <v>898</v>
      </c>
      <c r="C1784" s="7" t="s">
        <v>898</v>
      </c>
      <c r="D1784" s="7" t="s">
        <v>6007</v>
      </c>
      <c r="E1784" s="6" t="s">
        <v>6008</v>
      </c>
      <c r="F1784" s="8" t="e">
        <f>VLOOKUP($D1784,설문!$C$2:$G$444,3,FALSE)</f>
        <v>#N/A</v>
      </c>
      <c r="G1784" s="8" t="e">
        <f>VLOOKUP($D1784,설문!$C$2:$G$444,4,FALSE)</f>
        <v>#N/A</v>
      </c>
      <c r="H1784" s="8" t="e">
        <f>VLOOKUP($D1784,설문!$C$2:$G$444,5,FALSE)</f>
        <v>#N/A</v>
      </c>
    </row>
    <row r="1785" spans="1:8">
      <c r="A1785" s="6" t="s">
        <v>451</v>
      </c>
      <c r="B1785" s="7" t="s">
        <v>188</v>
      </c>
      <c r="C1785" s="7" t="s">
        <v>149</v>
      </c>
      <c r="D1785" s="7" t="s">
        <v>6009</v>
      </c>
      <c r="E1785" s="6" t="s">
        <v>5213</v>
      </c>
      <c r="F1785" s="8" t="e">
        <f>VLOOKUP($D1785,설문!$C$2:$G$444,3,FALSE)</f>
        <v>#N/A</v>
      </c>
      <c r="G1785" s="8" t="e">
        <f>VLOOKUP($D1785,설문!$C$2:$G$444,4,FALSE)</f>
        <v>#N/A</v>
      </c>
      <c r="H1785" s="8" t="e">
        <f>VLOOKUP($D1785,설문!$C$2:$G$444,5,FALSE)</f>
        <v>#N/A</v>
      </c>
    </row>
    <row r="1786" spans="1:8">
      <c r="A1786" s="6" t="s">
        <v>451</v>
      </c>
      <c r="B1786" s="7" t="s">
        <v>188</v>
      </c>
      <c r="C1786" s="7" t="s">
        <v>149</v>
      </c>
      <c r="D1786" s="7" t="s">
        <v>6010</v>
      </c>
      <c r="E1786" s="6" t="s">
        <v>6011</v>
      </c>
      <c r="F1786" s="8" t="e">
        <f>VLOOKUP($D1786,설문!$C$2:$G$444,3,FALSE)</f>
        <v>#N/A</v>
      </c>
      <c r="G1786" s="8" t="e">
        <f>VLOOKUP($D1786,설문!$C$2:$G$444,4,FALSE)</f>
        <v>#N/A</v>
      </c>
      <c r="H1786" s="8" t="e">
        <f>VLOOKUP($D1786,설문!$C$2:$G$444,5,FALSE)</f>
        <v>#N/A</v>
      </c>
    </row>
    <row r="1787" spans="1:8">
      <c r="A1787" s="6" t="s">
        <v>451</v>
      </c>
      <c r="B1787" s="7" t="s">
        <v>188</v>
      </c>
      <c r="C1787" s="7" t="s">
        <v>149</v>
      </c>
      <c r="D1787" s="7" t="s">
        <v>6012</v>
      </c>
      <c r="E1787" s="6" t="s">
        <v>6013</v>
      </c>
      <c r="F1787" s="8" t="e">
        <f>VLOOKUP($D1787,설문!$C$2:$G$444,3,FALSE)</f>
        <v>#N/A</v>
      </c>
      <c r="G1787" s="8" t="e">
        <f>VLOOKUP($D1787,설문!$C$2:$G$444,4,FALSE)</f>
        <v>#N/A</v>
      </c>
      <c r="H1787" s="8" t="e">
        <f>VLOOKUP($D1787,설문!$C$2:$G$444,5,FALSE)</f>
        <v>#N/A</v>
      </c>
    </row>
    <row r="1788" spans="1:8">
      <c r="A1788" s="6" t="s">
        <v>451</v>
      </c>
      <c r="B1788" s="7" t="s">
        <v>188</v>
      </c>
      <c r="C1788" s="7" t="s">
        <v>149</v>
      </c>
      <c r="D1788" s="7" t="s">
        <v>6014</v>
      </c>
      <c r="E1788" s="6" t="s">
        <v>6015</v>
      </c>
      <c r="F1788" s="8" t="e">
        <f>VLOOKUP($D1788,설문!$C$2:$G$444,3,FALSE)</f>
        <v>#N/A</v>
      </c>
      <c r="G1788" s="8" t="e">
        <f>VLOOKUP($D1788,설문!$C$2:$G$444,4,FALSE)</f>
        <v>#N/A</v>
      </c>
      <c r="H1788" s="8" t="e">
        <f>VLOOKUP($D1788,설문!$C$2:$G$444,5,FALSE)</f>
        <v>#N/A</v>
      </c>
    </row>
    <row r="1789" spans="1:8">
      <c r="A1789" s="6" t="s">
        <v>2333</v>
      </c>
      <c r="B1789" s="7" t="s">
        <v>9</v>
      </c>
      <c r="C1789" s="7" t="s">
        <v>9</v>
      </c>
      <c r="D1789" s="7" t="s">
        <v>2334</v>
      </c>
      <c r="E1789" s="6" t="s">
        <v>2335</v>
      </c>
      <c r="F1789" s="8" t="e">
        <f>VLOOKUP($D1789,설문!$C$2:$G$444,3,FALSE)</f>
        <v>#N/A</v>
      </c>
      <c r="G1789" s="8" t="e">
        <f>VLOOKUP($D1789,설문!$C$2:$G$444,4,FALSE)</f>
        <v>#N/A</v>
      </c>
      <c r="H1789" s="8" t="e">
        <f>VLOOKUP($D1789,설문!$C$2:$G$444,5,FALSE)</f>
        <v>#N/A</v>
      </c>
    </row>
    <row r="1790" spans="1:8">
      <c r="A1790" s="6" t="s">
        <v>457</v>
      </c>
      <c r="B1790" s="7" t="s">
        <v>458</v>
      </c>
      <c r="C1790" s="7" t="s">
        <v>458</v>
      </c>
      <c r="D1790" s="7" t="s">
        <v>459</v>
      </c>
      <c r="E1790" s="6" t="s">
        <v>460</v>
      </c>
      <c r="F1790" s="8" t="e">
        <f>VLOOKUP($D1790,설문!$C$2:$G$444,3,FALSE)</f>
        <v>#N/A</v>
      </c>
      <c r="G1790" s="8" t="e">
        <f>VLOOKUP($D1790,설문!$C$2:$G$444,4,FALSE)</f>
        <v>#N/A</v>
      </c>
      <c r="H1790" s="8" t="e">
        <f>VLOOKUP($D1790,설문!$C$2:$G$444,5,FALSE)</f>
        <v>#N/A</v>
      </c>
    </row>
    <row r="1791" spans="1:8">
      <c r="A1791" s="6" t="s">
        <v>457</v>
      </c>
      <c r="B1791" s="7" t="s">
        <v>1340</v>
      </c>
      <c r="C1791" s="7" t="s">
        <v>1340</v>
      </c>
      <c r="D1791" s="7" t="s">
        <v>1341</v>
      </c>
      <c r="E1791" s="6" t="s">
        <v>1342</v>
      </c>
      <c r="F1791" s="8" t="e">
        <f>VLOOKUP($D1791,설문!$C$2:$G$444,3,FALSE)</f>
        <v>#N/A</v>
      </c>
      <c r="G1791" s="8" t="e">
        <f>VLOOKUP($D1791,설문!$C$2:$G$444,4,FALSE)</f>
        <v>#N/A</v>
      </c>
      <c r="H1791" s="8" t="e">
        <f>VLOOKUP($D1791,설문!$C$2:$G$444,5,FALSE)</f>
        <v>#N/A</v>
      </c>
    </row>
    <row r="1792" spans="1:8">
      <c r="A1792" s="6" t="s">
        <v>457</v>
      </c>
      <c r="B1792" s="7" t="s">
        <v>2330</v>
      </c>
      <c r="C1792" s="7" t="s">
        <v>2330</v>
      </c>
      <c r="D1792" s="7" t="s">
        <v>3035</v>
      </c>
      <c r="E1792" s="6" t="s">
        <v>3036</v>
      </c>
      <c r="F1792" s="8" t="e">
        <f>VLOOKUP($D1792,설문!$C$2:$G$444,3,FALSE)</f>
        <v>#N/A</v>
      </c>
      <c r="G1792" s="8" t="e">
        <f>VLOOKUP($D1792,설문!$C$2:$G$444,4,FALSE)</f>
        <v>#N/A</v>
      </c>
      <c r="H1792" s="8" t="e">
        <f>VLOOKUP($D1792,설문!$C$2:$G$444,5,FALSE)</f>
        <v>#N/A</v>
      </c>
    </row>
    <row r="1793" spans="1:8">
      <c r="A1793" s="6" t="s">
        <v>457</v>
      </c>
      <c r="B1793" s="7" t="s">
        <v>3037</v>
      </c>
      <c r="C1793" s="7" t="s">
        <v>3037</v>
      </c>
      <c r="D1793" s="7" t="s">
        <v>3038</v>
      </c>
      <c r="E1793" s="6" t="s">
        <v>3039</v>
      </c>
      <c r="F1793" s="8" t="e">
        <f>VLOOKUP($D1793,설문!$C$2:$G$444,3,FALSE)</f>
        <v>#N/A</v>
      </c>
      <c r="G1793" s="8" t="e">
        <f>VLOOKUP($D1793,설문!$C$2:$G$444,4,FALSE)</f>
        <v>#N/A</v>
      </c>
      <c r="H1793" s="8" t="e">
        <f>VLOOKUP($D1793,설문!$C$2:$G$444,5,FALSE)</f>
        <v>#N/A</v>
      </c>
    </row>
    <row r="1794" spans="1:8">
      <c r="A1794" s="6" t="s">
        <v>212</v>
      </c>
      <c r="B1794" s="7" t="s">
        <v>213</v>
      </c>
      <c r="C1794" s="7" t="s">
        <v>9</v>
      </c>
      <c r="D1794" s="7" t="s">
        <v>214</v>
      </c>
      <c r="E1794" s="6" t="s">
        <v>215</v>
      </c>
      <c r="F1794" s="8" t="e">
        <f>VLOOKUP($D1794,설문!$C$2:$G$444,3,FALSE)</f>
        <v>#N/A</v>
      </c>
      <c r="G1794" s="8" t="e">
        <f>VLOOKUP($D1794,설문!$C$2:$G$444,4,FALSE)</f>
        <v>#N/A</v>
      </c>
      <c r="H1794" s="8" t="e">
        <f>VLOOKUP($D1794,설문!$C$2:$G$444,5,FALSE)</f>
        <v>#N/A</v>
      </c>
    </row>
    <row r="1795" spans="1:8">
      <c r="A1795" s="6" t="s">
        <v>212</v>
      </c>
      <c r="B1795" s="7" t="s">
        <v>346</v>
      </c>
      <c r="C1795" s="7" t="s">
        <v>347</v>
      </c>
      <c r="D1795" s="7" t="s">
        <v>348</v>
      </c>
      <c r="E1795" s="6" t="s">
        <v>349</v>
      </c>
      <c r="F1795" s="8" t="e">
        <f>VLOOKUP($D1795,설문!$C$2:$G$444,3,FALSE)</f>
        <v>#N/A</v>
      </c>
      <c r="G1795" s="8" t="e">
        <f>VLOOKUP($D1795,설문!$C$2:$G$444,4,FALSE)</f>
        <v>#N/A</v>
      </c>
      <c r="H1795" s="8" t="e">
        <f>VLOOKUP($D1795,설문!$C$2:$G$444,5,FALSE)</f>
        <v>#N/A</v>
      </c>
    </row>
    <row r="1796" spans="1:8">
      <c r="A1796" s="6" t="s">
        <v>212</v>
      </c>
      <c r="B1796" s="7" t="s">
        <v>1695</v>
      </c>
      <c r="C1796" s="7" t="s">
        <v>1696</v>
      </c>
      <c r="D1796" s="7" t="s">
        <v>1697</v>
      </c>
      <c r="E1796" s="6" t="s">
        <v>84</v>
      </c>
      <c r="F1796" s="8" t="e">
        <f>VLOOKUP($D1796,설문!$C$2:$G$444,3,FALSE)</f>
        <v>#N/A</v>
      </c>
      <c r="G1796" s="8" t="e">
        <f>VLOOKUP($D1796,설문!$C$2:$G$444,4,FALSE)</f>
        <v>#N/A</v>
      </c>
      <c r="H1796" s="8" t="e">
        <f>VLOOKUP($D1796,설문!$C$2:$G$444,5,FALSE)</f>
        <v>#N/A</v>
      </c>
    </row>
    <row r="1797" spans="1:8">
      <c r="A1797" s="6" t="s">
        <v>212</v>
      </c>
      <c r="B1797" s="7" t="s">
        <v>1716</v>
      </c>
      <c r="C1797" s="7" t="s">
        <v>1717</v>
      </c>
      <c r="D1797" s="7" t="s">
        <v>1718</v>
      </c>
      <c r="E1797" s="6" t="s">
        <v>1719</v>
      </c>
      <c r="F1797" s="8" t="str">
        <f>VLOOKUP($D1797,설문!$C$2:$G$444,3,FALSE)</f>
        <v>세일즈</v>
      </c>
      <c r="G1797" s="8" t="str">
        <f>VLOOKUP($D1797,설문!$C$2:$G$444,4,FALSE)</f>
        <v>금융회사</v>
      </c>
      <c r="H1797" s="8" t="str">
        <f>VLOOKUP($D1797,설문!$C$2:$G$444,5,FALSE)</f>
        <v>ETF/ETN</v>
      </c>
    </row>
    <row r="1798" spans="1:8">
      <c r="A1798" s="6" t="s">
        <v>212</v>
      </c>
      <c r="B1798" s="7" t="s">
        <v>3074</v>
      </c>
      <c r="C1798" s="7" t="s">
        <v>3075</v>
      </c>
      <c r="D1798" s="7" t="s">
        <v>3076</v>
      </c>
      <c r="E1798" s="6" t="s">
        <v>3077</v>
      </c>
      <c r="F1798" s="8" t="e">
        <f>VLOOKUP($D1798,설문!$C$2:$G$444,3,FALSE)</f>
        <v>#N/A</v>
      </c>
      <c r="G1798" s="8" t="e">
        <f>VLOOKUP($D1798,설문!$C$2:$G$444,4,FALSE)</f>
        <v>#N/A</v>
      </c>
      <c r="H1798" s="8" t="e">
        <f>VLOOKUP($D1798,설문!$C$2:$G$444,5,FALSE)</f>
        <v>#N/A</v>
      </c>
    </row>
    <row r="1799" spans="1:8">
      <c r="A1799" s="6" t="s">
        <v>212</v>
      </c>
      <c r="B1799" s="7" t="s">
        <v>2783</v>
      </c>
      <c r="C1799" s="7" t="s">
        <v>69</v>
      </c>
      <c r="D1799" s="7" t="s">
        <v>3078</v>
      </c>
      <c r="E1799" s="6" t="s">
        <v>3079</v>
      </c>
      <c r="F1799" s="8" t="e">
        <f>VLOOKUP($D1799,설문!$C$2:$G$444,3,FALSE)</f>
        <v>#N/A</v>
      </c>
      <c r="G1799" s="8" t="e">
        <f>VLOOKUP($D1799,설문!$C$2:$G$444,4,FALSE)</f>
        <v>#N/A</v>
      </c>
      <c r="H1799" s="8" t="e">
        <f>VLOOKUP($D1799,설문!$C$2:$G$444,5,FALSE)</f>
        <v>#N/A</v>
      </c>
    </row>
    <row r="1800" spans="1:8">
      <c r="A1800" s="6" t="s">
        <v>212</v>
      </c>
      <c r="B1800" s="7" t="s">
        <v>2783</v>
      </c>
      <c r="C1800" s="7" t="s">
        <v>3080</v>
      </c>
      <c r="D1800" s="7" t="s">
        <v>3081</v>
      </c>
      <c r="E1800" s="6" t="s">
        <v>2442</v>
      </c>
      <c r="F1800" s="8" t="e">
        <f>VLOOKUP($D1800,설문!$C$2:$G$444,3,FALSE)</f>
        <v>#N/A</v>
      </c>
      <c r="G1800" s="8" t="e">
        <f>VLOOKUP($D1800,설문!$C$2:$G$444,4,FALSE)</f>
        <v>#N/A</v>
      </c>
      <c r="H1800" s="8" t="e">
        <f>VLOOKUP($D1800,설문!$C$2:$G$444,5,FALSE)</f>
        <v>#N/A</v>
      </c>
    </row>
    <row r="1801" spans="1:8">
      <c r="A1801" s="6" t="s">
        <v>212</v>
      </c>
      <c r="B1801" s="7" t="s">
        <v>2783</v>
      </c>
      <c r="C1801" s="7" t="s">
        <v>69</v>
      </c>
      <c r="D1801" s="7" t="s">
        <v>3082</v>
      </c>
      <c r="E1801" s="6" t="s">
        <v>3083</v>
      </c>
      <c r="F1801" s="8" t="e">
        <f>VLOOKUP($D1801,설문!$C$2:$G$444,3,FALSE)</f>
        <v>#N/A</v>
      </c>
      <c r="G1801" s="8" t="e">
        <f>VLOOKUP($D1801,설문!$C$2:$G$444,4,FALSE)</f>
        <v>#N/A</v>
      </c>
      <c r="H1801" s="8" t="e">
        <f>VLOOKUP($D1801,설문!$C$2:$G$444,5,FALSE)</f>
        <v>#N/A</v>
      </c>
    </row>
    <row r="1802" spans="1:8">
      <c r="A1802" s="6" t="s">
        <v>212</v>
      </c>
      <c r="B1802" s="7" t="s">
        <v>1695</v>
      </c>
      <c r="C1802" s="7" t="s">
        <v>3084</v>
      </c>
      <c r="D1802" s="7" t="s">
        <v>3085</v>
      </c>
      <c r="E1802" s="6" t="s">
        <v>3086</v>
      </c>
      <c r="F1802" s="8" t="str">
        <f>VLOOKUP($D1802,설문!$C$2:$G$444,3,FALSE)</f>
        <v>펀드매니저</v>
      </c>
      <c r="G1802" s="8" t="str">
        <f>VLOOKUP($D1802,설문!$C$2:$G$444,4,FALSE)</f>
        <v>금융회사</v>
      </c>
      <c r="H1802" s="8" t="str">
        <f>VLOOKUP($D1802,설문!$C$2:$G$444,5,FALSE)</f>
        <v>국고채/통안채,회사채</v>
      </c>
    </row>
    <row r="1803" spans="1:8">
      <c r="A1803" s="6" t="s">
        <v>212</v>
      </c>
      <c r="B1803" s="7" t="s">
        <v>1695</v>
      </c>
      <c r="C1803" s="7" t="s">
        <v>1717</v>
      </c>
      <c r="D1803" s="7" t="s">
        <v>3087</v>
      </c>
      <c r="E1803" s="6" t="s">
        <v>1112</v>
      </c>
      <c r="F1803" s="8" t="e">
        <f>VLOOKUP($D1803,설문!$C$2:$G$444,3,FALSE)</f>
        <v>#N/A</v>
      </c>
      <c r="G1803" s="8" t="e">
        <f>VLOOKUP($D1803,설문!$C$2:$G$444,4,FALSE)</f>
        <v>#N/A</v>
      </c>
      <c r="H1803" s="8" t="e">
        <f>VLOOKUP($D1803,설문!$C$2:$G$444,5,FALSE)</f>
        <v>#N/A</v>
      </c>
    </row>
    <row r="1804" spans="1:8">
      <c r="A1804" s="6" t="s">
        <v>212</v>
      </c>
      <c r="B1804" s="7" t="s">
        <v>1695</v>
      </c>
      <c r="C1804" s="7" t="s">
        <v>1696</v>
      </c>
      <c r="D1804" s="7" t="s">
        <v>3088</v>
      </c>
      <c r="E1804" s="6" t="s">
        <v>3089</v>
      </c>
      <c r="F1804" s="8" t="e">
        <f>VLOOKUP($D1804,설문!$C$2:$G$444,3,FALSE)</f>
        <v>#N/A</v>
      </c>
      <c r="G1804" s="8" t="e">
        <f>VLOOKUP($D1804,설문!$C$2:$G$444,4,FALSE)</f>
        <v>#N/A</v>
      </c>
      <c r="H1804" s="8" t="e">
        <f>VLOOKUP($D1804,설문!$C$2:$G$444,5,FALSE)</f>
        <v>#N/A</v>
      </c>
    </row>
    <row r="1805" spans="1:8">
      <c r="A1805" s="6" t="s">
        <v>212</v>
      </c>
      <c r="B1805" s="7" t="s">
        <v>1695</v>
      </c>
      <c r="C1805" s="7" t="s">
        <v>1696</v>
      </c>
      <c r="D1805" s="7" t="s">
        <v>3090</v>
      </c>
      <c r="E1805" s="6" t="s">
        <v>3091</v>
      </c>
      <c r="F1805" s="8" t="e">
        <f>VLOOKUP($D1805,설문!$C$2:$G$444,3,FALSE)</f>
        <v>#N/A</v>
      </c>
      <c r="G1805" s="8" t="e">
        <f>VLOOKUP($D1805,설문!$C$2:$G$444,4,FALSE)</f>
        <v>#N/A</v>
      </c>
      <c r="H1805" s="8" t="e">
        <f>VLOOKUP($D1805,설문!$C$2:$G$444,5,FALSE)</f>
        <v>#N/A</v>
      </c>
    </row>
    <row r="1806" spans="1:8">
      <c r="A1806" s="6" t="s">
        <v>212</v>
      </c>
      <c r="B1806" s="7" t="s">
        <v>1695</v>
      </c>
      <c r="C1806" s="7" t="s">
        <v>3092</v>
      </c>
      <c r="D1806" s="7" t="s">
        <v>3093</v>
      </c>
      <c r="E1806" s="6" t="s">
        <v>2754</v>
      </c>
      <c r="F1806" s="8" t="e">
        <f>VLOOKUP($D1806,설문!$C$2:$G$444,3,FALSE)</f>
        <v>#N/A</v>
      </c>
      <c r="G1806" s="8" t="e">
        <f>VLOOKUP($D1806,설문!$C$2:$G$444,4,FALSE)</f>
        <v>#N/A</v>
      </c>
      <c r="H1806" s="8" t="e">
        <f>VLOOKUP($D1806,설문!$C$2:$G$444,5,FALSE)</f>
        <v>#N/A</v>
      </c>
    </row>
    <row r="1807" spans="1:8">
      <c r="A1807" s="6" t="s">
        <v>212</v>
      </c>
      <c r="B1807" s="7" t="s">
        <v>1695</v>
      </c>
      <c r="C1807" s="7" t="s">
        <v>3080</v>
      </c>
      <c r="D1807" s="7" t="s">
        <v>3094</v>
      </c>
      <c r="E1807" s="6" t="s">
        <v>3095</v>
      </c>
      <c r="F1807" s="8" t="e">
        <f>VLOOKUP($D1807,설문!$C$2:$G$444,3,FALSE)</f>
        <v>#N/A</v>
      </c>
      <c r="G1807" s="8" t="e">
        <f>VLOOKUP($D1807,설문!$C$2:$G$444,4,FALSE)</f>
        <v>#N/A</v>
      </c>
      <c r="H1807" s="8" t="e">
        <f>VLOOKUP($D1807,설문!$C$2:$G$444,5,FALSE)</f>
        <v>#N/A</v>
      </c>
    </row>
    <row r="1808" spans="1:8">
      <c r="A1808" s="6" t="s">
        <v>212</v>
      </c>
      <c r="B1808" s="7" t="s">
        <v>1695</v>
      </c>
      <c r="C1808" s="7" t="s">
        <v>3096</v>
      </c>
      <c r="D1808" s="7" t="s">
        <v>3097</v>
      </c>
      <c r="E1808" s="6" t="s">
        <v>3098</v>
      </c>
      <c r="F1808" s="8" t="e">
        <f>VLOOKUP($D1808,설문!$C$2:$G$444,3,FALSE)</f>
        <v>#N/A</v>
      </c>
      <c r="G1808" s="8" t="e">
        <f>VLOOKUP($D1808,설문!$C$2:$G$444,4,FALSE)</f>
        <v>#N/A</v>
      </c>
      <c r="H1808" s="8" t="e">
        <f>VLOOKUP($D1808,설문!$C$2:$G$444,5,FALSE)</f>
        <v>#N/A</v>
      </c>
    </row>
    <row r="1809" spans="1:8">
      <c r="A1809" s="6" t="s">
        <v>212</v>
      </c>
      <c r="B1809" s="7" t="s">
        <v>3099</v>
      </c>
      <c r="C1809" s="7" t="s">
        <v>347</v>
      </c>
      <c r="D1809" s="7" t="s">
        <v>3100</v>
      </c>
      <c r="E1809" s="6" t="s">
        <v>1526</v>
      </c>
      <c r="F1809" s="8" t="e">
        <f>VLOOKUP($D1809,설문!$C$2:$G$444,3,FALSE)</f>
        <v>#N/A</v>
      </c>
      <c r="G1809" s="8" t="e">
        <f>VLOOKUP($D1809,설문!$C$2:$G$444,4,FALSE)</f>
        <v>#N/A</v>
      </c>
      <c r="H1809" s="8" t="e">
        <f>VLOOKUP($D1809,설문!$C$2:$G$444,5,FALSE)</f>
        <v>#N/A</v>
      </c>
    </row>
    <row r="1810" spans="1:8">
      <c r="A1810" s="6" t="s">
        <v>212</v>
      </c>
      <c r="B1810" s="7" t="s">
        <v>3099</v>
      </c>
      <c r="C1810" s="7" t="s">
        <v>3080</v>
      </c>
      <c r="D1810" s="7" t="s">
        <v>3101</v>
      </c>
      <c r="E1810" s="6" t="s">
        <v>2072</v>
      </c>
      <c r="F1810" s="8" t="e">
        <f>VLOOKUP($D1810,설문!$C$2:$G$444,3,FALSE)</f>
        <v>#N/A</v>
      </c>
      <c r="G1810" s="8" t="e">
        <f>VLOOKUP($D1810,설문!$C$2:$G$444,4,FALSE)</f>
        <v>#N/A</v>
      </c>
      <c r="H1810" s="8" t="e">
        <f>VLOOKUP($D1810,설문!$C$2:$G$444,5,FALSE)</f>
        <v>#N/A</v>
      </c>
    </row>
    <row r="1811" spans="1:8">
      <c r="A1811" s="6" t="s">
        <v>212</v>
      </c>
      <c r="B1811" s="7" t="s">
        <v>3099</v>
      </c>
      <c r="C1811" s="7" t="s">
        <v>347</v>
      </c>
      <c r="D1811" s="7" t="s">
        <v>3102</v>
      </c>
      <c r="E1811" s="6" t="s">
        <v>3103</v>
      </c>
      <c r="F1811" s="8" t="e">
        <f>VLOOKUP($D1811,설문!$C$2:$G$444,3,FALSE)</f>
        <v>#N/A</v>
      </c>
      <c r="G1811" s="8" t="e">
        <f>VLOOKUP($D1811,설문!$C$2:$G$444,4,FALSE)</f>
        <v>#N/A</v>
      </c>
      <c r="H1811" s="8" t="e">
        <f>VLOOKUP($D1811,설문!$C$2:$G$444,5,FALSE)</f>
        <v>#N/A</v>
      </c>
    </row>
    <row r="1812" spans="1:8">
      <c r="A1812" s="6" t="s">
        <v>212</v>
      </c>
      <c r="B1812" s="7" t="s">
        <v>3104</v>
      </c>
      <c r="C1812" s="7" t="s">
        <v>3105</v>
      </c>
      <c r="D1812" s="7" t="s">
        <v>3106</v>
      </c>
      <c r="E1812" s="6" t="s">
        <v>3107</v>
      </c>
      <c r="F1812" s="8" t="e">
        <f>VLOOKUP($D1812,설문!$C$2:$G$444,3,FALSE)</f>
        <v>#N/A</v>
      </c>
      <c r="G1812" s="8" t="e">
        <f>VLOOKUP($D1812,설문!$C$2:$G$444,4,FALSE)</f>
        <v>#N/A</v>
      </c>
      <c r="H1812" s="8" t="e">
        <f>VLOOKUP($D1812,설문!$C$2:$G$444,5,FALSE)</f>
        <v>#N/A</v>
      </c>
    </row>
    <row r="1813" spans="1:8">
      <c r="A1813" s="6" t="s">
        <v>212</v>
      </c>
      <c r="B1813" s="7" t="s">
        <v>3104</v>
      </c>
      <c r="C1813" s="7" t="s">
        <v>496</v>
      </c>
      <c r="D1813" s="7" t="s">
        <v>3108</v>
      </c>
      <c r="E1813" s="6" t="s">
        <v>3109</v>
      </c>
      <c r="F1813" s="8" t="str">
        <f>VLOOKUP($D1813,설문!$C$2:$G$444,3,FALSE)</f>
        <v>펀드매니저</v>
      </c>
      <c r="G1813" s="8" t="str">
        <f>VLOOKUP($D1813,설문!$C$2:$G$444,4,FALSE)</f>
        <v>금융회사</v>
      </c>
      <c r="H1813" s="8" t="str">
        <f>VLOOKUP($D1813,설문!$C$2:$G$444,5,FALSE)</f>
        <v>국내주식/지수</v>
      </c>
    </row>
    <row r="1814" spans="1:8">
      <c r="A1814" s="6" t="s">
        <v>212</v>
      </c>
      <c r="B1814" s="7" t="s">
        <v>3110</v>
      </c>
      <c r="C1814" s="7" t="s">
        <v>3111</v>
      </c>
      <c r="D1814" s="7" t="s">
        <v>3112</v>
      </c>
      <c r="E1814" s="6" t="s">
        <v>3113</v>
      </c>
      <c r="F1814" s="8" t="e">
        <f>VLOOKUP($D1814,설문!$C$2:$G$444,3,FALSE)</f>
        <v>#N/A</v>
      </c>
      <c r="G1814" s="8" t="e">
        <f>VLOOKUP($D1814,설문!$C$2:$G$444,4,FALSE)</f>
        <v>#N/A</v>
      </c>
      <c r="H1814" s="8" t="e">
        <f>VLOOKUP($D1814,설문!$C$2:$G$444,5,FALSE)</f>
        <v>#N/A</v>
      </c>
    </row>
    <row r="1815" spans="1:8">
      <c r="A1815" s="6" t="s">
        <v>212</v>
      </c>
      <c r="B1815" s="7" t="s">
        <v>3110</v>
      </c>
      <c r="C1815" s="7" t="s">
        <v>69</v>
      </c>
      <c r="D1815" s="7" t="s">
        <v>3114</v>
      </c>
      <c r="E1815" s="6" t="s">
        <v>3115</v>
      </c>
      <c r="F1815" s="8" t="e">
        <f>VLOOKUP($D1815,설문!$C$2:$G$444,3,FALSE)</f>
        <v>#N/A</v>
      </c>
      <c r="G1815" s="8" t="e">
        <f>VLOOKUP($D1815,설문!$C$2:$G$444,4,FALSE)</f>
        <v>#N/A</v>
      </c>
      <c r="H1815" s="8" t="e">
        <f>VLOOKUP($D1815,설문!$C$2:$G$444,5,FALSE)</f>
        <v>#N/A</v>
      </c>
    </row>
    <row r="1816" spans="1:8">
      <c r="A1816" s="6" t="s">
        <v>212</v>
      </c>
      <c r="B1816" s="7" t="s">
        <v>3116</v>
      </c>
      <c r="C1816" s="7" t="s">
        <v>3117</v>
      </c>
      <c r="D1816" s="7" t="s">
        <v>3118</v>
      </c>
      <c r="E1816" s="6" t="s">
        <v>2737</v>
      </c>
      <c r="F1816" s="8" t="e">
        <f>VLOOKUP($D1816,설문!$C$2:$G$444,3,FALSE)</f>
        <v>#N/A</v>
      </c>
      <c r="G1816" s="8" t="e">
        <f>VLOOKUP($D1816,설문!$C$2:$G$444,4,FALSE)</f>
        <v>#N/A</v>
      </c>
      <c r="H1816" s="8" t="e">
        <f>VLOOKUP($D1816,설문!$C$2:$G$444,5,FALSE)</f>
        <v>#N/A</v>
      </c>
    </row>
    <row r="1817" spans="1:8">
      <c r="A1817" s="6" t="s">
        <v>212</v>
      </c>
      <c r="B1817" s="7" t="s">
        <v>3110</v>
      </c>
      <c r="C1817" s="7" t="s">
        <v>1873</v>
      </c>
      <c r="D1817" s="7" t="s">
        <v>3119</v>
      </c>
      <c r="E1817" s="6" t="s">
        <v>3120</v>
      </c>
      <c r="F1817" s="8" t="e">
        <f>VLOOKUP($D1817,설문!$C$2:$G$444,3,FALSE)</f>
        <v>#N/A</v>
      </c>
      <c r="G1817" s="8" t="e">
        <f>VLOOKUP($D1817,설문!$C$2:$G$444,4,FALSE)</f>
        <v>#N/A</v>
      </c>
      <c r="H1817" s="8" t="e">
        <f>VLOOKUP($D1817,설문!$C$2:$G$444,5,FALSE)</f>
        <v>#N/A</v>
      </c>
    </row>
    <row r="1818" spans="1:8">
      <c r="A1818" s="6" t="s">
        <v>212</v>
      </c>
      <c r="B1818" s="7" t="s">
        <v>3110</v>
      </c>
      <c r="C1818" s="7" t="s">
        <v>3080</v>
      </c>
      <c r="D1818" s="7" t="s">
        <v>3121</v>
      </c>
      <c r="E1818" s="6" t="s">
        <v>3122</v>
      </c>
      <c r="F1818" s="8" t="e">
        <f>VLOOKUP($D1818,설문!$C$2:$G$444,3,FALSE)</f>
        <v>#N/A</v>
      </c>
      <c r="G1818" s="8" t="e">
        <f>VLOOKUP($D1818,설문!$C$2:$G$444,4,FALSE)</f>
        <v>#N/A</v>
      </c>
      <c r="H1818" s="8" t="e">
        <f>VLOOKUP($D1818,설문!$C$2:$G$444,5,FALSE)</f>
        <v>#N/A</v>
      </c>
    </row>
    <row r="1819" spans="1:8">
      <c r="A1819" s="6" t="s">
        <v>212</v>
      </c>
      <c r="B1819" s="7" t="s">
        <v>3110</v>
      </c>
      <c r="C1819" s="7" t="s">
        <v>69</v>
      </c>
      <c r="D1819" s="7" t="s">
        <v>3123</v>
      </c>
      <c r="E1819" s="6" t="s">
        <v>3124</v>
      </c>
      <c r="F1819" s="8" t="e">
        <f>VLOOKUP($D1819,설문!$C$2:$G$444,3,FALSE)</f>
        <v>#N/A</v>
      </c>
      <c r="G1819" s="8" t="e">
        <f>VLOOKUP($D1819,설문!$C$2:$G$444,4,FALSE)</f>
        <v>#N/A</v>
      </c>
      <c r="H1819" s="8" t="e">
        <f>VLOOKUP($D1819,설문!$C$2:$G$444,5,FALSE)</f>
        <v>#N/A</v>
      </c>
    </row>
    <row r="1820" spans="1:8">
      <c r="A1820" s="6" t="s">
        <v>212</v>
      </c>
      <c r="B1820" s="7" t="s">
        <v>3110</v>
      </c>
      <c r="C1820" s="7" t="s">
        <v>3111</v>
      </c>
      <c r="D1820" s="7" t="s">
        <v>3125</v>
      </c>
      <c r="E1820" s="6" t="s">
        <v>3126</v>
      </c>
      <c r="F1820" s="8" t="str">
        <f>VLOOKUP($D1820,설문!$C$2:$G$444,3,FALSE)</f>
        <v>딜러</v>
      </c>
      <c r="G1820" s="8" t="str">
        <f>VLOOKUP($D1820,설문!$C$2:$G$444,4,FALSE)</f>
        <v>금융회사</v>
      </c>
      <c r="H1820" s="8" t="str">
        <f>VLOOKUP($D1820,설문!$C$2:$G$444,5,FALSE)</f>
        <v>국내주식/지수,국내주식/지수관련파생,해외주식/지수,해외주식/지수관련파생</v>
      </c>
    </row>
    <row r="1821" spans="1:8">
      <c r="A1821" s="6" t="s">
        <v>212</v>
      </c>
      <c r="B1821" s="7" t="s">
        <v>3110</v>
      </c>
      <c r="C1821" s="7" t="s">
        <v>69</v>
      </c>
      <c r="D1821" s="7" t="s">
        <v>3127</v>
      </c>
      <c r="E1821" s="6" t="s">
        <v>273</v>
      </c>
      <c r="F1821" s="8" t="e">
        <f>VLOOKUP($D1821,설문!$C$2:$G$444,3,FALSE)</f>
        <v>#N/A</v>
      </c>
      <c r="G1821" s="8" t="e">
        <f>VLOOKUP($D1821,설문!$C$2:$G$444,4,FALSE)</f>
        <v>#N/A</v>
      </c>
      <c r="H1821" s="8" t="e">
        <f>VLOOKUP($D1821,설문!$C$2:$G$444,5,FALSE)</f>
        <v>#N/A</v>
      </c>
    </row>
    <row r="1822" spans="1:8">
      <c r="A1822" s="6" t="s">
        <v>612</v>
      </c>
      <c r="B1822" s="7" t="s">
        <v>613</v>
      </c>
      <c r="C1822" s="7" t="s">
        <v>9</v>
      </c>
      <c r="D1822" s="7" t="s">
        <v>614</v>
      </c>
      <c r="E1822" s="6" t="s">
        <v>615</v>
      </c>
      <c r="F1822" s="8" t="e">
        <f>VLOOKUP($D1822,설문!$C$2:$G$444,3,FALSE)</f>
        <v>#N/A</v>
      </c>
      <c r="G1822" s="8" t="e">
        <f>VLOOKUP($D1822,설문!$C$2:$G$444,4,FALSE)</f>
        <v>#N/A</v>
      </c>
      <c r="H1822" s="8" t="e">
        <f>VLOOKUP($D1822,설문!$C$2:$G$444,5,FALSE)</f>
        <v>#N/A</v>
      </c>
    </row>
    <row r="1823" spans="1:8">
      <c r="A1823" s="6" t="s">
        <v>612</v>
      </c>
      <c r="B1823" s="7" t="s">
        <v>650</v>
      </c>
      <c r="C1823" s="7" t="s">
        <v>650</v>
      </c>
      <c r="D1823" s="7" t="s">
        <v>651</v>
      </c>
      <c r="E1823" s="6" t="s">
        <v>652</v>
      </c>
      <c r="F1823" s="8" t="e">
        <f>VLOOKUP($D1823,설문!$C$2:$G$444,3,FALSE)</f>
        <v>#N/A</v>
      </c>
      <c r="G1823" s="8" t="e">
        <f>VLOOKUP($D1823,설문!$C$2:$G$444,4,FALSE)</f>
        <v>#N/A</v>
      </c>
      <c r="H1823" s="8" t="e">
        <f>VLOOKUP($D1823,설문!$C$2:$G$444,5,FALSE)</f>
        <v>#N/A</v>
      </c>
    </row>
    <row r="1824" spans="1:8">
      <c r="A1824" s="6" t="s">
        <v>612</v>
      </c>
      <c r="B1824" s="7" t="s">
        <v>783</v>
      </c>
      <c r="C1824" s="7" t="s">
        <v>783</v>
      </c>
      <c r="D1824" s="7" t="s">
        <v>784</v>
      </c>
      <c r="E1824" s="6" t="s">
        <v>785</v>
      </c>
      <c r="F1824" s="8" t="e">
        <f>VLOOKUP($D1824,설문!$C$2:$G$444,3,FALSE)</f>
        <v>#N/A</v>
      </c>
      <c r="G1824" s="8" t="e">
        <f>VLOOKUP($D1824,설문!$C$2:$G$444,4,FALSE)</f>
        <v>#N/A</v>
      </c>
      <c r="H1824" s="8" t="e">
        <f>VLOOKUP($D1824,설문!$C$2:$G$444,5,FALSE)</f>
        <v>#N/A</v>
      </c>
    </row>
    <row r="1825" spans="1:8">
      <c r="A1825" s="6" t="s">
        <v>612</v>
      </c>
      <c r="B1825" s="7" t="s">
        <v>9</v>
      </c>
      <c r="C1825" s="7" t="s">
        <v>1235</v>
      </c>
      <c r="D1825" s="7" t="s">
        <v>1236</v>
      </c>
      <c r="E1825" s="6" t="s">
        <v>1237</v>
      </c>
      <c r="F1825" s="8" t="e">
        <f>VLOOKUP($D1825,설문!$C$2:$G$444,3,FALSE)</f>
        <v>#N/A</v>
      </c>
      <c r="G1825" s="8" t="e">
        <f>VLOOKUP($D1825,설문!$C$2:$G$444,4,FALSE)</f>
        <v>#N/A</v>
      </c>
      <c r="H1825" s="8" t="e">
        <f>VLOOKUP($D1825,설문!$C$2:$G$444,5,FALSE)</f>
        <v>#N/A</v>
      </c>
    </row>
    <row r="1826" spans="1:8">
      <c r="A1826" s="6" t="s">
        <v>612</v>
      </c>
      <c r="B1826" s="7" t="s">
        <v>1235</v>
      </c>
      <c r="C1826" s="7" t="s">
        <v>1235</v>
      </c>
      <c r="D1826" s="7" t="s">
        <v>1407</v>
      </c>
      <c r="E1826" s="6" t="s">
        <v>1408</v>
      </c>
      <c r="F1826" s="8" t="e">
        <f>VLOOKUP($D1826,설문!$C$2:$G$444,3,FALSE)</f>
        <v>#N/A</v>
      </c>
      <c r="G1826" s="8" t="e">
        <f>VLOOKUP($D1826,설문!$C$2:$G$444,4,FALSE)</f>
        <v>#N/A</v>
      </c>
      <c r="H1826" s="8" t="e">
        <f>VLOOKUP($D1826,설문!$C$2:$G$444,5,FALSE)</f>
        <v>#N/A</v>
      </c>
    </row>
    <row r="1827" spans="1:8">
      <c r="A1827" s="6" t="s">
        <v>612</v>
      </c>
      <c r="B1827" s="7" t="s">
        <v>1671</v>
      </c>
      <c r="C1827" s="7" t="s">
        <v>1671</v>
      </c>
      <c r="D1827" s="7" t="s">
        <v>1672</v>
      </c>
      <c r="E1827" s="6" t="s">
        <v>1673</v>
      </c>
      <c r="F1827" s="8" t="e">
        <f>VLOOKUP($D1827,설문!$C$2:$G$444,3,FALSE)</f>
        <v>#N/A</v>
      </c>
      <c r="G1827" s="8" t="e">
        <f>VLOOKUP($D1827,설문!$C$2:$G$444,4,FALSE)</f>
        <v>#N/A</v>
      </c>
      <c r="H1827" s="8" t="e">
        <f>VLOOKUP($D1827,설문!$C$2:$G$444,5,FALSE)</f>
        <v>#N/A</v>
      </c>
    </row>
    <row r="1828" spans="1:8">
      <c r="A1828" s="6" t="s">
        <v>612</v>
      </c>
      <c r="B1828" s="7" t="s">
        <v>6336</v>
      </c>
      <c r="C1828" s="7" t="s">
        <v>6337</v>
      </c>
      <c r="D1828" s="7" t="s">
        <v>6338</v>
      </c>
      <c r="E1828" s="6" t="s">
        <v>6339</v>
      </c>
      <c r="F1828" s="8" t="e">
        <f>VLOOKUP($D1828,설문!$C$2:$G$444,3,FALSE)</f>
        <v>#N/A</v>
      </c>
      <c r="G1828" s="8" t="e">
        <f>VLOOKUP($D1828,설문!$C$2:$G$444,4,FALSE)</f>
        <v>#N/A</v>
      </c>
      <c r="H1828" s="8" t="e">
        <f>VLOOKUP($D1828,설문!$C$2:$G$444,5,FALSE)</f>
        <v>#N/A</v>
      </c>
    </row>
    <row r="1829" spans="1:8">
      <c r="A1829" s="6" t="s">
        <v>612</v>
      </c>
      <c r="B1829" s="7" t="s">
        <v>6340</v>
      </c>
      <c r="C1829" s="7" t="s">
        <v>6340</v>
      </c>
      <c r="D1829" s="7" t="s">
        <v>6341</v>
      </c>
      <c r="E1829" s="6" t="s">
        <v>6342</v>
      </c>
      <c r="F1829" s="8" t="e">
        <f>VLOOKUP($D1829,설문!$C$2:$G$444,3,FALSE)</f>
        <v>#N/A</v>
      </c>
      <c r="G1829" s="8" t="e">
        <f>VLOOKUP($D1829,설문!$C$2:$G$444,4,FALSE)</f>
        <v>#N/A</v>
      </c>
      <c r="H1829" s="8" t="e">
        <f>VLOOKUP($D1829,설문!$C$2:$G$444,5,FALSE)</f>
        <v>#N/A</v>
      </c>
    </row>
    <row r="1830" spans="1:8">
      <c r="A1830" s="6" t="s">
        <v>612</v>
      </c>
      <c r="B1830" s="7" t="s">
        <v>6343</v>
      </c>
      <c r="C1830" s="7" t="s">
        <v>6343</v>
      </c>
      <c r="D1830" s="7" t="s">
        <v>6344</v>
      </c>
      <c r="E1830" s="6" t="s">
        <v>5376</v>
      </c>
      <c r="F1830" s="8" t="e">
        <f>VLOOKUP($D1830,설문!$C$2:$G$444,3,FALSE)</f>
        <v>#N/A</v>
      </c>
      <c r="G1830" s="8" t="e">
        <f>VLOOKUP($D1830,설문!$C$2:$G$444,4,FALSE)</f>
        <v>#N/A</v>
      </c>
      <c r="H1830" s="8" t="e">
        <f>VLOOKUP($D1830,설문!$C$2:$G$444,5,FALSE)</f>
        <v>#N/A</v>
      </c>
    </row>
    <row r="1831" spans="1:8">
      <c r="A1831" s="6" t="s">
        <v>612</v>
      </c>
      <c r="B1831" s="7" t="s">
        <v>6345</v>
      </c>
      <c r="C1831" s="7" t="s">
        <v>6345</v>
      </c>
      <c r="D1831" s="7" t="s">
        <v>6346</v>
      </c>
      <c r="E1831" s="6" t="s">
        <v>6347</v>
      </c>
      <c r="F1831" s="8" t="e">
        <f>VLOOKUP($D1831,설문!$C$2:$G$444,3,FALSE)</f>
        <v>#N/A</v>
      </c>
      <c r="G1831" s="8" t="e">
        <f>VLOOKUP($D1831,설문!$C$2:$G$444,4,FALSE)</f>
        <v>#N/A</v>
      </c>
      <c r="H1831" s="8" t="e">
        <f>VLOOKUP($D1831,설문!$C$2:$G$444,5,FALSE)</f>
        <v>#N/A</v>
      </c>
    </row>
    <row r="1832" spans="1:8">
      <c r="A1832" s="6" t="s">
        <v>612</v>
      </c>
      <c r="B1832" s="7" t="s">
        <v>1235</v>
      </c>
      <c r="C1832" s="7" t="s">
        <v>1235</v>
      </c>
      <c r="D1832" s="7" t="s">
        <v>6348</v>
      </c>
      <c r="E1832" s="6" t="s">
        <v>6349</v>
      </c>
      <c r="F1832" s="8" t="e">
        <f>VLOOKUP($D1832,설문!$C$2:$G$444,3,FALSE)</f>
        <v>#N/A</v>
      </c>
      <c r="G1832" s="8" t="e">
        <f>VLOOKUP($D1832,설문!$C$2:$G$444,4,FALSE)</f>
        <v>#N/A</v>
      </c>
      <c r="H1832" s="8" t="e">
        <f>VLOOKUP($D1832,설문!$C$2:$G$444,5,FALSE)</f>
        <v>#N/A</v>
      </c>
    </row>
    <row r="1833" spans="1:8">
      <c r="A1833" s="6" t="s">
        <v>612</v>
      </c>
      <c r="B1833" s="7" t="s">
        <v>6350</v>
      </c>
      <c r="C1833" s="7" t="s">
        <v>6350</v>
      </c>
      <c r="D1833" s="7" t="s">
        <v>6351</v>
      </c>
      <c r="E1833" s="6" t="s">
        <v>2073</v>
      </c>
      <c r="F1833" s="8" t="e">
        <f>VLOOKUP($D1833,설문!$C$2:$G$444,3,FALSE)</f>
        <v>#N/A</v>
      </c>
      <c r="G1833" s="8" t="e">
        <f>VLOOKUP($D1833,설문!$C$2:$G$444,4,FALSE)</f>
        <v>#N/A</v>
      </c>
      <c r="H1833" s="8" t="e">
        <f>VLOOKUP($D1833,설문!$C$2:$G$444,5,FALSE)</f>
        <v>#N/A</v>
      </c>
    </row>
    <row r="1834" spans="1:8">
      <c r="A1834" s="6" t="s">
        <v>612</v>
      </c>
      <c r="B1834" s="7" t="s">
        <v>6352</v>
      </c>
      <c r="C1834" s="7" t="s">
        <v>6352</v>
      </c>
      <c r="D1834" s="7" t="s">
        <v>6353</v>
      </c>
      <c r="E1834" s="6" t="s">
        <v>6354</v>
      </c>
      <c r="F1834" s="8" t="e">
        <f>VLOOKUP($D1834,설문!$C$2:$G$444,3,FALSE)</f>
        <v>#N/A</v>
      </c>
      <c r="G1834" s="8" t="e">
        <f>VLOOKUP($D1834,설문!$C$2:$G$444,4,FALSE)</f>
        <v>#N/A</v>
      </c>
      <c r="H1834" s="8" t="e">
        <f>VLOOKUP($D1834,설문!$C$2:$G$444,5,FALSE)</f>
        <v>#N/A</v>
      </c>
    </row>
    <row r="1835" spans="1:8">
      <c r="A1835" s="6" t="s">
        <v>612</v>
      </c>
      <c r="B1835" s="7" t="s">
        <v>112</v>
      </c>
      <c r="C1835" s="7" t="s">
        <v>112</v>
      </c>
      <c r="D1835" s="7" t="s">
        <v>6355</v>
      </c>
      <c r="E1835" s="6" t="s">
        <v>6356</v>
      </c>
      <c r="F1835" s="8" t="str">
        <f>VLOOKUP($D1835,설문!$C$2:$G$444,3,FALSE)</f>
        <v>브로커</v>
      </c>
      <c r="G1835" s="8" t="str">
        <f>VLOOKUP($D1835,설문!$C$2:$G$444,4,FALSE)</f>
        <v>금융회사</v>
      </c>
      <c r="H1835" s="8" t="str">
        <f>VLOOKUP($D1835,설문!$C$2:$G$444,5,FALSE)</f>
        <v>국고채/통안채,회사채,원화 구조화채권</v>
      </c>
    </row>
    <row r="1836" spans="1:8">
      <c r="A1836" s="6" t="s">
        <v>612</v>
      </c>
      <c r="B1836" s="7" t="s">
        <v>112</v>
      </c>
      <c r="C1836" s="7" t="s">
        <v>112</v>
      </c>
      <c r="D1836" s="7" t="s">
        <v>6357</v>
      </c>
      <c r="E1836" s="6" t="s">
        <v>6358</v>
      </c>
      <c r="F1836" s="8" t="e">
        <f>VLOOKUP($D1836,설문!$C$2:$G$444,3,FALSE)</f>
        <v>#N/A</v>
      </c>
      <c r="G1836" s="8" t="e">
        <f>VLOOKUP($D1836,설문!$C$2:$G$444,4,FALSE)</f>
        <v>#N/A</v>
      </c>
      <c r="H1836" s="8" t="e">
        <f>VLOOKUP($D1836,설문!$C$2:$G$444,5,FALSE)</f>
        <v>#N/A</v>
      </c>
    </row>
    <row r="1837" spans="1:8">
      <c r="A1837" s="6" t="s">
        <v>612</v>
      </c>
      <c r="B1837" s="7" t="s">
        <v>112</v>
      </c>
      <c r="C1837" s="7" t="s">
        <v>112</v>
      </c>
      <c r="D1837" s="7" t="s">
        <v>6359</v>
      </c>
      <c r="E1837" s="6" t="s">
        <v>6360</v>
      </c>
      <c r="F1837" s="8" t="e">
        <f>VLOOKUP($D1837,설문!$C$2:$G$444,3,FALSE)</f>
        <v>#N/A</v>
      </c>
      <c r="G1837" s="8" t="e">
        <f>VLOOKUP($D1837,설문!$C$2:$G$444,4,FALSE)</f>
        <v>#N/A</v>
      </c>
      <c r="H1837" s="8" t="e">
        <f>VLOOKUP($D1837,설문!$C$2:$G$444,5,FALSE)</f>
        <v>#N/A</v>
      </c>
    </row>
    <row r="1838" spans="1:8">
      <c r="A1838" s="6" t="s">
        <v>612</v>
      </c>
      <c r="B1838" s="7" t="s">
        <v>650</v>
      </c>
      <c r="C1838" s="7" t="s">
        <v>650</v>
      </c>
      <c r="D1838" s="7" t="s">
        <v>6361</v>
      </c>
      <c r="E1838" s="6" t="s">
        <v>1626</v>
      </c>
      <c r="F1838" s="8" t="e">
        <f>VLOOKUP($D1838,설문!$C$2:$G$444,3,FALSE)</f>
        <v>#N/A</v>
      </c>
      <c r="G1838" s="8" t="e">
        <f>VLOOKUP($D1838,설문!$C$2:$G$444,4,FALSE)</f>
        <v>#N/A</v>
      </c>
      <c r="H1838" s="8" t="e">
        <f>VLOOKUP($D1838,설문!$C$2:$G$444,5,FALSE)</f>
        <v>#N/A</v>
      </c>
    </row>
    <row r="1839" spans="1:8">
      <c r="A1839" s="6" t="s">
        <v>612</v>
      </c>
      <c r="B1839" s="7" t="s">
        <v>635</v>
      </c>
      <c r="C1839" s="7" t="s">
        <v>635</v>
      </c>
      <c r="D1839" s="7" t="s">
        <v>6362</v>
      </c>
      <c r="E1839" s="6" t="s">
        <v>6363</v>
      </c>
      <c r="F1839" s="8" t="e">
        <f>VLOOKUP($D1839,설문!$C$2:$G$444,3,FALSE)</f>
        <v>#N/A</v>
      </c>
      <c r="G1839" s="8" t="e">
        <f>VLOOKUP($D1839,설문!$C$2:$G$444,4,FALSE)</f>
        <v>#N/A</v>
      </c>
      <c r="H1839" s="8" t="e">
        <f>VLOOKUP($D1839,설문!$C$2:$G$444,5,FALSE)</f>
        <v>#N/A</v>
      </c>
    </row>
    <row r="1840" spans="1:8">
      <c r="A1840" s="6" t="s">
        <v>612</v>
      </c>
      <c r="B1840" s="7" t="s">
        <v>635</v>
      </c>
      <c r="C1840" s="7" t="s">
        <v>2397</v>
      </c>
      <c r="D1840" s="7" t="s">
        <v>6364</v>
      </c>
      <c r="E1840" s="6" t="s">
        <v>6365</v>
      </c>
      <c r="F1840" s="8" t="e">
        <f>VLOOKUP($D1840,설문!$C$2:$G$444,3,FALSE)</f>
        <v>#N/A</v>
      </c>
      <c r="G1840" s="8" t="e">
        <f>VLOOKUP($D1840,설문!$C$2:$G$444,4,FALSE)</f>
        <v>#N/A</v>
      </c>
      <c r="H1840" s="8" t="e">
        <f>VLOOKUP($D1840,설문!$C$2:$G$444,5,FALSE)</f>
        <v>#N/A</v>
      </c>
    </row>
    <row r="1841" spans="1:8">
      <c r="A1841" s="6" t="s">
        <v>612</v>
      </c>
      <c r="B1841" s="7" t="s">
        <v>635</v>
      </c>
      <c r="C1841" s="7" t="s">
        <v>635</v>
      </c>
      <c r="D1841" s="7" t="s">
        <v>6366</v>
      </c>
      <c r="E1841" s="6" t="s">
        <v>6367</v>
      </c>
      <c r="F1841" s="8" t="str">
        <f>VLOOKUP($D1841,설문!$C$2:$G$444,3,FALSE)</f>
        <v>세일즈,리스크관리(미들)</v>
      </c>
      <c r="G1841" s="8" t="str">
        <f>VLOOKUP($D1841,설문!$C$2:$G$444,4,FALSE)</f>
        <v>금융 유관기관,일반기업고객,개인고객</v>
      </c>
      <c r="H1841" s="8" t="str">
        <f>VLOOKUP($D1841,설문!$C$2:$G$444,5,FALSE)</f>
        <v>국고채/통안채,회사채,소액채권,원화 구조화채권,외화 구조화채권</v>
      </c>
    </row>
    <row r="1842" spans="1:8">
      <c r="A1842" s="6" t="s">
        <v>612</v>
      </c>
      <c r="B1842" s="7" t="s">
        <v>635</v>
      </c>
      <c r="C1842" s="7" t="s">
        <v>635</v>
      </c>
      <c r="D1842" s="7" t="s">
        <v>6368</v>
      </c>
      <c r="E1842" s="6" t="s">
        <v>6369</v>
      </c>
      <c r="F1842" s="8" t="e">
        <f>VLOOKUP($D1842,설문!$C$2:$G$444,3,FALSE)</f>
        <v>#N/A</v>
      </c>
      <c r="G1842" s="8" t="e">
        <f>VLOOKUP($D1842,설문!$C$2:$G$444,4,FALSE)</f>
        <v>#N/A</v>
      </c>
      <c r="H1842" s="8" t="e">
        <f>VLOOKUP($D1842,설문!$C$2:$G$444,5,FALSE)</f>
        <v>#N/A</v>
      </c>
    </row>
    <row r="1843" spans="1:8">
      <c r="A1843" s="6" t="s">
        <v>612</v>
      </c>
      <c r="B1843" s="7" t="s">
        <v>635</v>
      </c>
      <c r="C1843" s="7" t="s">
        <v>635</v>
      </c>
      <c r="D1843" s="7" t="s">
        <v>6370</v>
      </c>
      <c r="E1843" s="6" t="s">
        <v>6339</v>
      </c>
      <c r="F1843" s="8" t="e">
        <f>VLOOKUP($D1843,설문!$C$2:$G$444,3,FALSE)</f>
        <v>#N/A</v>
      </c>
      <c r="G1843" s="8" t="e">
        <f>VLOOKUP($D1843,설문!$C$2:$G$444,4,FALSE)</f>
        <v>#N/A</v>
      </c>
      <c r="H1843" s="8" t="e">
        <f>VLOOKUP($D1843,설문!$C$2:$G$444,5,FALSE)</f>
        <v>#N/A</v>
      </c>
    </row>
    <row r="1844" spans="1:8">
      <c r="A1844" s="6" t="s">
        <v>612</v>
      </c>
      <c r="B1844" s="7" t="s">
        <v>635</v>
      </c>
      <c r="C1844" s="7" t="s">
        <v>635</v>
      </c>
      <c r="D1844" s="7" t="s">
        <v>6371</v>
      </c>
      <c r="E1844" s="6" t="s">
        <v>6372</v>
      </c>
      <c r="F1844" s="8" t="str">
        <f>VLOOKUP($D1844,설문!$C$2:$G$444,3,FALSE)</f>
        <v>브로커</v>
      </c>
      <c r="G1844" s="8" t="str">
        <f>VLOOKUP($D1844,설문!$C$2:$G$444,4,FALSE)</f>
        <v>금융회사,일반기업고객</v>
      </c>
      <c r="H1844" s="8" t="str">
        <f>VLOOKUP($D1844,설문!$C$2:$G$444,5,FALSE)</f>
        <v>회사채,원화 구조화채권</v>
      </c>
    </row>
    <row r="1845" spans="1:8">
      <c r="A1845" s="6" t="s">
        <v>612</v>
      </c>
      <c r="B1845" s="7" t="s">
        <v>635</v>
      </c>
      <c r="C1845" s="7" t="s">
        <v>635</v>
      </c>
      <c r="D1845" s="7" t="s">
        <v>6373</v>
      </c>
      <c r="E1845" s="6" t="s">
        <v>5583</v>
      </c>
      <c r="F1845" s="8" t="e">
        <f>VLOOKUP($D1845,설문!$C$2:$G$444,3,FALSE)</f>
        <v>#N/A</v>
      </c>
      <c r="G1845" s="8" t="e">
        <f>VLOOKUP($D1845,설문!$C$2:$G$444,4,FALSE)</f>
        <v>#N/A</v>
      </c>
      <c r="H1845" s="8" t="e">
        <f>VLOOKUP($D1845,설문!$C$2:$G$444,5,FALSE)</f>
        <v>#N/A</v>
      </c>
    </row>
    <row r="1846" spans="1:8">
      <c r="A1846" s="6" t="s">
        <v>612</v>
      </c>
      <c r="B1846" s="7" t="s">
        <v>6374</v>
      </c>
      <c r="C1846" s="7" t="s">
        <v>6374</v>
      </c>
      <c r="D1846" s="7" t="s">
        <v>6375</v>
      </c>
      <c r="E1846" s="6" t="s">
        <v>6376</v>
      </c>
      <c r="F1846" s="8" t="e">
        <f>VLOOKUP($D1846,설문!$C$2:$G$444,3,FALSE)</f>
        <v>#N/A</v>
      </c>
      <c r="G1846" s="8" t="e">
        <f>VLOOKUP($D1846,설문!$C$2:$G$444,4,FALSE)</f>
        <v>#N/A</v>
      </c>
      <c r="H1846" s="8" t="e">
        <f>VLOOKUP($D1846,설문!$C$2:$G$444,5,FALSE)</f>
        <v>#N/A</v>
      </c>
    </row>
    <row r="1847" spans="1:8">
      <c r="A1847" s="6" t="s">
        <v>612</v>
      </c>
      <c r="B1847" s="7" t="s">
        <v>6374</v>
      </c>
      <c r="C1847" s="7" t="s">
        <v>6374</v>
      </c>
      <c r="D1847" s="7" t="s">
        <v>6377</v>
      </c>
      <c r="E1847" s="6" t="s">
        <v>6378</v>
      </c>
      <c r="F1847" s="8" t="e">
        <f>VLOOKUP($D1847,설문!$C$2:$G$444,3,FALSE)</f>
        <v>#N/A</v>
      </c>
      <c r="G1847" s="8" t="e">
        <f>VLOOKUP($D1847,설문!$C$2:$G$444,4,FALSE)</f>
        <v>#N/A</v>
      </c>
      <c r="H1847" s="8" t="e">
        <f>VLOOKUP($D1847,설문!$C$2:$G$444,5,FALSE)</f>
        <v>#N/A</v>
      </c>
    </row>
    <row r="1848" spans="1:8">
      <c r="A1848" s="6" t="s">
        <v>612</v>
      </c>
      <c r="B1848" s="7" t="s">
        <v>6374</v>
      </c>
      <c r="C1848" s="7" t="s">
        <v>6374</v>
      </c>
      <c r="D1848" s="7" t="s">
        <v>6379</v>
      </c>
      <c r="E1848" s="6" t="s">
        <v>6380</v>
      </c>
      <c r="F1848" s="8" t="e">
        <f>VLOOKUP($D1848,설문!$C$2:$G$444,3,FALSE)</f>
        <v>#N/A</v>
      </c>
      <c r="G1848" s="8" t="e">
        <f>VLOOKUP($D1848,설문!$C$2:$G$444,4,FALSE)</f>
        <v>#N/A</v>
      </c>
      <c r="H1848" s="8" t="e">
        <f>VLOOKUP($D1848,설문!$C$2:$G$444,5,FALSE)</f>
        <v>#N/A</v>
      </c>
    </row>
    <row r="1849" spans="1:8">
      <c r="A1849" s="6" t="s">
        <v>612</v>
      </c>
      <c r="B1849" s="7" t="s">
        <v>6374</v>
      </c>
      <c r="C1849" s="7" t="s">
        <v>6374</v>
      </c>
      <c r="D1849" s="7" t="s">
        <v>6381</v>
      </c>
      <c r="E1849" s="6" t="s">
        <v>6382</v>
      </c>
      <c r="F1849" s="8" t="e">
        <f>VLOOKUP($D1849,설문!$C$2:$G$444,3,FALSE)</f>
        <v>#N/A</v>
      </c>
      <c r="G1849" s="8" t="e">
        <f>VLOOKUP($D1849,설문!$C$2:$G$444,4,FALSE)</f>
        <v>#N/A</v>
      </c>
      <c r="H1849" s="8" t="e">
        <f>VLOOKUP($D1849,설문!$C$2:$G$444,5,FALSE)</f>
        <v>#N/A</v>
      </c>
    </row>
    <row r="1850" spans="1:8">
      <c r="A1850" s="6" t="s">
        <v>612</v>
      </c>
      <c r="B1850" s="7" t="s">
        <v>6374</v>
      </c>
      <c r="C1850" s="7" t="s">
        <v>6374</v>
      </c>
      <c r="D1850" s="7" t="s">
        <v>6383</v>
      </c>
      <c r="E1850" s="6" t="s">
        <v>6384</v>
      </c>
      <c r="F1850" s="8" t="e">
        <f>VLOOKUP($D1850,설문!$C$2:$G$444,3,FALSE)</f>
        <v>#N/A</v>
      </c>
      <c r="G1850" s="8" t="e">
        <f>VLOOKUP($D1850,설문!$C$2:$G$444,4,FALSE)</f>
        <v>#N/A</v>
      </c>
      <c r="H1850" s="8" t="e">
        <f>VLOOKUP($D1850,설문!$C$2:$G$444,5,FALSE)</f>
        <v>#N/A</v>
      </c>
    </row>
    <row r="1851" spans="1:8">
      <c r="A1851" s="6" t="s">
        <v>612</v>
      </c>
      <c r="B1851" s="7" t="s">
        <v>6374</v>
      </c>
      <c r="C1851" s="7" t="s">
        <v>6374</v>
      </c>
      <c r="D1851" s="7" t="s">
        <v>6385</v>
      </c>
      <c r="E1851" s="6" t="s">
        <v>338</v>
      </c>
      <c r="F1851" s="8" t="e">
        <f>VLOOKUP($D1851,설문!$C$2:$G$444,3,FALSE)</f>
        <v>#N/A</v>
      </c>
      <c r="G1851" s="8" t="e">
        <f>VLOOKUP($D1851,설문!$C$2:$G$444,4,FALSE)</f>
        <v>#N/A</v>
      </c>
      <c r="H1851" s="8" t="e">
        <f>VLOOKUP($D1851,설문!$C$2:$G$444,5,FALSE)</f>
        <v>#N/A</v>
      </c>
    </row>
    <row r="1852" spans="1:8">
      <c r="A1852" s="6" t="s">
        <v>612</v>
      </c>
      <c r="B1852" s="7" t="s">
        <v>6374</v>
      </c>
      <c r="C1852" s="7" t="s">
        <v>6374</v>
      </c>
      <c r="D1852" s="7" t="s">
        <v>6386</v>
      </c>
      <c r="E1852" s="6" t="s">
        <v>6387</v>
      </c>
      <c r="F1852" s="8" t="e">
        <f>VLOOKUP($D1852,설문!$C$2:$G$444,3,FALSE)</f>
        <v>#N/A</v>
      </c>
      <c r="G1852" s="8" t="e">
        <f>VLOOKUP($D1852,설문!$C$2:$G$444,4,FALSE)</f>
        <v>#N/A</v>
      </c>
      <c r="H1852" s="8" t="e">
        <f>VLOOKUP($D1852,설문!$C$2:$G$444,5,FALSE)</f>
        <v>#N/A</v>
      </c>
    </row>
    <row r="1853" spans="1:8">
      <c r="A1853" s="6" t="s">
        <v>612</v>
      </c>
      <c r="B1853" s="7" t="s">
        <v>606</v>
      </c>
      <c r="C1853" s="7" t="s">
        <v>606</v>
      </c>
      <c r="D1853" s="7" t="s">
        <v>6388</v>
      </c>
      <c r="E1853" s="6" t="s">
        <v>2328</v>
      </c>
      <c r="F1853" s="8" t="e">
        <f>VLOOKUP($D1853,설문!$C$2:$G$444,3,FALSE)</f>
        <v>#N/A</v>
      </c>
      <c r="G1853" s="8" t="e">
        <f>VLOOKUP($D1853,설문!$C$2:$G$444,4,FALSE)</f>
        <v>#N/A</v>
      </c>
      <c r="H1853" s="8" t="e">
        <f>VLOOKUP($D1853,설문!$C$2:$G$444,5,FALSE)</f>
        <v>#N/A</v>
      </c>
    </row>
    <row r="1854" spans="1:8">
      <c r="A1854" s="6" t="s">
        <v>612</v>
      </c>
      <c r="B1854" s="7" t="s">
        <v>6389</v>
      </c>
      <c r="C1854" s="7" t="s">
        <v>628</v>
      </c>
      <c r="D1854" s="7" t="s">
        <v>6390</v>
      </c>
      <c r="E1854" s="6" t="s">
        <v>6391</v>
      </c>
      <c r="F1854" s="8" t="str">
        <f>VLOOKUP($D1854,설문!$C$2:$G$444,3,FALSE)</f>
        <v>브로커</v>
      </c>
      <c r="G1854" s="8" t="str">
        <f>VLOOKUP($D1854,설문!$C$2:$G$444,4,FALSE)</f>
        <v>금융회사</v>
      </c>
      <c r="H1854" s="8" t="str">
        <f>VLOOKUP($D1854,설문!$C$2:$G$444,5,FALSE)</f>
        <v>국내주식/지수,국고채/통안채,회사채,소액채권,국내주식/지수관련파생,해외주식/지수,ETF/ETN,ELW</v>
      </c>
    </row>
    <row r="1855" spans="1:8">
      <c r="A1855" s="6" t="s">
        <v>612</v>
      </c>
      <c r="B1855" s="7" t="s">
        <v>6389</v>
      </c>
      <c r="C1855" s="7" t="s">
        <v>6392</v>
      </c>
      <c r="D1855" s="7" t="s">
        <v>6393</v>
      </c>
      <c r="E1855" s="6" t="s">
        <v>6394</v>
      </c>
      <c r="F1855" s="8" t="e">
        <f>VLOOKUP($D1855,설문!$C$2:$G$444,3,FALSE)</f>
        <v>#N/A</v>
      </c>
      <c r="G1855" s="8" t="e">
        <f>VLOOKUP($D1855,설문!$C$2:$G$444,4,FALSE)</f>
        <v>#N/A</v>
      </c>
      <c r="H1855" s="8" t="e">
        <f>VLOOKUP($D1855,설문!$C$2:$G$444,5,FALSE)</f>
        <v>#N/A</v>
      </c>
    </row>
    <row r="1856" spans="1:8">
      <c r="A1856" s="6" t="s">
        <v>612</v>
      </c>
      <c r="B1856" s="7" t="s">
        <v>1671</v>
      </c>
      <c r="C1856" s="7" t="s">
        <v>1671</v>
      </c>
      <c r="D1856" s="7" t="s">
        <v>6395</v>
      </c>
      <c r="E1856" s="6" t="s">
        <v>6396</v>
      </c>
      <c r="F1856" s="8" t="e">
        <f>VLOOKUP($D1856,설문!$C$2:$G$444,3,FALSE)</f>
        <v>#N/A</v>
      </c>
      <c r="G1856" s="8" t="e">
        <f>VLOOKUP($D1856,설문!$C$2:$G$444,4,FALSE)</f>
        <v>#N/A</v>
      </c>
      <c r="H1856" s="8" t="e">
        <f>VLOOKUP($D1856,설문!$C$2:$G$444,5,FALSE)</f>
        <v>#N/A</v>
      </c>
    </row>
    <row r="1857" spans="1:8">
      <c r="A1857" s="6" t="s">
        <v>612</v>
      </c>
      <c r="B1857" s="7" t="s">
        <v>613</v>
      </c>
      <c r="C1857" s="7" t="s">
        <v>613</v>
      </c>
      <c r="D1857" s="7" t="s">
        <v>6397</v>
      </c>
      <c r="E1857" s="6" t="s">
        <v>6398</v>
      </c>
      <c r="F1857" s="8" t="e">
        <f>VLOOKUP($D1857,설문!$C$2:$G$444,3,FALSE)</f>
        <v>#N/A</v>
      </c>
      <c r="G1857" s="8" t="e">
        <f>VLOOKUP($D1857,설문!$C$2:$G$444,4,FALSE)</f>
        <v>#N/A</v>
      </c>
      <c r="H1857" s="8" t="e">
        <f>VLOOKUP($D1857,설문!$C$2:$G$444,5,FALSE)</f>
        <v>#N/A</v>
      </c>
    </row>
    <row r="1858" spans="1:8">
      <c r="A1858" s="6" t="s">
        <v>612</v>
      </c>
      <c r="B1858" s="7" t="s">
        <v>6399</v>
      </c>
      <c r="C1858" s="7" t="s">
        <v>6400</v>
      </c>
      <c r="D1858" s="7" t="s">
        <v>6401</v>
      </c>
      <c r="E1858" s="6" t="s">
        <v>6402</v>
      </c>
      <c r="F1858" s="8" t="e">
        <f>VLOOKUP($D1858,설문!$C$2:$G$444,3,FALSE)</f>
        <v>#N/A</v>
      </c>
      <c r="G1858" s="8" t="e">
        <f>VLOOKUP($D1858,설문!$C$2:$G$444,4,FALSE)</f>
        <v>#N/A</v>
      </c>
      <c r="H1858" s="8" t="e">
        <f>VLOOKUP($D1858,설문!$C$2:$G$444,5,FALSE)</f>
        <v>#N/A</v>
      </c>
    </row>
    <row r="1859" spans="1:8">
      <c r="A1859" s="6" t="s">
        <v>612</v>
      </c>
      <c r="B1859" s="7" t="s">
        <v>6399</v>
      </c>
      <c r="C1859" s="7" t="s">
        <v>6400</v>
      </c>
      <c r="D1859" s="7" t="s">
        <v>6403</v>
      </c>
      <c r="E1859" s="6" t="s">
        <v>6404</v>
      </c>
      <c r="F1859" s="8" t="e">
        <f>VLOOKUP($D1859,설문!$C$2:$G$444,3,FALSE)</f>
        <v>#N/A</v>
      </c>
      <c r="G1859" s="8" t="e">
        <f>VLOOKUP($D1859,설문!$C$2:$G$444,4,FALSE)</f>
        <v>#N/A</v>
      </c>
      <c r="H1859" s="8" t="e">
        <f>VLOOKUP($D1859,설문!$C$2:$G$444,5,FALSE)</f>
        <v>#N/A</v>
      </c>
    </row>
    <row r="1860" spans="1:8">
      <c r="A1860" s="6" t="s">
        <v>612</v>
      </c>
      <c r="B1860" s="7" t="s">
        <v>6399</v>
      </c>
      <c r="C1860" s="7" t="s">
        <v>6400</v>
      </c>
      <c r="D1860" s="7" t="s">
        <v>6405</v>
      </c>
      <c r="E1860" s="6" t="s">
        <v>6406</v>
      </c>
      <c r="F1860" s="8" t="e">
        <f>VLOOKUP($D1860,설문!$C$2:$G$444,3,FALSE)</f>
        <v>#N/A</v>
      </c>
      <c r="G1860" s="8" t="e">
        <f>VLOOKUP($D1860,설문!$C$2:$G$444,4,FALSE)</f>
        <v>#N/A</v>
      </c>
      <c r="H1860" s="8" t="e">
        <f>VLOOKUP($D1860,설문!$C$2:$G$444,5,FALSE)</f>
        <v>#N/A</v>
      </c>
    </row>
    <row r="1861" spans="1:8">
      <c r="A1861" s="6" t="s">
        <v>612</v>
      </c>
      <c r="B1861" s="7" t="s">
        <v>1671</v>
      </c>
      <c r="C1861" s="7" t="s">
        <v>1671</v>
      </c>
      <c r="D1861" s="7" t="s">
        <v>6407</v>
      </c>
      <c r="E1861" s="6" t="s">
        <v>3153</v>
      </c>
      <c r="F1861" s="8" t="e">
        <f>VLOOKUP($D1861,설문!$C$2:$G$444,3,FALSE)</f>
        <v>#N/A</v>
      </c>
      <c r="G1861" s="8" t="e">
        <f>VLOOKUP($D1861,설문!$C$2:$G$444,4,FALSE)</f>
        <v>#N/A</v>
      </c>
      <c r="H1861" s="8" t="e">
        <f>VLOOKUP($D1861,설문!$C$2:$G$444,5,FALSE)</f>
        <v>#N/A</v>
      </c>
    </row>
    <row r="1862" spans="1:8">
      <c r="A1862" s="6" t="s">
        <v>612</v>
      </c>
      <c r="B1862" s="7" t="s">
        <v>1671</v>
      </c>
      <c r="C1862" s="7" t="s">
        <v>1671</v>
      </c>
      <c r="D1862" s="7" t="s">
        <v>6408</v>
      </c>
      <c r="E1862" s="6" t="s">
        <v>6409</v>
      </c>
      <c r="F1862" s="8" t="str">
        <f>VLOOKUP($D1862,설문!$C$2:$G$444,3,FALSE)</f>
        <v>딜러</v>
      </c>
      <c r="G1862" s="8" t="str">
        <f>VLOOKUP($D1862,설문!$C$2:$G$444,4,FALSE)</f>
        <v>금융회사</v>
      </c>
      <c r="H1862" s="8" t="str">
        <f>VLOOKUP($D1862,설문!$C$2:$G$444,5,FALSE)</f>
        <v>국내주식/지수,국내주식/지수관련파생,해외주식/지수,해외주식/지수관련파생</v>
      </c>
    </row>
    <row r="1863" spans="1:8">
      <c r="A1863" s="6" t="s">
        <v>612</v>
      </c>
      <c r="B1863" s="7" t="s">
        <v>6410</v>
      </c>
      <c r="C1863" s="7" t="s">
        <v>935</v>
      </c>
      <c r="D1863" s="7" t="s">
        <v>6411</v>
      </c>
      <c r="E1863" s="6" t="s">
        <v>6412</v>
      </c>
      <c r="F1863" s="8" t="str">
        <f>VLOOKUP($D1863,설문!$C$2:$G$444,3,FALSE)</f>
        <v>리스크관리(미들)</v>
      </c>
      <c r="G1863" s="8" t="str">
        <f>VLOOKUP($D1863,설문!$C$2:$G$444,4,FALSE)</f>
        <v>금융회사</v>
      </c>
      <c r="H1863" s="8" t="str">
        <f>VLOOKUP($D1863,설문!$C$2:$G$444,5,FALSE)</f>
        <v>국고채/통안채,회사채,소액채권,RP,국채선물,원화 이자율스왑</v>
      </c>
    </row>
    <row r="1864" spans="1:8">
      <c r="A1864" s="6" t="s">
        <v>612</v>
      </c>
      <c r="B1864" s="7" t="s">
        <v>5252</v>
      </c>
      <c r="C1864" s="7" t="s">
        <v>5252</v>
      </c>
      <c r="D1864" s="7" t="s">
        <v>6413</v>
      </c>
      <c r="E1864" s="6" t="s">
        <v>5457</v>
      </c>
      <c r="F1864" s="8" t="e">
        <f>VLOOKUP($D1864,설문!$C$2:$G$444,3,FALSE)</f>
        <v>#N/A</v>
      </c>
      <c r="G1864" s="8" t="e">
        <f>VLOOKUP($D1864,설문!$C$2:$G$444,4,FALSE)</f>
        <v>#N/A</v>
      </c>
      <c r="H1864" s="8" t="e">
        <f>VLOOKUP($D1864,설문!$C$2:$G$444,5,FALSE)</f>
        <v>#N/A</v>
      </c>
    </row>
    <row r="1865" spans="1:8">
      <c r="A1865" s="6" t="s">
        <v>612</v>
      </c>
      <c r="B1865" s="7" t="s">
        <v>5252</v>
      </c>
      <c r="C1865" s="7" t="s">
        <v>5252</v>
      </c>
      <c r="D1865" s="7" t="s">
        <v>6414</v>
      </c>
      <c r="E1865" s="6" t="s">
        <v>6415</v>
      </c>
      <c r="F1865" s="8" t="str">
        <f>VLOOKUP($D1865,설문!$C$2:$G$444,3,FALSE)</f>
        <v>백오피스</v>
      </c>
      <c r="G1865" s="8" t="str">
        <f>VLOOKUP($D1865,설문!$C$2:$G$444,4,FALSE)</f>
        <v>금융회사,금융 유관기관,기타</v>
      </c>
      <c r="H1865" s="8" t="str">
        <f>VLOOKUP($D1865,설문!$C$2:$G$444,5,FALSE)</f>
        <v>국고채/통안채,회사채</v>
      </c>
    </row>
    <row r="1866" spans="1:8">
      <c r="A1866" s="6" t="s">
        <v>612</v>
      </c>
      <c r="B1866" s="7" t="s">
        <v>5252</v>
      </c>
      <c r="C1866" s="7" t="s">
        <v>5252</v>
      </c>
      <c r="D1866" s="7" t="s">
        <v>6416</v>
      </c>
      <c r="E1866" s="6" t="s">
        <v>6417</v>
      </c>
      <c r="F1866" s="8" t="e">
        <f>VLOOKUP($D1866,설문!$C$2:$G$444,3,FALSE)</f>
        <v>#N/A</v>
      </c>
      <c r="G1866" s="8" t="e">
        <f>VLOOKUP($D1866,설문!$C$2:$G$444,4,FALSE)</f>
        <v>#N/A</v>
      </c>
      <c r="H1866" s="8" t="e">
        <f>VLOOKUP($D1866,설문!$C$2:$G$444,5,FALSE)</f>
        <v>#N/A</v>
      </c>
    </row>
    <row r="1867" spans="1:8">
      <c r="A1867" s="6" t="s">
        <v>612</v>
      </c>
      <c r="B1867" s="7" t="s">
        <v>5252</v>
      </c>
      <c r="C1867" s="7" t="s">
        <v>5252</v>
      </c>
      <c r="D1867" s="7" t="s">
        <v>6418</v>
      </c>
      <c r="E1867" s="6" t="s">
        <v>6419</v>
      </c>
      <c r="F1867" s="8" t="e">
        <f>VLOOKUP($D1867,설문!$C$2:$G$444,3,FALSE)</f>
        <v>#N/A</v>
      </c>
      <c r="G1867" s="8" t="e">
        <f>VLOOKUP($D1867,설문!$C$2:$G$444,4,FALSE)</f>
        <v>#N/A</v>
      </c>
      <c r="H1867" s="8" t="e">
        <f>VLOOKUP($D1867,설문!$C$2:$G$444,5,FALSE)</f>
        <v>#N/A</v>
      </c>
    </row>
    <row r="1868" spans="1:8">
      <c r="A1868" s="6" t="s">
        <v>612</v>
      </c>
      <c r="B1868" s="7" t="s">
        <v>5634</v>
      </c>
      <c r="C1868" s="7" t="s">
        <v>116</v>
      </c>
      <c r="D1868" s="7" t="s">
        <v>6420</v>
      </c>
      <c r="E1868" s="6" t="s">
        <v>6421</v>
      </c>
      <c r="F1868" s="8" t="str">
        <f>VLOOKUP($D1868,설문!$C$2:$G$444,3,FALSE)</f>
        <v>분석 및 전략</v>
      </c>
      <c r="G1868" s="8" t="str">
        <f>VLOOKUP($D1868,설문!$C$2:$G$444,4,FALSE)</f>
        <v>금융회사</v>
      </c>
      <c r="H1868" s="8" t="str">
        <f>VLOOKUP($D1868,설문!$C$2:$G$444,5,FALSE)</f>
        <v>국내주식/지수,국내주식/지수관련파생</v>
      </c>
    </row>
    <row r="1869" spans="1:8">
      <c r="A1869" s="6" t="s">
        <v>612</v>
      </c>
      <c r="B1869" s="7" t="s">
        <v>635</v>
      </c>
      <c r="C1869" s="7" t="s">
        <v>2397</v>
      </c>
      <c r="D1869" s="7" t="s">
        <v>6422</v>
      </c>
      <c r="E1869" s="6" t="s">
        <v>6423</v>
      </c>
      <c r="F1869" s="8" t="e">
        <f>VLOOKUP($D1869,설문!$C$2:$G$444,3,FALSE)</f>
        <v>#N/A</v>
      </c>
      <c r="G1869" s="8" t="e">
        <f>VLOOKUP($D1869,설문!$C$2:$G$444,4,FALSE)</f>
        <v>#N/A</v>
      </c>
      <c r="H1869" s="8" t="e">
        <f>VLOOKUP($D1869,설문!$C$2:$G$444,5,FALSE)</f>
        <v>#N/A</v>
      </c>
    </row>
    <row r="1870" spans="1:8">
      <c r="A1870" s="6" t="s">
        <v>612</v>
      </c>
      <c r="B1870" s="7" t="s">
        <v>635</v>
      </c>
      <c r="C1870" s="7" t="s">
        <v>635</v>
      </c>
      <c r="D1870" s="7" t="s">
        <v>6424</v>
      </c>
      <c r="E1870" s="6" t="s">
        <v>6425</v>
      </c>
      <c r="F1870" s="8" t="e">
        <f>VLOOKUP($D1870,설문!$C$2:$G$444,3,FALSE)</f>
        <v>#N/A</v>
      </c>
      <c r="G1870" s="8" t="e">
        <f>VLOOKUP($D1870,설문!$C$2:$G$444,4,FALSE)</f>
        <v>#N/A</v>
      </c>
      <c r="H1870" s="8" t="e">
        <f>VLOOKUP($D1870,설문!$C$2:$G$444,5,FALSE)</f>
        <v>#N/A</v>
      </c>
    </row>
    <row r="1871" spans="1:8">
      <c r="A1871" s="6" t="s">
        <v>612</v>
      </c>
      <c r="B1871" s="7" t="s">
        <v>635</v>
      </c>
      <c r="C1871" s="7" t="s">
        <v>635</v>
      </c>
      <c r="D1871" s="7" t="s">
        <v>6426</v>
      </c>
      <c r="E1871" s="6" t="s">
        <v>6427</v>
      </c>
      <c r="F1871" s="8" t="e">
        <f>VLOOKUP($D1871,설문!$C$2:$G$444,3,FALSE)</f>
        <v>#N/A</v>
      </c>
      <c r="G1871" s="8" t="e">
        <f>VLOOKUP($D1871,설문!$C$2:$G$444,4,FALSE)</f>
        <v>#N/A</v>
      </c>
      <c r="H1871" s="8" t="e">
        <f>VLOOKUP($D1871,설문!$C$2:$G$444,5,FALSE)</f>
        <v>#N/A</v>
      </c>
    </row>
    <row r="1872" spans="1:8">
      <c r="A1872" s="6" t="s">
        <v>612</v>
      </c>
      <c r="B1872" s="7" t="s">
        <v>635</v>
      </c>
      <c r="C1872" s="7" t="s">
        <v>635</v>
      </c>
      <c r="D1872" s="7" t="s">
        <v>6428</v>
      </c>
      <c r="E1872" s="6" t="s">
        <v>6429</v>
      </c>
      <c r="F1872" s="8" t="e">
        <f>VLOOKUP($D1872,설문!$C$2:$G$444,3,FALSE)</f>
        <v>#N/A</v>
      </c>
      <c r="G1872" s="8" t="e">
        <f>VLOOKUP($D1872,설문!$C$2:$G$444,4,FALSE)</f>
        <v>#N/A</v>
      </c>
      <c r="H1872" s="8" t="e">
        <f>VLOOKUP($D1872,설문!$C$2:$G$444,5,FALSE)</f>
        <v>#N/A</v>
      </c>
    </row>
    <row r="1873" spans="1:8">
      <c r="A1873" s="6" t="s">
        <v>612</v>
      </c>
      <c r="B1873" s="7" t="s">
        <v>112</v>
      </c>
      <c r="C1873" s="7" t="s">
        <v>112</v>
      </c>
      <c r="D1873" s="7" t="s">
        <v>6430</v>
      </c>
      <c r="E1873" s="6" t="s">
        <v>6431</v>
      </c>
      <c r="F1873" s="8" t="e">
        <f>VLOOKUP($D1873,설문!$C$2:$G$444,3,FALSE)</f>
        <v>#N/A</v>
      </c>
      <c r="G1873" s="8" t="e">
        <f>VLOOKUP($D1873,설문!$C$2:$G$444,4,FALSE)</f>
        <v>#N/A</v>
      </c>
      <c r="H1873" s="8" t="e">
        <f>VLOOKUP($D1873,설문!$C$2:$G$444,5,FALSE)</f>
        <v>#N/A</v>
      </c>
    </row>
    <row r="1874" spans="1:8">
      <c r="A1874" s="6" t="s">
        <v>612</v>
      </c>
      <c r="B1874" s="7" t="s">
        <v>112</v>
      </c>
      <c r="C1874" s="7" t="s">
        <v>112</v>
      </c>
      <c r="D1874" s="7" t="s">
        <v>6432</v>
      </c>
      <c r="E1874" s="6" t="s">
        <v>6433</v>
      </c>
      <c r="F1874" s="8" t="e">
        <f>VLOOKUP($D1874,설문!$C$2:$G$444,3,FALSE)</f>
        <v>#N/A</v>
      </c>
      <c r="G1874" s="8" t="e">
        <f>VLOOKUP($D1874,설문!$C$2:$G$444,4,FALSE)</f>
        <v>#N/A</v>
      </c>
      <c r="H1874" s="8" t="e">
        <f>VLOOKUP($D1874,설문!$C$2:$G$444,5,FALSE)</f>
        <v>#N/A</v>
      </c>
    </row>
    <row r="1875" spans="1:8">
      <c r="A1875" s="6" t="s">
        <v>612</v>
      </c>
      <c r="B1875" s="7" t="s">
        <v>1671</v>
      </c>
      <c r="C1875" s="7" t="s">
        <v>1671</v>
      </c>
      <c r="D1875" s="7" t="s">
        <v>6434</v>
      </c>
      <c r="E1875" s="6" t="s">
        <v>6435</v>
      </c>
      <c r="F1875" s="8" t="e">
        <f>VLOOKUP($D1875,설문!$C$2:$G$444,3,FALSE)</f>
        <v>#N/A</v>
      </c>
      <c r="G1875" s="8" t="e">
        <f>VLOOKUP($D1875,설문!$C$2:$G$444,4,FALSE)</f>
        <v>#N/A</v>
      </c>
      <c r="H1875" s="8" t="e">
        <f>VLOOKUP($D1875,설문!$C$2:$G$444,5,FALSE)</f>
        <v>#N/A</v>
      </c>
    </row>
    <row r="1876" spans="1:8">
      <c r="A1876" s="6" t="s">
        <v>612</v>
      </c>
      <c r="B1876" s="7" t="s">
        <v>6436</v>
      </c>
      <c r="C1876" s="7" t="s">
        <v>108</v>
      </c>
      <c r="D1876" s="7" t="s">
        <v>6437</v>
      </c>
      <c r="E1876" s="6" t="s">
        <v>6438</v>
      </c>
      <c r="F1876" s="8" t="e">
        <f>VLOOKUP($D1876,설문!$C$2:$G$444,3,FALSE)</f>
        <v>#N/A</v>
      </c>
      <c r="G1876" s="8" t="e">
        <f>VLOOKUP($D1876,설문!$C$2:$G$444,4,FALSE)</f>
        <v>#N/A</v>
      </c>
      <c r="H1876" s="8" t="e">
        <f>VLOOKUP($D1876,설문!$C$2:$G$444,5,FALSE)</f>
        <v>#N/A</v>
      </c>
    </row>
    <row r="1877" spans="1:8">
      <c r="A1877" s="6" t="s">
        <v>1723</v>
      </c>
      <c r="B1877" s="7" t="s">
        <v>9</v>
      </c>
      <c r="C1877" s="7" t="s">
        <v>9</v>
      </c>
      <c r="D1877" s="7" t="s">
        <v>1724</v>
      </c>
      <c r="E1877" s="6" t="s">
        <v>1725</v>
      </c>
      <c r="F1877" s="8" t="str">
        <f>VLOOKUP($D1877,설문!$C$2:$G$444,3,FALSE)</f>
        <v>리스크관리(미들),백오피스</v>
      </c>
      <c r="G1877" s="8" t="str">
        <f>VLOOKUP($D1877,설문!$C$2:$G$444,4,FALSE)</f>
        <v>일반기업고객,개인고객</v>
      </c>
      <c r="H1877" s="8" t="str">
        <f>VLOOKUP($D1877,설문!$C$2:$G$444,5,FALSE)</f>
        <v>국내주식/지수,회사채,단기자금,ETF/ETN,ELS/DLS,대체투자(부동산/인프라)</v>
      </c>
    </row>
    <row r="1878" spans="1:8">
      <c r="A1878" s="6" t="s">
        <v>1723</v>
      </c>
      <c r="B1878" s="7" t="s">
        <v>9</v>
      </c>
      <c r="C1878" s="7" t="s">
        <v>9</v>
      </c>
      <c r="D1878" s="7" t="s">
        <v>1967</v>
      </c>
      <c r="E1878" s="6" t="s">
        <v>1968</v>
      </c>
      <c r="F1878" s="8" t="e">
        <f>VLOOKUP($D1878,설문!$C$2:$G$444,3,FALSE)</f>
        <v>#N/A</v>
      </c>
      <c r="G1878" s="8" t="e">
        <f>VLOOKUP($D1878,설문!$C$2:$G$444,4,FALSE)</f>
        <v>#N/A</v>
      </c>
      <c r="H1878" s="8" t="e">
        <f>VLOOKUP($D1878,설문!$C$2:$G$444,5,FALSE)</f>
        <v>#N/A</v>
      </c>
    </row>
    <row r="1879" spans="1:8">
      <c r="A1879" s="6" t="s">
        <v>2386</v>
      </c>
      <c r="B1879" s="7" t="s">
        <v>1512</v>
      </c>
      <c r="C1879" s="7" t="s">
        <v>1411</v>
      </c>
      <c r="D1879" s="7" t="s">
        <v>2387</v>
      </c>
      <c r="E1879" s="6" t="s">
        <v>2388</v>
      </c>
      <c r="F1879" s="8" t="e">
        <f>VLOOKUP($D1879,설문!$C$2:$G$444,3,FALSE)</f>
        <v>#N/A</v>
      </c>
      <c r="G1879" s="8" t="e">
        <f>VLOOKUP($D1879,설문!$C$2:$G$444,4,FALSE)</f>
        <v>#N/A</v>
      </c>
      <c r="H1879" s="8" t="e">
        <f>VLOOKUP($D1879,설문!$C$2:$G$444,5,FALSE)</f>
        <v>#N/A</v>
      </c>
    </row>
    <row r="1880" spans="1:8">
      <c r="A1880" s="6" t="s">
        <v>2386</v>
      </c>
      <c r="B1880" s="7" t="s">
        <v>1512</v>
      </c>
      <c r="C1880" s="7" t="s">
        <v>1411</v>
      </c>
      <c r="D1880" s="7" t="s">
        <v>2389</v>
      </c>
      <c r="E1880" s="6" t="s">
        <v>2390</v>
      </c>
      <c r="F1880" s="8" t="str">
        <f>VLOOKUP($D1880,설문!$C$2:$G$444,3,FALSE)</f>
        <v>펀드매니저</v>
      </c>
      <c r="G1880" s="8" t="str">
        <f>VLOOKUP($D1880,설문!$C$2:$G$444,4,FALSE)</f>
        <v>금융회사</v>
      </c>
      <c r="H1880" s="8" t="str">
        <f>VLOOKUP($D1880,설문!$C$2:$G$444,5,FALSE)</f>
        <v>국내주식/지수,국고채/통안채,외화채권(KP제외),원화 구조화채권,외화 구조화채권,원화 이자율스왑,외화 이자율스왑,FX Spot &amp; FX Swap,IB(발행, M&amp;A 등),대체투자(부동산/인프라)</v>
      </c>
    </row>
    <row r="1881" spans="1:8">
      <c r="A1881" s="6" t="s">
        <v>1346</v>
      </c>
      <c r="B1881" s="7" t="s">
        <v>1347</v>
      </c>
      <c r="C1881" s="7" t="s">
        <v>1347</v>
      </c>
      <c r="D1881" s="7" t="s">
        <v>1348</v>
      </c>
      <c r="E1881" s="6" t="s">
        <v>1349</v>
      </c>
      <c r="F1881" s="8" t="e">
        <f>VLOOKUP($D1881,설문!$C$2:$G$444,3,FALSE)</f>
        <v>#N/A</v>
      </c>
      <c r="G1881" s="8" t="e">
        <f>VLOOKUP($D1881,설문!$C$2:$G$444,4,FALSE)</f>
        <v>#N/A</v>
      </c>
      <c r="H1881" s="8" t="e">
        <f>VLOOKUP($D1881,설문!$C$2:$G$444,5,FALSE)</f>
        <v>#N/A</v>
      </c>
    </row>
    <row r="1882" spans="1:8">
      <c r="A1882" s="6" t="s">
        <v>1346</v>
      </c>
      <c r="B1882" s="7" t="s">
        <v>9</v>
      </c>
      <c r="C1882" s="7" t="s">
        <v>1383</v>
      </c>
      <c r="D1882" s="7" t="s">
        <v>1384</v>
      </c>
      <c r="E1882" s="6" t="s">
        <v>1385</v>
      </c>
      <c r="F1882" s="8" t="str">
        <f>VLOOKUP($D1882,설문!$C$2:$G$444,3,FALSE)</f>
        <v>트레이더</v>
      </c>
      <c r="G1882" s="8" t="str">
        <f>VLOOKUP($D1882,설문!$C$2:$G$444,4,FALSE)</f>
        <v>금융회사,금융 유관기관</v>
      </c>
      <c r="H1882" s="8" t="str">
        <f>VLOOKUP($D1882,설문!$C$2:$G$444,5,FALSE)</f>
        <v>국고채/통안채,국채선물,원화 구조화채권,원화 이자율스왑,외화 이자율스왑,FX Spot &amp; FX Swap,CRS &amp; FX Option,FRA/이자율옵션</v>
      </c>
    </row>
    <row r="1883" spans="1:8">
      <c r="A1883" s="6" t="s">
        <v>1346</v>
      </c>
      <c r="B1883" s="7" t="s">
        <v>1246</v>
      </c>
      <c r="C1883" s="7" t="s">
        <v>4209</v>
      </c>
      <c r="D1883" s="7" t="s">
        <v>4210</v>
      </c>
      <c r="E1883" s="6" t="s">
        <v>4211</v>
      </c>
      <c r="F1883" s="8" t="e">
        <f>VLOOKUP($D1883,설문!$C$2:$G$444,3,FALSE)</f>
        <v>#N/A</v>
      </c>
      <c r="G1883" s="8" t="e">
        <f>VLOOKUP($D1883,설문!$C$2:$G$444,4,FALSE)</f>
        <v>#N/A</v>
      </c>
      <c r="H1883" s="8" t="e">
        <f>VLOOKUP($D1883,설문!$C$2:$G$444,5,FALSE)</f>
        <v>#N/A</v>
      </c>
    </row>
    <row r="1884" spans="1:8">
      <c r="A1884" s="6" t="s">
        <v>1346</v>
      </c>
      <c r="B1884" s="7" t="s">
        <v>1275</v>
      </c>
      <c r="C1884" s="7" t="s">
        <v>4212</v>
      </c>
      <c r="D1884" s="7" t="s">
        <v>4213</v>
      </c>
      <c r="E1884" s="6" t="s">
        <v>4214</v>
      </c>
      <c r="F1884" s="8" t="str">
        <f>VLOOKUP($D1884,설문!$C$2:$G$444,3,FALSE)</f>
        <v>딜러</v>
      </c>
      <c r="G1884" s="8" t="str">
        <f>VLOOKUP($D1884,설문!$C$2:$G$444,4,FALSE)</f>
        <v>금융회사</v>
      </c>
      <c r="H1884" s="8" t="str">
        <f>VLOOKUP($D1884,설문!$C$2:$G$444,5,FALSE)</f>
        <v>국고채/통안채</v>
      </c>
    </row>
    <row r="1885" spans="1:8">
      <c r="A1885" s="6" t="s">
        <v>1346</v>
      </c>
      <c r="B1885" s="7" t="s">
        <v>4215</v>
      </c>
      <c r="C1885" s="7" t="s">
        <v>4216</v>
      </c>
      <c r="D1885" s="7" t="s">
        <v>4217</v>
      </c>
      <c r="E1885" s="6" t="s">
        <v>4218</v>
      </c>
      <c r="F1885" s="8" t="e">
        <f>VLOOKUP($D1885,설문!$C$2:$G$444,3,FALSE)</f>
        <v>#N/A</v>
      </c>
      <c r="G1885" s="8" t="e">
        <f>VLOOKUP($D1885,설문!$C$2:$G$444,4,FALSE)</f>
        <v>#N/A</v>
      </c>
      <c r="H1885" s="8" t="e">
        <f>VLOOKUP($D1885,설문!$C$2:$G$444,5,FALSE)</f>
        <v>#N/A</v>
      </c>
    </row>
    <row r="1886" spans="1:8">
      <c r="A1886" s="6" t="s">
        <v>1346</v>
      </c>
      <c r="B1886" s="7" t="s">
        <v>4215</v>
      </c>
      <c r="C1886" s="7" t="s">
        <v>4215</v>
      </c>
      <c r="D1886" s="7" t="s">
        <v>4219</v>
      </c>
      <c r="E1886" s="6" t="s">
        <v>4220</v>
      </c>
      <c r="F1886" s="8" t="str">
        <f>VLOOKUP($D1886,설문!$C$2:$G$444,3,FALSE)</f>
        <v>트레이더</v>
      </c>
      <c r="G1886" s="8" t="str">
        <f>VLOOKUP($D1886,설문!$C$2:$G$444,4,FALSE)</f>
        <v>금융회사,일반기업고객</v>
      </c>
      <c r="H1886" s="8" t="str">
        <f>VLOOKUP($D1886,설문!$C$2:$G$444,5,FALSE)</f>
        <v>국고채/통안채,원화 이자율스왑,외화 이자율스왑,FX Spot &amp; FX Swap,CRS &amp; FX Option</v>
      </c>
    </row>
    <row r="1887" spans="1:8">
      <c r="A1887" s="6" t="s">
        <v>1346</v>
      </c>
      <c r="B1887" s="7" t="s">
        <v>4221</v>
      </c>
      <c r="C1887" s="7" t="s">
        <v>4221</v>
      </c>
      <c r="D1887" s="7" t="s">
        <v>4222</v>
      </c>
      <c r="E1887" s="6" t="s">
        <v>4223</v>
      </c>
      <c r="F1887" s="8" t="e">
        <f>VLOOKUP($D1887,설문!$C$2:$G$444,3,FALSE)</f>
        <v>#N/A</v>
      </c>
      <c r="G1887" s="8" t="e">
        <f>VLOOKUP($D1887,설문!$C$2:$G$444,4,FALSE)</f>
        <v>#N/A</v>
      </c>
      <c r="H1887" s="8" t="e">
        <f>VLOOKUP($D1887,설문!$C$2:$G$444,5,FALSE)</f>
        <v>#N/A</v>
      </c>
    </row>
    <row r="1888" spans="1:8">
      <c r="A1888" s="6" t="s">
        <v>1346</v>
      </c>
      <c r="B1888" s="7" t="s">
        <v>4221</v>
      </c>
      <c r="C1888" s="7" t="s">
        <v>4221</v>
      </c>
      <c r="D1888" s="7" t="s">
        <v>4224</v>
      </c>
      <c r="E1888" s="6" t="s">
        <v>4225</v>
      </c>
      <c r="F1888" s="8" t="e">
        <f>VLOOKUP($D1888,설문!$C$2:$G$444,3,FALSE)</f>
        <v>#N/A</v>
      </c>
      <c r="G1888" s="8" t="e">
        <f>VLOOKUP($D1888,설문!$C$2:$G$444,4,FALSE)</f>
        <v>#N/A</v>
      </c>
      <c r="H1888" s="8" t="e">
        <f>VLOOKUP($D1888,설문!$C$2:$G$444,5,FALSE)</f>
        <v>#N/A</v>
      </c>
    </row>
    <row r="1889" spans="1:8">
      <c r="A1889" s="6" t="s">
        <v>1346</v>
      </c>
      <c r="B1889" s="7" t="s">
        <v>4221</v>
      </c>
      <c r="C1889" s="7" t="s">
        <v>4221</v>
      </c>
      <c r="D1889" s="7" t="s">
        <v>4226</v>
      </c>
      <c r="E1889" s="6" t="s">
        <v>1777</v>
      </c>
      <c r="F1889" s="8" t="e">
        <f>VLOOKUP($D1889,설문!$C$2:$G$444,3,FALSE)</f>
        <v>#N/A</v>
      </c>
      <c r="G1889" s="8" t="e">
        <f>VLOOKUP($D1889,설문!$C$2:$G$444,4,FALSE)</f>
        <v>#N/A</v>
      </c>
      <c r="H1889" s="8" t="e">
        <f>VLOOKUP($D1889,설문!$C$2:$G$444,5,FALSE)</f>
        <v>#N/A</v>
      </c>
    </row>
    <row r="1890" spans="1:8">
      <c r="A1890" s="6" t="s">
        <v>1346</v>
      </c>
      <c r="B1890" s="7" t="s">
        <v>1347</v>
      </c>
      <c r="C1890" s="7" t="s">
        <v>4227</v>
      </c>
      <c r="D1890" s="7" t="s">
        <v>4228</v>
      </c>
      <c r="E1890" s="6" t="s">
        <v>4229</v>
      </c>
      <c r="F1890" s="8" t="e">
        <f>VLOOKUP($D1890,설문!$C$2:$G$444,3,FALSE)</f>
        <v>#N/A</v>
      </c>
      <c r="G1890" s="8" t="e">
        <f>VLOOKUP($D1890,설문!$C$2:$G$444,4,FALSE)</f>
        <v>#N/A</v>
      </c>
      <c r="H1890" s="8" t="e">
        <f>VLOOKUP($D1890,설문!$C$2:$G$444,5,FALSE)</f>
        <v>#N/A</v>
      </c>
    </row>
    <row r="1891" spans="1:8">
      <c r="A1891" s="6" t="s">
        <v>1346</v>
      </c>
      <c r="B1891" s="7" t="s">
        <v>1347</v>
      </c>
      <c r="C1891" s="7" t="s">
        <v>4230</v>
      </c>
      <c r="D1891" s="7" t="s">
        <v>4231</v>
      </c>
      <c r="E1891" s="6" t="s">
        <v>4232</v>
      </c>
      <c r="F1891" s="8" t="e">
        <f>VLOOKUP($D1891,설문!$C$2:$G$444,3,FALSE)</f>
        <v>#N/A</v>
      </c>
      <c r="G1891" s="8" t="e">
        <f>VLOOKUP($D1891,설문!$C$2:$G$444,4,FALSE)</f>
        <v>#N/A</v>
      </c>
      <c r="H1891" s="8" t="e">
        <f>VLOOKUP($D1891,설문!$C$2:$G$444,5,FALSE)</f>
        <v>#N/A</v>
      </c>
    </row>
    <row r="1892" spans="1:8">
      <c r="A1892" s="6" t="s">
        <v>1346</v>
      </c>
      <c r="B1892" s="7" t="s">
        <v>1347</v>
      </c>
      <c r="C1892" s="7" t="s">
        <v>606</v>
      </c>
      <c r="D1892" s="7" t="s">
        <v>4233</v>
      </c>
      <c r="E1892" s="6" t="s">
        <v>4234</v>
      </c>
      <c r="F1892" s="8" t="e">
        <f>VLOOKUP($D1892,설문!$C$2:$G$444,3,FALSE)</f>
        <v>#N/A</v>
      </c>
      <c r="G1892" s="8" t="e">
        <f>VLOOKUP($D1892,설문!$C$2:$G$444,4,FALSE)</f>
        <v>#N/A</v>
      </c>
      <c r="H1892" s="8" t="e">
        <f>VLOOKUP($D1892,설문!$C$2:$G$444,5,FALSE)</f>
        <v>#N/A</v>
      </c>
    </row>
    <row r="1893" spans="1:8">
      <c r="A1893" s="6" t="s">
        <v>1346</v>
      </c>
      <c r="B1893" s="7" t="s">
        <v>1347</v>
      </c>
      <c r="C1893" s="7" t="s">
        <v>606</v>
      </c>
      <c r="D1893" s="7" t="s">
        <v>4235</v>
      </c>
      <c r="E1893" s="6" t="s">
        <v>4236</v>
      </c>
      <c r="F1893" s="8" t="e">
        <f>VLOOKUP($D1893,설문!$C$2:$G$444,3,FALSE)</f>
        <v>#N/A</v>
      </c>
      <c r="G1893" s="8" t="e">
        <f>VLOOKUP($D1893,설문!$C$2:$G$444,4,FALSE)</f>
        <v>#N/A</v>
      </c>
      <c r="H1893" s="8" t="e">
        <f>VLOOKUP($D1893,설문!$C$2:$G$444,5,FALSE)</f>
        <v>#N/A</v>
      </c>
    </row>
    <row r="1894" spans="1:8">
      <c r="A1894" s="6" t="s">
        <v>1346</v>
      </c>
      <c r="B1894" s="7" t="s">
        <v>2225</v>
      </c>
      <c r="C1894" s="7" t="s">
        <v>4237</v>
      </c>
      <c r="D1894" s="7" t="s">
        <v>4238</v>
      </c>
      <c r="E1894" s="6" t="s">
        <v>4239</v>
      </c>
      <c r="F1894" s="8" t="e">
        <f>VLOOKUP($D1894,설문!$C$2:$G$444,3,FALSE)</f>
        <v>#N/A</v>
      </c>
      <c r="G1894" s="8" t="e">
        <f>VLOOKUP($D1894,설문!$C$2:$G$444,4,FALSE)</f>
        <v>#N/A</v>
      </c>
      <c r="H1894" s="8" t="e">
        <f>VLOOKUP($D1894,설문!$C$2:$G$444,5,FALSE)</f>
        <v>#N/A</v>
      </c>
    </row>
    <row r="1895" spans="1:8">
      <c r="A1895" s="6" t="s">
        <v>231</v>
      </c>
      <c r="B1895" s="7" t="s">
        <v>232</v>
      </c>
      <c r="C1895" s="7" t="s">
        <v>232</v>
      </c>
      <c r="D1895" s="7" t="s">
        <v>233</v>
      </c>
      <c r="E1895" s="6" t="s">
        <v>234</v>
      </c>
      <c r="F1895" s="8" t="e">
        <f>VLOOKUP($D1895,설문!$C$2:$G$444,3,FALSE)</f>
        <v>#N/A</v>
      </c>
      <c r="G1895" s="8" t="e">
        <f>VLOOKUP($D1895,설문!$C$2:$G$444,4,FALSE)</f>
        <v>#N/A</v>
      </c>
      <c r="H1895" s="8" t="e">
        <f>VLOOKUP($D1895,설문!$C$2:$G$444,5,FALSE)</f>
        <v>#N/A</v>
      </c>
    </row>
    <row r="1896" spans="1:8">
      <c r="A1896" s="6" t="s">
        <v>231</v>
      </c>
      <c r="B1896" s="7" t="s">
        <v>232</v>
      </c>
      <c r="C1896" s="7" t="s">
        <v>814</v>
      </c>
      <c r="D1896" s="7" t="s">
        <v>815</v>
      </c>
      <c r="E1896" s="6" t="s">
        <v>816</v>
      </c>
      <c r="F1896" s="8" t="e">
        <f>VLOOKUP($D1896,설문!$C$2:$G$444,3,FALSE)</f>
        <v>#N/A</v>
      </c>
      <c r="G1896" s="8" t="e">
        <f>VLOOKUP($D1896,설문!$C$2:$G$444,4,FALSE)</f>
        <v>#N/A</v>
      </c>
      <c r="H1896" s="8" t="e">
        <f>VLOOKUP($D1896,설문!$C$2:$G$444,5,FALSE)</f>
        <v>#N/A</v>
      </c>
    </row>
    <row r="1897" spans="1:8">
      <c r="A1897" s="6" t="s">
        <v>231</v>
      </c>
      <c r="B1897" s="7" t="s">
        <v>1473</v>
      </c>
      <c r="C1897" s="7" t="s">
        <v>1473</v>
      </c>
      <c r="D1897" s="7" t="s">
        <v>1474</v>
      </c>
      <c r="E1897" s="6" t="s">
        <v>273</v>
      </c>
      <c r="F1897" s="8" t="e">
        <f>VLOOKUP($D1897,설문!$C$2:$G$444,3,FALSE)</f>
        <v>#N/A</v>
      </c>
      <c r="G1897" s="8" t="e">
        <f>VLOOKUP($D1897,설문!$C$2:$G$444,4,FALSE)</f>
        <v>#N/A</v>
      </c>
      <c r="H1897" s="8" t="e">
        <f>VLOOKUP($D1897,설문!$C$2:$G$444,5,FALSE)</f>
        <v>#N/A</v>
      </c>
    </row>
    <row r="1898" spans="1:8">
      <c r="A1898" s="6" t="s">
        <v>231</v>
      </c>
      <c r="B1898" s="7" t="s">
        <v>1473</v>
      </c>
      <c r="C1898" s="7" t="s">
        <v>1473</v>
      </c>
      <c r="D1898" s="7" t="s">
        <v>1475</v>
      </c>
      <c r="E1898" s="6" t="s">
        <v>1476</v>
      </c>
      <c r="F1898" s="8" t="e">
        <f>VLOOKUP($D1898,설문!$C$2:$G$444,3,FALSE)</f>
        <v>#N/A</v>
      </c>
      <c r="G1898" s="8" t="e">
        <f>VLOOKUP($D1898,설문!$C$2:$G$444,4,FALSE)</f>
        <v>#N/A</v>
      </c>
      <c r="H1898" s="8" t="e">
        <f>VLOOKUP($D1898,설문!$C$2:$G$444,5,FALSE)</f>
        <v>#N/A</v>
      </c>
    </row>
    <row r="1899" spans="1:8">
      <c r="A1899" s="6" t="s">
        <v>231</v>
      </c>
      <c r="B1899" s="7" t="s">
        <v>232</v>
      </c>
      <c r="C1899" s="7" t="s">
        <v>232</v>
      </c>
      <c r="D1899" s="7" t="s">
        <v>1994</v>
      </c>
      <c r="E1899" s="6" t="s">
        <v>1995</v>
      </c>
      <c r="F1899" s="8" t="e">
        <f>VLOOKUP($D1899,설문!$C$2:$G$444,3,FALSE)</f>
        <v>#N/A</v>
      </c>
      <c r="G1899" s="8" t="e">
        <f>VLOOKUP($D1899,설문!$C$2:$G$444,4,FALSE)</f>
        <v>#N/A</v>
      </c>
      <c r="H1899" s="8" t="e">
        <f>VLOOKUP($D1899,설문!$C$2:$G$444,5,FALSE)</f>
        <v>#N/A</v>
      </c>
    </row>
    <row r="1900" spans="1:8">
      <c r="A1900" s="6" t="s">
        <v>231</v>
      </c>
      <c r="B1900" s="7" t="s">
        <v>232</v>
      </c>
      <c r="C1900" s="7" t="s">
        <v>1996</v>
      </c>
      <c r="D1900" s="7" t="s">
        <v>1997</v>
      </c>
      <c r="E1900" s="6" t="s">
        <v>1998</v>
      </c>
      <c r="F1900" s="8" t="e">
        <f>VLOOKUP($D1900,설문!$C$2:$G$444,3,FALSE)</f>
        <v>#N/A</v>
      </c>
      <c r="G1900" s="8" t="e">
        <f>VLOOKUP($D1900,설문!$C$2:$G$444,4,FALSE)</f>
        <v>#N/A</v>
      </c>
      <c r="H1900" s="8" t="e">
        <f>VLOOKUP($D1900,설문!$C$2:$G$444,5,FALSE)</f>
        <v>#N/A</v>
      </c>
    </row>
    <row r="1901" spans="1:8">
      <c r="A1901" s="6" t="s">
        <v>231</v>
      </c>
      <c r="B1901" s="7" t="s">
        <v>232</v>
      </c>
      <c r="C1901" s="7" t="s">
        <v>1996</v>
      </c>
      <c r="D1901" s="7" t="s">
        <v>2000</v>
      </c>
      <c r="E1901" s="6" t="s">
        <v>2001</v>
      </c>
      <c r="F1901" s="8" t="e">
        <f>VLOOKUP($D1901,설문!$C$2:$G$444,3,FALSE)</f>
        <v>#N/A</v>
      </c>
      <c r="G1901" s="8" t="e">
        <f>VLOOKUP($D1901,설문!$C$2:$G$444,4,FALSE)</f>
        <v>#N/A</v>
      </c>
      <c r="H1901" s="8" t="e">
        <f>VLOOKUP($D1901,설문!$C$2:$G$444,5,FALSE)</f>
        <v>#N/A</v>
      </c>
    </row>
    <row r="1902" spans="1:8">
      <c r="A1902" s="6" t="s">
        <v>231</v>
      </c>
      <c r="B1902" s="7" t="s">
        <v>232</v>
      </c>
      <c r="C1902" s="7" t="s">
        <v>232</v>
      </c>
      <c r="D1902" s="7" t="s">
        <v>2002</v>
      </c>
      <c r="E1902" s="6" t="s">
        <v>911</v>
      </c>
      <c r="F1902" s="8" t="e">
        <f>VLOOKUP($D1902,설문!$C$2:$G$444,3,FALSE)</f>
        <v>#N/A</v>
      </c>
      <c r="G1902" s="8" t="e">
        <f>VLOOKUP($D1902,설문!$C$2:$G$444,4,FALSE)</f>
        <v>#N/A</v>
      </c>
      <c r="H1902" s="8" t="e">
        <f>VLOOKUP($D1902,설문!$C$2:$G$444,5,FALSE)</f>
        <v>#N/A</v>
      </c>
    </row>
    <row r="1903" spans="1:8">
      <c r="A1903" s="6" t="s">
        <v>231</v>
      </c>
      <c r="B1903" s="7" t="s">
        <v>232</v>
      </c>
      <c r="C1903" s="7" t="s">
        <v>232</v>
      </c>
      <c r="D1903" s="7" t="s">
        <v>2003</v>
      </c>
      <c r="E1903" s="6" t="s">
        <v>2004</v>
      </c>
      <c r="F1903" s="8" t="e">
        <f>VLOOKUP($D1903,설문!$C$2:$G$444,3,FALSE)</f>
        <v>#N/A</v>
      </c>
      <c r="G1903" s="8" t="e">
        <f>VLOOKUP($D1903,설문!$C$2:$G$444,4,FALSE)</f>
        <v>#N/A</v>
      </c>
      <c r="H1903" s="8" t="e">
        <f>VLOOKUP($D1903,설문!$C$2:$G$444,5,FALSE)</f>
        <v>#N/A</v>
      </c>
    </row>
    <row r="1904" spans="1:8">
      <c r="A1904" s="6" t="s">
        <v>231</v>
      </c>
      <c r="B1904" s="7" t="s">
        <v>232</v>
      </c>
      <c r="C1904" s="7" t="s">
        <v>2005</v>
      </c>
      <c r="D1904" s="7" t="s">
        <v>2006</v>
      </c>
      <c r="E1904" s="6" t="s">
        <v>1999</v>
      </c>
      <c r="F1904" s="8" t="str">
        <f>VLOOKUP($D1904,설문!$C$2:$G$444,3,FALSE)</f>
        <v>분석 및 전략</v>
      </c>
      <c r="G1904" s="8" t="str">
        <f>VLOOKUP($D1904,설문!$C$2:$G$444,4,FALSE)</f>
        <v>금융 유관기관</v>
      </c>
      <c r="H1904" s="8" t="str">
        <f>VLOOKUP($D1904,설문!$C$2:$G$444,5,FALSE)</f>
        <v>국내주식/지수,국고채/통안채,단기자금,원화 구조화채권,ETF/ETN,ELS/DLS,대체투자(부동산/인프라)</v>
      </c>
    </row>
    <row r="1905" spans="1:8">
      <c r="A1905" s="6" t="s">
        <v>231</v>
      </c>
      <c r="B1905" s="7" t="s">
        <v>232</v>
      </c>
      <c r="C1905" s="7" t="s">
        <v>2005</v>
      </c>
      <c r="D1905" s="7" t="s">
        <v>2007</v>
      </c>
      <c r="E1905" s="6" t="s">
        <v>2008</v>
      </c>
      <c r="F1905" s="8" t="e">
        <f>VLOOKUP($D1905,설문!$C$2:$G$444,3,FALSE)</f>
        <v>#N/A</v>
      </c>
      <c r="G1905" s="8" t="e">
        <f>VLOOKUP($D1905,설문!$C$2:$G$444,4,FALSE)</f>
        <v>#N/A</v>
      </c>
      <c r="H1905" s="8" t="e">
        <f>VLOOKUP($D1905,설문!$C$2:$G$444,5,FALSE)</f>
        <v>#N/A</v>
      </c>
    </row>
    <row r="1906" spans="1:8">
      <c r="A1906" s="6" t="s">
        <v>231</v>
      </c>
      <c r="B1906" s="7" t="s">
        <v>232</v>
      </c>
      <c r="C1906" s="7" t="s">
        <v>2005</v>
      </c>
      <c r="D1906" s="7" t="s">
        <v>2009</v>
      </c>
      <c r="E1906" s="6" t="s">
        <v>2010</v>
      </c>
      <c r="F1906" s="8" t="e">
        <f>VLOOKUP($D1906,설문!$C$2:$G$444,3,FALSE)</f>
        <v>#N/A</v>
      </c>
      <c r="G1906" s="8" t="e">
        <f>VLOOKUP($D1906,설문!$C$2:$G$444,4,FALSE)</f>
        <v>#N/A</v>
      </c>
      <c r="H1906" s="8" t="e">
        <f>VLOOKUP($D1906,설문!$C$2:$G$444,5,FALSE)</f>
        <v>#N/A</v>
      </c>
    </row>
    <row r="1907" spans="1:8">
      <c r="A1907" s="6" t="s">
        <v>231</v>
      </c>
      <c r="B1907" s="7" t="s">
        <v>232</v>
      </c>
      <c r="C1907" s="7" t="s">
        <v>1996</v>
      </c>
      <c r="D1907" s="7" t="s">
        <v>2011</v>
      </c>
      <c r="E1907" s="6" t="s">
        <v>1999</v>
      </c>
      <c r="F1907" s="8" t="e">
        <f>VLOOKUP($D1907,설문!$C$2:$G$444,3,FALSE)</f>
        <v>#N/A</v>
      </c>
      <c r="G1907" s="8" t="e">
        <f>VLOOKUP($D1907,설문!$C$2:$G$444,4,FALSE)</f>
        <v>#N/A</v>
      </c>
      <c r="H1907" s="8" t="e">
        <f>VLOOKUP($D1907,설문!$C$2:$G$444,5,FALSE)</f>
        <v>#N/A</v>
      </c>
    </row>
    <row r="1908" spans="1:8">
      <c r="A1908" s="6" t="s">
        <v>231</v>
      </c>
      <c r="B1908" s="7" t="s">
        <v>232</v>
      </c>
      <c r="C1908" s="7" t="s">
        <v>1996</v>
      </c>
      <c r="D1908" s="7" t="s">
        <v>2012</v>
      </c>
      <c r="E1908" s="6" t="s">
        <v>2013</v>
      </c>
      <c r="F1908" s="8" t="e">
        <f>VLOOKUP($D1908,설문!$C$2:$G$444,3,FALSE)</f>
        <v>#N/A</v>
      </c>
      <c r="G1908" s="8" t="e">
        <f>VLOOKUP($D1908,설문!$C$2:$G$444,4,FALSE)</f>
        <v>#N/A</v>
      </c>
      <c r="H1908" s="8" t="e">
        <f>VLOOKUP($D1908,설문!$C$2:$G$444,5,FALSE)</f>
        <v>#N/A</v>
      </c>
    </row>
    <row r="1909" spans="1:8">
      <c r="A1909" s="6" t="s">
        <v>231</v>
      </c>
      <c r="B1909" s="7" t="s">
        <v>232</v>
      </c>
      <c r="C1909" s="7" t="s">
        <v>1996</v>
      </c>
      <c r="D1909" s="7" t="s">
        <v>2014</v>
      </c>
      <c r="E1909" s="6" t="s">
        <v>2015</v>
      </c>
      <c r="F1909" s="8" t="e">
        <f>VLOOKUP($D1909,설문!$C$2:$G$444,3,FALSE)</f>
        <v>#N/A</v>
      </c>
      <c r="G1909" s="8" t="e">
        <f>VLOOKUP($D1909,설문!$C$2:$G$444,4,FALSE)</f>
        <v>#N/A</v>
      </c>
      <c r="H1909" s="8" t="e">
        <f>VLOOKUP($D1909,설문!$C$2:$G$444,5,FALSE)</f>
        <v>#N/A</v>
      </c>
    </row>
    <row r="1910" spans="1:8">
      <c r="A1910" s="6" t="s">
        <v>231</v>
      </c>
      <c r="B1910" s="7" t="s">
        <v>232</v>
      </c>
      <c r="C1910" s="7" t="s">
        <v>814</v>
      </c>
      <c r="D1910" s="7" t="s">
        <v>2016</v>
      </c>
      <c r="E1910" s="6" t="s">
        <v>2017</v>
      </c>
      <c r="F1910" s="8" t="e">
        <f>VLOOKUP($D1910,설문!$C$2:$G$444,3,FALSE)</f>
        <v>#N/A</v>
      </c>
      <c r="G1910" s="8" t="e">
        <f>VLOOKUP($D1910,설문!$C$2:$G$444,4,FALSE)</f>
        <v>#N/A</v>
      </c>
      <c r="H1910" s="8" t="e">
        <f>VLOOKUP($D1910,설문!$C$2:$G$444,5,FALSE)</f>
        <v>#N/A</v>
      </c>
    </row>
    <row r="1911" spans="1:8">
      <c r="A1911" s="6" t="s">
        <v>231</v>
      </c>
      <c r="B1911" s="7" t="s">
        <v>232</v>
      </c>
      <c r="C1911" s="7" t="s">
        <v>2018</v>
      </c>
      <c r="D1911" s="7" t="s">
        <v>2019</v>
      </c>
      <c r="E1911" s="6" t="s">
        <v>2020</v>
      </c>
      <c r="F1911" s="8" t="e">
        <f>VLOOKUP($D1911,설문!$C$2:$G$444,3,FALSE)</f>
        <v>#N/A</v>
      </c>
      <c r="G1911" s="8" t="e">
        <f>VLOOKUP($D1911,설문!$C$2:$G$444,4,FALSE)</f>
        <v>#N/A</v>
      </c>
      <c r="H1911" s="8" t="e">
        <f>VLOOKUP($D1911,설문!$C$2:$G$444,5,FALSE)</f>
        <v>#N/A</v>
      </c>
    </row>
    <row r="1912" spans="1:8">
      <c r="A1912" s="6" t="s">
        <v>231</v>
      </c>
      <c r="B1912" s="7" t="s">
        <v>232</v>
      </c>
      <c r="C1912" s="7" t="s">
        <v>2018</v>
      </c>
      <c r="D1912" s="7" t="s">
        <v>2021</v>
      </c>
      <c r="E1912" s="6" t="s">
        <v>2022</v>
      </c>
      <c r="F1912" s="8" t="str">
        <f>VLOOKUP($D1912,설문!$C$2:$G$444,3,FALSE)</f>
        <v>펀드매니저,분석 및 전략</v>
      </c>
      <c r="G1912" s="8" t="str">
        <f>VLOOKUP($D1912,설문!$C$2:$G$444,4,FALSE)</f>
        <v>금융회사</v>
      </c>
      <c r="H1912" s="8" t="str">
        <f>VLOOKUP($D1912,설문!$C$2:$G$444,5,FALSE)</f>
        <v>국내주식/지수,국내주식/지수관련파생,해외주식/지수,해외주식/지수관련파생,ELS/DLS</v>
      </c>
    </row>
    <row r="1913" spans="1:8">
      <c r="A1913" s="6" t="s">
        <v>231</v>
      </c>
      <c r="B1913" s="7" t="s">
        <v>232</v>
      </c>
      <c r="C1913" s="7" t="s">
        <v>2018</v>
      </c>
      <c r="D1913" s="7" t="s">
        <v>2023</v>
      </c>
      <c r="E1913" s="6" t="s">
        <v>2024</v>
      </c>
      <c r="F1913" s="8" t="e">
        <f>VLOOKUP($D1913,설문!$C$2:$G$444,3,FALSE)</f>
        <v>#N/A</v>
      </c>
      <c r="G1913" s="8" t="e">
        <f>VLOOKUP($D1913,설문!$C$2:$G$444,4,FALSE)</f>
        <v>#N/A</v>
      </c>
      <c r="H1913" s="8" t="e">
        <f>VLOOKUP($D1913,설문!$C$2:$G$444,5,FALSE)</f>
        <v>#N/A</v>
      </c>
    </row>
    <row r="1914" spans="1:8">
      <c r="A1914" s="6" t="s">
        <v>231</v>
      </c>
      <c r="B1914" s="7" t="s">
        <v>232</v>
      </c>
      <c r="C1914" s="7" t="s">
        <v>2018</v>
      </c>
      <c r="D1914" s="7" t="s">
        <v>2025</v>
      </c>
      <c r="E1914" s="6" t="s">
        <v>404</v>
      </c>
      <c r="F1914" s="8" t="e">
        <f>VLOOKUP($D1914,설문!$C$2:$G$444,3,FALSE)</f>
        <v>#N/A</v>
      </c>
      <c r="G1914" s="8" t="e">
        <f>VLOOKUP($D1914,설문!$C$2:$G$444,4,FALSE)</f>
        <v>#N/A</v>
      </c>
      <c r="H1914" s="8" t="e">
        <f>VLOOKUP($D1914,설문!$C$2:$G$444,5,FALSE)</f>
        <v>#N/A</v>
      </c>
    </row>
    <row r="1915" spans="1:8">
      <c r="A1915" s="6" t="s">
        <v>231</v>
      </c>
      <c r="B1915" s="7" t="s">
        <v>232</v>
      </c>
      <c r="C1915" s="7" t="s">
        <v>1996</v>
      </c>
      <c r="D1915" s="7" t="s">
        <v>2026</v>
      </c>
      <c r="E1915" s="6" t="s">
        <v>2027</v>
      </c>
      <c r="F1915" s="8" t="str">
        <f>VLOOKUP($D1915,설문!$C$2:$G$444,3,FALSE)</f>
        <v>기타,분석 및 전략</v>
      </c>
      <c r="G1915" s="8" t="str">
        <f>VLOOKUP($D1915,설문!$C$2:$G$444,4,FALSE)</f>
        <v>금융회사</v>
      </c>
      <c r="H1915" s="8" t="str">
        <f>VLOOKUP($D1915,설문!$C$2:$G$444,5,FALSE)</f>
        <v>외화 구조화채권,외화 이자율스왑</v>
      </c>
    </row>
    <row r="1916" spans="1:8">
      <c r="A1916" s="6" t="s">
        <v>231</v>
      </c>
      <c r="B1916" s="7" t="s">
        <v>232</v>
      </c>
      <c r="C1916" s="7" t="s">
        <v>2018</v>
      </c>
      <c r="D1916" s="7" t="s">
        <v>2028</v>
      </c>
      <c r="E1916" s="6" t="s">
        <v>2029</v>
      </c>
      <c r="F1916" s="8" t="e">
        <f>VLOOKUP($D1916,설문!$C$2:$G$444,3,FALSE)</f>
        <v>#N/A</v>
      </c>
      <c r="G1916" s="8" t="e">
        <f>VLOOKUP($D1916,설문!$C$2:$G$444,4,FALSE)</f>
        <v>#N/A</v>
      </c>
      <c r="H1916" s="8" t="e">
        <f>VLOOKUP($D1916,설문!$C$2:$G$444,5,FALSE)</f>
        <v>#N/A</v>
      </c>
    </row>
    <row r="1917" spans="1:8">
      <c r="A1917" s="6" t="s">
        <v>231</v>
      </c>
      <c r="B1917" s="7" t="s">
        <v>232</v>
      </c>
      <c r="C1917" s="7" t="s">
        <v>2018</v>
      </c>
      <c r="D1917" s="7" t="s">
        <v>2030</v>
      </c>
      <c r="E1917" s="6" t="s">
        <v>2031</v>
      </c>
      <c r="F1917" s="8" t="e">
        <f>VLOOKUP($D1917,설문!$C$2:$G$444,3,FALSE)</f>
        <v>#N/A</v>
      </c>
      <c r="G1917" s="8" t="e">
        <f>VLOOKUP($D1917,설문!$C$2:$G$444,4,FALSE)</f>
        <v>#N/A</v>
      </c>
      <c r="H1917" s="8" t="e">
        <f>VLOOKUP($D1917,설문!$C$2:$G$444,5,FALSE)</f>
        <v>#N/A</v>
      </c>
    </row>
    <row r="1918" spans="1:8">
      <c r="A1918" s="6" t="s">
        <v>231</v>
      </c>
      <c r="B1918" s="7" t="s">
        <v>232</v>
      </c>
      <c r="C1918" s="7" t="s">
        <v>2018</v>
      </c>
      <c r="D1918" s="7" t="s">
        <v>2032</v>
      </c>
      <c r="E1918" s="6" t="s">
        <v>2033</v>
      </c>
      <c r="F1918" s="8" t="e">
        <f>VLOOKUP($D1918,설문!$C$2:$G$444,3,FALSE)</f>
        <v>#N/A</v>
      </c>
      <c r="G1918" s="8" t="e">
        <f>VLOOKUP($D1918,설문!$C$2:$G$444,4,FALSE)</f>
        <v>#N/A</v>
      </c>
      <c r="H1918" s="8" t="e">
        <f>VLOOKUP($D1918,설문!$C$2:$G$444,5,FALSE)</f>
        <v>#N/A</v>
      </c>
    </row>
    <row r="1919" spans="1:8">
      <c r="A1919" s="6" t="s">
        <v>231</v>
      </c>
      <c r="B1919" s="7" t="s">
        <v>232</v>
      </c>
      <c r="C1919" s="7" t="s">
        <v>2018</v>
      </c>
      <c r="D1919" s="7" t="s">
        <v>2034</v>
      </c>
      <c r="E1919" s="6" t="s">
        <v>2035</v>
      </c>
      <c r="F1919" s="8" t="e">
        <f>VLOOKUP($D1919,설문!$C$2:$G$444,3,FALSE)</f>
        <v>#N/A</v>
      </c>
      <c r="G1919" s="8" t="e">
        <f>VLOOKUP($D1919,설문!$C$2:$G$444,4,FALSE)</f>
        <v>#N/A</v>
      </c>
      <c r="H1919" s="8" t="e">
        <f>VLOOKUP($D1919,설문!$C$2:$G$444,5,FALSE)</f>
        <v>#N/A</v>
      </c>
    </row>
    <row r="1920" spans="1:8">
      <c r="A1920" s="6" t="s">
        <v>231</v>
      </c>
      <c r="B1920" s="7" t="s">
        <v>232</v>
      </c>
      <c r="C1920" s="7" t="s">
        <v>2018</v>
      </c>
      <c r="D1920" s="7" t="s">
        <v>2036</v>
      </c>
      <c r="E1920" s="6" t="s">
        <v>2020</v>
      </c>
      <c r="F1920" s="8" t="e">
        <f>VLOOKUP($D1920,설문!$C$2:$G$444,3,FALSE)</f>
        <v>#N/A</v>
      </c>
      <c r="G1920" s="8" t="e">
        <f>VLOOKUP($D1920,설문!$C$2:$G$444,4,FALSE)</f>
        <v>#N/A</v>
      </c>
      <c r="H1920" s="8" t="e">
        <f>VLOOKUP($D1920,설문!$C$2:$G$444,5,FALSE)</f>
        <v>#N/A</v>
      </c>
    </row>
    <row r="1921" spans="1:8">
      <c r="A1921" s="6" t="s">
        <v>231</v>
      </c>
      <c r="B1921" s="7" t="s">
        <v>232</v>
      </c>
      <c r="C1921" s="7" t="s">
        <v>2018</v>
      </c>
      <c r="D1921" s="7" t="s">
        <v>2037</v>
      </c>
      <c r="E1921" s="6" t="s">
        <v>2038</v>
      </c>
      <c r="F1921" s="8" t="e">
        <f>VLOOKUP($D1921,설문!$C$2:$G$444,3,FALSE)</f>
        <v>#N/A</v>
      </c>
      <c r="G1921" s="8" t="e">
        <f>VLOOKUP($D1921,설문!$C$2:$G$444,4,FALSE)</f>
        <v>#N/A</v>
      </c>
      <c r="H1921" s="8" t="e">
        <f>VLOOKUP($D1921,설문!$C$2:$G$444,5,FALSE)</f>
        <v>#N/A</v>
      </c>
    </row>
    <row r="1922" spans="1:8">
      <c r="A1922" s="6" t="s">
        <v>231</v>
      </c>
      <c r="B1922" s="7" t="s">
        <v>232</v>
      </c>
      <c r="C1922" s="7" t="s">
        <v>2005</v>
      </c>
      <c r="D1922" s="7" t="s">
        <v>2039</v>
      </c>
      <c r="E1922" s="6" t="s">
        <v>2040</v>
      </c>
      <c r="F1922" s="8" t="e">
        <f>VLOOKUP($D1922,설문!$C$2:$G$444,3,FALSE)</f>
        <v>#N/A</v>
      </c>
      <c r="G1922" s="8" t="e">
        <f>VLOOKUP($D1922,설문!$C$2:$G$444,4,FALSE)</f>
        <v>#N/A</v>
      </c>
      <c r="H1922" s="8" t="e">
        <f>VLOOKUP($D1922,설문!$C$2:$G$444,5,FALSE)</f>
        <v>#N/A</v>
      </c>
    </row>
    <row r="1923" spans="1:8">
      <c r="A1923" s="6" t="s">
        <v>231</v>
      </c>
      <c r="B1923" s="7" t="s">
        <v>232</v>
      </c>
      <c r="C1923" s="7" t="s">
        <v>1996</v>
      </c>
      <c r="D1923" s="7" t="s">
        <v>2041</v>
      </c>
      <c r="E1923" s="6" t="s">
        <v>2042</v>
      </c>
      <c r="F1923" s="8" t="e">
        <f>VLOOKUP($D1923,설문!$C$2:$G$444,3,FALSE)</f>
        <v>#N/A</v>
      </c>
      <c r="G1923" s="8" t="e">
        <f>VLOOKUP($D1923,설문!$C$2:$G$444,4,FALSE)</f>
        <v>#N/A</v>
      </c>
      <c r="H1923" s="8" t="e">
        <f>VLOOKUP($D1923,설문!$C$2:$G$444,5,FALSE)</f>
        <v>#N/A</v>
      </c>
    </row>
    <row r="1924" spans="1:8">
      <c r="A1924" s="6" t="s">
        <v>231</v>
      </c>
      <c r="B1924" s="7" t="s">
        <v>232</v>
      </c>
      <c r="C1924" s="7" t="s">
        <v>814</v>
      </c>
      <c r="D1924" s="7" t="s">
        <v>2043</v>
      </c>
      <c r="E1924" s="6" t="s">
        <v>2044</v>
      </c>
      <c r="F1924" s="8" t="e">
        <f>VLOOKUP($D1924,설문!$C$2:$G$444,3,FALSE)</f>
        <v>#N/A</v>
      </c>
      <c r="G1924" s="8" t="e">
        <f>VLOOKUP($D1924,설문!$C$2:$G$444,4,FALSE)</f>
        <v>#N/A</v>
      </c>
      <c r="H1924" s="8" t="e">
        <f>VLOOKUP($D1924,설문!$C$2:$G$444,5,FALSE)</f>
        <v>#N/A</v>
      </c>
    </row>
    <row r="1925" spans="1:8">
      <c r="A1925" s="6" t="s">
        <v>231</v>
      </c>
      <c r="B1925" s="7" t="s">
        <v>232</v>
      </c>
      <c r="C1925" s="7" t="s">
        <v>814</v>
      </c>
      <c r="D1925" s="7" t="s">
        <v>2045</v>
      </c>
      <c r="E1925" s="6" t="s">
        <v>2046</v>
      </c>
      <c r="F1925" s="8" t="e">
        <f>VLOOKUP($D1925,설문!$C$2:$G$444,3,FALSE)</f>
        <v>#N/A</v>
      </c>
      <c r="G1925" s="8" t="e">
        <f>VLOOKUP($D1925,설문!$C$2:$G$444,4,FALSE)</f>
        <v>#N/A</v>
      </c>
      <c r="H1925" s="8" t="e">
        <f>VLOOKUP($D1925,설문!$C$2:$G$444,5,FALSE)</f>
        <v>#N/A</v>
      </c>
    </row>
    <row r="1926" spans="1:8">
      <c r="A1926" s="6" t="s">
        <v>231</v>
      </c>
      <c r="B1926" s="7" t="s">
        <v>232</v>
      </c>
      <c r="C1926" s="7" t="s">
        <v>2005</v>
      </c>
      <c r="D1926" s="7" t="s">
        <v>2047</v>
      </c>
      <c r="E1926" s="6" t="s">
        <v>2048</v>
      </c>
      <c r="F1926" s="8" t="e">
        <f>VLOOKUP($D1926,설문!$C$2:$G$444,3,FALSE)</f>
        <v>#N/A</v>
      </c>
      <c r="G1926" s="8" t="e">
        <f>VLOOKUP($D1926,설문!$C$2:$G$444,4,FALSE)</f>
        <v>#N/A</v>
      </c>
      <c r="H1926" s="8" t="e">
        <f>VLOOKUP($D1926,설문!$C$2:$G$444,5,FALSE)</f>
        <v>#N/A</v>
      </c>
    </row>
    <row r="1927" spans="1:8">
      <c r="A1927" s="6" t="s">
        <v>231</v>
      </c>
      <c r="B1927" s="7" t="s">
        <v>1473</v>
      </c>
      <c r="C1927" s="7" t="s">
        <v>1473</v>
      </c>
      <c r="D1927" s="7" t="s">
        <v>2049</v>
      </c>
      <c r="E1927" s="6" t="s">
        <v>2050</v>
      </c>
      <c r="F1927" s="8" t="str">
        <f>VLOOKUP($D1927,설문!$C$2:$G$444,3,FALSE)</f>
        <v>기타</v>
      </c>
      <c r="G1927" s="8" t="str">
        <f>VLOOKUP($D1927,설문!$C$2:$G$444,4,FALSE)</f>
        <v>금융회사</v>
      </c>
      <c r="H1927" s="8" t="str">
        <f>VLOOKUP($D1927,설문!$C$2:$G$444,5,FALSE)</f>
        <v>국내주식/지수,국고채/통안채,회사채,단기자금,Korean Paper,외화채권(KP제외),원화 구조화채권,외화 구조화채권,외화 이자율스왑,FX Spot &amp; FX Swap,해외주식/지수,ETF/ETN,ELS/DLS,대체투자(부동산/인프라)</v>
      </c>
    </row>
    <row r="1928" spans="1:8">
      <c r="A1928" s="6" t="s">
        <v>231</v>
      </c>
      <c r="B1928" s="7" t="s">
        <v>2051</v>
      </c>
      <c r="C1928" s="7" t="s">
        <v>2052</v>
      </c>
      <c r="D1928" s="7" t="s">
        <v>2053</v>
      </c>
      <c r="E1928" s="6" t="s">
        <v>2054</v>
      </c>
      <c r="F1928" s="8" t="e">
        <f>VLOOKUP($D1928,설문!$C$2:$G$444,3,FALSE)</f>
        <v>#N/A</v>
      </c>
      <c r="G1928" s="8" t="e">
        <f>VLOOKUP($D1928,설문!$C$2:$G$444,4,FALSE)</f>
        <v>#N/A</v>
      </c>
      <c r="H1928" s="8" t="e">
        <f>VLOOKUP($D1928,설문!$C$2:$G$444,5,FALSE)</f>
        <v>#N/A</v>
      </c>
    </row>
    <row r="1929" spans="1:8">
      <c r="A1929" s="6" t="s">
        <v>231</v>
      </c>
      <c r="B1929" s="7" t="s">
        <v>232</v>
      </c>
      <c r="C1929" s="7" t="s">
        <v>2055</v>
      </c>
      <c r="D1929" s="7" t="s">
        <v>2056</v>
      </c>
      <c r="E1929" s="6" t="s">
        <v>2057</v>
      </c>
      <c r="F1929" s="8" t="e">
        <f>VLOOKUP($D1929,설문!$C$2:$G$444,3,FALSE)</f>
        <v>#N/A</v>
      </c>
      <c r="G1929" s="8" t="e">
        <f>VLOOKUP($D1929,설문!$C$2:$G$444,4,FALSE)</f>
        <v>#N/A</v>
      </c>
      <c r="H1929" s="8" t="e">
        <f>VLOOKUP($D1929,설문!$C$2:$G$444,5,FALSE)</f>
        <v>#N/A</v>
      </c>
    </row>
    <row r="1930" spans="1:8">
      <c r="A1930" s="6" t="s">
        <v>231</v>
      </c>
      <c r="B1930" s="7" t="s">
        <v>232</v>
      </c>
      <c r="C1930" s="7" t="s">
        <v>2058</v>
      </c>
      <c r="D1930" s="7" t="s">
        <v>2059</v>
      </c>
      <c r="E1930" s="6" t="s">
        <v>2060</v>
      </c>
      <c r="F1930" s="8" t="e">
        <f>VLOOKUP($D1930,설문!$C$2:$G$444,3,FALSE)</f>
        <v>#N/A</v>
      </c>
      <c r="G1930" s="8" t="e">
        <f>VLOOKUP($D1930,설문!$C$2:$G$444,4,FALSE)</f>
        <v>#N/A</v>
      </c>
      <c r="H1930" s="8" t="e">
        <f>VLOOKUP($D1930,설문!$C$2:$G$444,5,FALSE)</f>
        <v>#N/A</v>
      </c>
    </row>
    <row r="1931" spans="1:8">
      <c r="A1931" s="6" t="s">
        <v>231</v>
      </c>
      <c r="B1931" s="7" t="s">
        <v>232</v>
      </c>
      <c r="C1931" s="7" t="s">
        <v>2061</v>
      </c>
      <c r="D1931" s="7" t="s">
        <v>2062</v>
      </c>
      <c r="E1931" s="6" t="s">
        <v>2063</v>
      </c>
      <c r="F1931" s="8" t="e">
        <f>VLOOKUP($D1931,설문!$C$2:$G$444,3,FALSE)</f>
        <v>#N/A</v>
      </c>
      <c r="G1931" s="8" t="e">
        <f>VLOOKUP($D1931,설문!$C$2:$G$444,4,FALSE)</f>
        <v>#N/A</v>
      </c>
      <c r="H1931" s="8" t="e">
        <f>VLOOKUP($D1931,설문!$C$2:$G$444,5,FALSE)</f>
        <v>#N/A</v>
      </c>
    </row>
    <row r="1932" spans="1:8">
      <c r="A1932" s="6" t="s">
        <v>901</v>
      </c>
      <c r="B1932" s="7" t="s">
        <v>9</v>
      </c>
      <c r="C1932" s="7" t="s">
        <v>9</v>
      </c>
      <c r="D1932" s="7" t="s">
        <v>902</v>
      </c>
      <c r="E1932" s="6" t="s">
        <v>903</v>
      </c>
      <c r="F1932" s="8" t="e">
        <f>VLOOKUP($D1932,설문!$C$2:$G$444,3,FALSE)</f>
        <v>#N/A</v>
      </c>
      <c r="G1932" s="8" t="e">
        <f>VLOOKUP($D1932,설문!$C$2:$G$444,4,FALSE)</f>
        <v>#N/A</v>
      </c>
      <c r="H1932" s="8" t="e">
        <f>VLOOKUP($D1932,설문!$C$2:$G$444,5,FALSE)</f>
        <v>#N/A</v>
      </c>
    </row>
    <row r="1933" spans="1:8">
      <c r="A1933" s="6" t="s">
        <v>22</v>
      </c>
      <c r="B1933" s="7" t="s">
        <v>9</v>
      </c>
      <c r="C1933" s="7" t="s">
        <v>9</v>
      </c>
      <c r="D1933" s="7" t="s">
        <v>23</v>
      </c>
      <c r="E1933" s="6" t="s">
        <v>24</v>
      </c>
      <c r="F1933" s="8" t="e">
        <f>VLOOKUP($D1933,설문!$C$2:$G$444,3,FALSE)</f>
        <v>#N/A</v>
      </c>
      <c r="G1933" s="8" t="e">
        <f>VLOOKUP($D1933,설문!$C$2:$G$444,4,FALSE)</f>
        <v>#N/A</v>
      </c>
      <c r="H1933" s="8" t="e">
        <f>VLOOKUP($D1933,설문!$C$2:$G$444,5,FALSE)</f>
        <v>#N/A</v>
      </c>
    </row>
    <row r="1934" spans="1:8">
      <c r="A1934" s="6" t="s">
        <v>22</v>
      </c>
      <c r="B1934" s="7" t="s">
        <v>9</v>
      </c>
      <c r="C1934" s="7" t="s">
        <v>9</v>
      </c>
      <c r="D1934" s="7" t="s">
        <v>25</v>
      </c>
      <c r="E1934" s="6" t="s">
        <v>26</v>
      </c>
      <c r="F1934" s="8" t="e">
        <f>VLOOKUP($D1934,설문!$C$2:$G$444,3,FALSE)</f>
        <v>#N/A</v>
      </c>
      <c r="G1934" s="8" t="e">
        <f>VLOOKUP($D1934,설문!$C$2:$G$444,4,FALSE)</f>
        <v>#N/A</v>
      </c>
      <c r="H1934" s="8" t="e">
        <f>VLOOKUP($D1934,설문!$C$2:$G$444,5,FALSE)</f>
        <v>#N/A</v>
      </c>
    </row>
    <row r="1935" spans="1:8">
      <c r="A1935" s="6" t="s">
        <v>22</v>
      </c>
      <c r="B1935" s="7" t="s">
        <v>9</v>
      </c>
      <c r="C1935" s="7" t="s">
        <v>9</v>
      </c>
      <c r="D1935" s="7" t="s">
        <v>27</v>
      </c>
      <c r="E1935" s="6" t="s">
        <v>28</v>
      </c>
      <c r="F1935" s="8" t="e">
        <f>VLOOKUP($D1935,설문!$C$2:$G$444,3,FALSE)</f>
        <v>#N/A</v>
      </c>
      <c r="G1935" s="8" t="e">
        <f>VLOOKUP($D1935,설문!$C$2:$G$444,4,FALSE)</f>
        <v>#N/A</v>
      </c>
      <c r="H1935" s="8" t="e">
        <f>VLOOKUP($D1935,설문!$C$2:$G$444,5,FALSE)</f>
        <v>#N/A</v>
      </c>
    </row>
    <row r="1936" spans="1:8">
      <c r="A1936" s="6" t="s">
        <v>68</v>
      </c>
      <c r="B1936" s="7" t="s">
        <v>69</v>
      </c>
      <c r="C1936" s="7" t="s">
        <v>70</v>
      </c>
      <c r="D1936" s="7" t="s">
        <v>71</v>
      </c>
      <c r="E1936" s="6" t="s">
        <v>72</v>
      </c>
      <c r="F1936" s="8" t="e">
        <f>VLOOKUP($D1936,설문!$C$2:$G$444,3,FALSE)</f>
        <v>#N/A</v>
      </c>
      <c r="G1936" s="8" t="e">
        <f>VLOOKUP($D1936,설문!$C$2:$G$444,4,FALSE)</f>
        <v>#N/A</v>
      </c>
      <c r="H1936" s="8" t="e">
        <f>VLOOKUP($D1936,설문!$C$2:$G$444,5,FALSE)</f>
        <v>#N/A</v>
      </c>
    </row>
    <row r="1937" spans="1:8">
      <c r="A1937" s="6" t="s">
        <v>68</v>
      </c>
      <c r="B1937" s="7" t="s">
        <v>589</v>
      </c>
      <c r="C1937" s="7" t="s">
        <v>589</v>
      </c>
      <c r="D1937" s="7" t="s">
        <v>590</v>
      </c>
      <c r="E1937" s="6" t="s">
        <v>591</v>
      </c>
      <c r="F1937" s="8" t="e">
        <f>VLOOKUP($D1937,설문!$C$2:$G$444,3,FALSE)</f>
        <v>#N/A</v>
      </c>
      <c r="G1937" s="8" t="e">
        <f>VLOOKUP($D1937,설문!$C$2:$G$444,4,FALSE)</f>
        <v>#N/A</v>
      </c>
      <c r="H1937" s="8" t="e">
        <f>VLOOKUP($D1937,설문!$C$2:$G$444,5,FALSE)</f>
        <v>#N/A</v>
      </c>
    </row>
    <row r="1938" spans="1:8">
      <c r="A1938" s="6" t="s">
        <v>68</v>
      </c>
      <c r="B1938" s="7" t="s">
        <v>589</v>
      </c>
      <c r="C1938" s="7" t="s">
        <v>589</v>
      </c>
      <c r="D1938" s="7" t="s">
        <v>592</v>
      </c>
      <c r="E1938" s="6" t="s">
        <v>593</v>
      </c>
      <c r="F1938" s="8" t="e">
        <f>VLOOKUP($D1938,설문!$C$2:$G$444,3,FALSE)</f>
        <v>#N/A</v>
      </c>
      <c r="G1938" s="8" t="e">
        <f>VLOOKUP($D1938,설문!$C$2:$G$444,4,FALSE)</f>
        <v>#N/A</v>
      </c>
      <c r="H1938" s="8" t="e">
        <f>VLOOKUP($D1938,설문!$C$2:$G$444,5,FALSE)</f>
        <v>#N/A</v>
      </c>
    </row>
    <row r="1939" spans="1:8">
      <c r="A1939" s="6" t="s">
        <v>68</v>
      </c>
      <c r="B1939" s="7" t="s">
        <v>2249</v>
      </c>
      <c r="C1939" s="7" t="s">
        <v>2249</v>
      </c>
      <c r="D1939" s="7" t="s">
        <v>2250</v>
      </c>
      <c r="E1939" s="6" t="s">
        <v>2251</v>
      </c>
      <c r="F1939" s="8" t="e">
        <f>VLOOKUP($D1939,설문!$C$2:$G$444,3,FALSE)</f>
        <v>#N/A</v>
      </c>
      <c r="G1939" s="8" t="e">
        <f>VLOOKUP($D1939,설문!$C$2:$G$444,4,FALSE)</f>
        <v>#N/A</v>
      </c>
      <c r="H1939" s="8" t="e">
        <f>VLOOKUP($D1939,설문!$C$2:$G$444,5,FALSE)</f>
        <v>#N/A</v>
      </c>
    </row>
    <row r="1940" spans="1:8">
      <c r="A1940" s="6" t="s">
        <v>68</v>
      </c>
      <c r="B1940" s="7" t="s">
        <v>2249</v>
      </c>
      <c r="C1940" s="7" t="s">
        <v>2249</v>
      </c>
      <c r="D1940" s="7" t="s">
        <v>2252</v>
      </c>
      <c r="E1940" s="6" t="s">
        <v>2253</v>
      </c>
      <c r="F1940" s="8" t="e">
        <f>VLOOKUP($D1940,설문!$C$2:$G$444,3,FALSE)</f>
        <v>#N/A</v>
      </c>
      <c r="G1940" s="8" t="e">
        <f>VLOOKUP($D1940,설문!$C$2:$G$444,4,FALSE)</f>
        <v>#N/A</v>
      </c>
      <c r="H1940" s="8" t="e">
        <f>VLOOKUP($D1940,설문!$C$2:$G$444,5,FALSE)</f>
        <v>#N/A</v>
      </c>
    </row>
    <row r="1941" spans="1:8">
      <c r="A1941" s="6" t="s">
        <v>68</v>
      </c>
      <c r="B1941" s="7" t="s">
        <v>2249</v>
      </c>
      <c r="C1941" s="7" t="s">
        <v>2249</v>
      </c>
      <c r="D1941" s="7" t="s">
        <v>2254</v>
      </c>
      <c r="E1941" s="6" t="s">
        <v>2255</v>
      </c>
      <c r="F1941" s="8" t="e">
        <f>VLOOKUP($D1941,설문!$C$2:$G$444,3,FALSE)</f>
        <v>#N/A</v>
      </c>
      <c r="G1941" s="8" t="e">
        <f>VLOOKUP($D1941,설문!$C$2:$G$444,4,FALSE)</f>
        <v>#N/A</v>
      </c>
      <c r="H1941" s="8" t="e">
        <f>VLOOKUP($D1941,설문!$C$2:$G$444,5,FALSE)</f>
        <v>#N/A</v>
      </c>
    </row>
    <row r="1942" spans="1:8">
      <c r="A1942" s="6" t="s">
        <v>68</v>
      </c>
      <c r="B1942" s="7" t="s">
        <v>134</v>
      </c>
      <c r="C1942" s="7" t="s">
        <v>134</v>
      </c>
      <c r="D1942" s="7" t="s">
        <v>2256</v>
      </c>
      <c r="E1942" s="6" t="s">
        <v>2257</v>
      </c>
      <c r="F1942" s="8" t="e">
        <f>VLOOKUP($D1942,설문!$C$2:$G$444,3,FALSE)</f>
        <v>#N/A</v>
      </c>
      <c r="G1942" s="8" t="e">
        <f>VLOOKUP($D1942,설문!$C$2:$G$444,4,FALSE)</f>
        <v>#N/A</v>
      </c>
      <c r="H1942" s="8" t="e">
        <f>VLOOKUP($D1942,설문!$C$2:$G$444,5,FALSE)</f>
        <v>#N/A</v>
      </c>
    </row>
    <row r="1943" spans="1:8">
      <c r="A1943" s="6" t="s">
        <v>68</v>
      </c>
      <c r="B1943" s="7" t="s">
        <v>134</v>
      </c>
      <c r="C1943" s="7" t="s">
        <v>134</v>
      </c>
      <c r="D1943" s="7" t="s">
        <v>2258</v>
      </c>
      <c r="E1943" s="6" t="s">
        <v>777</v>
      </c>
      <c r="F1943" s="8" t="str">
        <f>VLOOKUP($D1943,설문!$C$2:$G$444,3,FALSE)</f>
        <v>펀드매니저</v>
      </c>
      <c r="G1943" s="8" t="str">
        <f>VLOOKUP($D1943,설문!$C$2:$G$444,4,FALSE)</f>
        <v>금융회사</v>
      </c>
      <c r="H1943" s="8" t="str">
        <f>VLOOKUP($D1943,설문!$C$2:$G$444,5,FALSE)</f>
        <v>국고채/통안채,회사채,단기자금,국채선물,Korean Paper,외화채권(KP제외),원화 구조화채권,외화 구조화채권,원화 이자율스왑,외화 이자율스왑,FX Spot &amp; FX Swap,CRS &amp; FX Option,ELS/DLS</v>
      </c>
    </row>
    <row r="1944" spans="1:8">
      <c r="A1944" s="6" t="s">
        <v>4965</v>
      </c>
      <c r="B1944" s="7" t="s">
        <v>4966</v>
      </c>
      <c r="C1944" s="7" t="s">
        <v>9</v>
      </c>
      <c r="D1944" s="7" t="s">
        <v>4967</v>
      </c>
      <c r="E1944" s="6" t="s">
        <v>4968</v>
      </c>
      <c r="F1944" s="8" t="e">
        <f>VLOOKUP($D1944,설문!$C$2:$G$444,3,FALSE)</f>
        <v>#N/A</v>
      </c>
      <c r="G1944" s="8" t="e">
        <f>VLOOKUP($D1944,설문!$C$2:$G$444,4,FALSE)</f>
        <v>#N/A</v>
      </c>
      <c r="H1944" s="8" t="e">
        <f>VLOOKUP($D1944,설문!$C$2:$G$444,5,FALSE)</f>
        <v>#N/A</v>
      </c>
    </row>
    <row r="1945" spans="1:8">
      <c r="A1945" s="6" t="s">
        <v>4965</v>
      </c>
      <c r="B1945" s="7" t="s">
        <v>4966</v>
      </c>
      <c r="C1945" s="7" t="s">
        <v>9</v>
      </c>
      <c r="D1945" s="7" t="s">
        <v>4969</v>
      </c>
      <c r="E1945" s="6" t="s">
        <v>4968</v>
      </c>
      <c r="F1945" s="8" t="e">
        <f>VLOOKUP($D1945,설문!$C$2:$G$444,3,FALSE)</f>
        <v>#N/A</v>
      </c>
      <c r="G1945" s="8" t="e">
        <f>VLOOKUP($D1945,설문!$C$2:$G$444,4,FALSE)</f>
        <v>#N/A</v>
      </c>
      <c r="H1945" s="8" t="e">
        <f>VLOOKUP($D1945,설문!$C$2:$G$444,5,FALSE)</f>
        <v>#N/A</v>
      </c>
    </row>
    <row r="1946" spans="1:8">
      <c r="A1946" s="6" t="s">
        <v>4965</v>
      </c>
      <c r="B1946" s="7" t="s">
        <v>4970</v>
      </c>
      <c r="C1946" s="7" t="s">
        <v>202</v>
      </c>
      <c r="D1946" s="7" t="s">
        <v>4971</v>
      </c>
      <c r="E1946" s="6" t="s">
        <v>186</v>
      </c>
      <c r="F1946" s="8" t="e">
        <f>VLOOKUP($D1946,설문!$C$2:$G$444,3,FALSE)</f>
        <v>#N/A</v>
      </c>
      <c r="G1946" s="8" t="e">
        <f>VLOOKUP($D1946,설문!$C$2:$G$444,4,FALSE)</f>
        <v>#N/A</v>
      </c>
      <c r="H1946" s="8" t="e">
        <f>VLOOKUP($D1946,설문!$C$2:$G$444,5,FALSE)</f>
        <v>#N/A</v>
      </c>
    </row>
    <row r="1947" spans="1:8">
      <c r="A1947" s="6" t="s">
        <v>4965</v>
      </c>
      <c r="B1947" s="7" t="s">
        <v>4972</v>
      </c>
      <c r="C1947" s="7" t="s">
        <v>202</v>
      </c>
      <c r="D1947" s="7" t="s">
        <v>4973</v>
      </c>
      <c r="E1947" s="6" t="s">
        <v>4974</v>
      </c>
      <c r="F1947" s="8" t="e">
        <f>VLOOKUP($D1947,설문!$C$2:$G$444,3,FALSE)</f>
        <v>#N/A</v>
      </c>
      <c r="G1947" s="8" t="e">
        <f>VLOOKUP($D1947,설문!$C$2:$G$444,4,FALSE)</f>
        <v>#N/A</v>
      </c>
      <c r="H1947" s="8" t="e">
        <f>VLOOKUP($D1947,설문!$C$2:$G$444,5,FALSE)</f>
        <v>#N/A</v>
      </c>
    </row>
    <row r="1948" spans="1:8">
      <c r="A1948" s="6" t="s">
        <v>4965</v>
      </c>
      <c r="B1948" s="7" t="s">
        <v>4975</v>
      </c>
      <c r="C1948" s="7" t="s">
        <v>4818</v>
      </c>
      <c r="D1948" s="7" t="s">
        <v>4976</v>
      </c>
      <c r="E1948" s="6" t="s">
        <v>2331</v>
      </c>
      <c r="F1948" s="8" t="e">
        <f>VLOOKUP($D1948,설문!$C$2:$G$444,3,FALSE)</f>
        <v>#N/A</v>
      </c>
      <c r="G1948" s="8" t="e">
        <f>VLOOKUP($D1948,설문!$C$2:$G$444,4,FALSE)</f>
        <v>#N/A</v>
      </c>
      <c r="H1948" s="8" t="e">
        <f>VLOOKUP($D1948,설문!$C$2:$G$444,5,FALSE)</f>
        <v>#N/A</v>
      </c>
    </row>
    <row r="1949" spans="1:8">
      <c r="A1949" s="6" t="s">
        <v>4965</v>
      </c>
      <c r="B1949" s="7" t="s">
        <v>4972</v>
      </c>
      <c r="C1949" s="7" t="s">
        <v>202</v>
      </c>
      <c r="D1949" s="7" t="s">
        <v>4977</v>
      </c>
      <c r="E1949" s="6" t="s">
        <v>4978</v>
      </c>
      <c r="F1949" s="8" t="e">
        <f>VLOOKUP($D1949,설문!$C$2:$G$444,3,FALSE)</f>
        <v>#N/A</v>
      </c>
      <c r="G1949" s="8" t="e">
        <f>VLOOKUP($D1949,설문!$C$2:$G$444,4,FALSE)</f>
        <v>#N/A</v>
      </c>
      <c r="H1949" s="8" t="e">
        <f>VLOOKUP($D1949,설문!$C$2:$G$444,5,FALSE)</f>
        <v>#N/A</v>
      </c>
    </row>
    <row r="1950" spans="1:8">
      <c r="A1950" s="6" t="s">
        <v>4965</v>
      </c>
      <c r="B1950" s="7" t="s">
        <v>4972</v>
      </c>
      <c r="C1950" s="7" t="s">
        <v>202</v>
      </c>
      <c r="D1950" s="7" t="s">
        <v>4979</v>
      </c>
      <c r="E1950" s="6" t="s">
        <v>4980</v>
      </c>
      <c r="F1950" s="8" t="e">
        <f>VLOOKUP($D1950,설문!$C$2:$G$444,3,FALSE)</f>
        <v>#N/A</v>
      </c>
      <c r="G1950" s="8" t="e">
        <f>VLOOKUP($D1950,설문!$C$2:$G$444,4,FALSE)</f>
        <v>#N/A</v>
      </c>
      <c r="H1950" s="8" t="e">
        <f>VLOOKUP($D1950,설문!$C$2:$G$444,5,FALSE)</f>
        <v>#N/A</v>
      </c>
    </row>
    <row r="1951" spans="1:8">
      <c r="A1951" s="6" t="s">
        <v>4965</v>
      </c>
      <c r="B1951" s="7" t="s">
        <v>4809</v>
      </c>
      <c r="C1951" s="7" t="s">
        <v>0</v>
      </c>
      <c r="D1951" s="7" t="s">
        <v>4981</v>
      </c>
      <c r="E1951" s="6" t="s">
        <v>2331</v>
      </c>
      <c r="F1951" s="8" t="e">
        <f>VLOOKUP($D1951,설문!$C$2:$G$444,3,FALSE)</f>
        <v>#N/A</v>
      </c>
      <c r="G1951" s="8" t="e">
        <f>VLOOKUP($D1951,설문!$C$2:$G$444,4,FALSE)</f>
        <v>#N/A</v>
      </c>
      <c r="H1951" s="8" t="e">
        <f>VLOOKUP($D1951,설문!$C$2:$G$444,5,FALSE)</f>
        <v>#N/A</v>
      </c>
    </row>
    <row r="1952" spans="1:8">
      <c r="A1952" s="6" t="s">
        <v>4965</v>
      </c>
      <c r="B1952" s="7" t="s">
        <v>4982</v>
      </c>
      <c r="C1952" s="7" t="s">
        <v>202</v>
      </c>
      <c r="D1952" s="7" t="s">
        <v>4983</v>
      </c>
      <c r="E1952" s="6" t="s">
        <v>4984</v>
      </c>
      <c r="F1952" s="8" t="e">
        <f>VLOOKUP($D1952,설문!$C$2:$G$444,3,FALSE)</f>
        <v>#N/A</v>
      </c>
      <c r="G1952" s="8" t="e">
        <f>VLOOKUP($D1952,설문!$C$2:$G$444,4,FALSE)</f>
        <v>#N/A</v>
      </c>
      <c r="H1952" s="8" t="e">
        <f>VLOOKUP($D1952,설문!$C$2:$G$444,5,FALSE)</f>
        <v>#N/A</v>
      </c>
    </row>
    <row r="1953" spans="1:8">
      <c r="A1953" s="6" t="s">
        <v>4965</v>
      </c>
      <c r="B1953" s="7" t="s">
        <v>4985</v>
      </c>
      <c r="C1953" s="7" t="s">
        <v>202</v>
      </c>
      <c r="D1953" s="7" t="s">
        <v>4986</v>
      </c>
      <c r="E1953" s="6" t="s">
        <v>4987</v>
      </c>
      <c r="F1953" s="8" t="e">
        <f>VLOOKUP($D1953,설문!$C$2:$G$444,3,FALSE)</f>
        <v>#N/A</v>
      </c>
      <c r="G1953" s="8" t="e">
        <f>VLOOKUP($D1953,설문!$C$2:$G$444,4,FALSE)</f>
        <v>#N/A</v>
      </c>
      <c r="H1953" s="8" t="e">
        <f>VLOOKUP($D1953,설문!$C$2:$G$444,5,FALSE)</f>
        <v>#N/A</v>
      </c>
    </row>
    <row r="1954" spans="1:8">
      <c r="A1954" s="6" t="s">
        <v>4965</v>
      </c>
      <c r="B1954" s="7" t="s">
        <v>4988</v>
      </c>
      <c r="C1954" s="7" t="s">
        <v>202</v>
      </c>
      <c r="D1954" s="7" t="s">
        <v>4989</v>
      </c>
      <c r="E1954" s="6" t="s">
        <v>1843</v>
      </c>
      <c r="F1954" s="8" t="e">
        <f>VLOOKUP($D1954,설문!$C$2:$G$444,3,FALSE)</f>
        <v>#N/A</v>
      </c>
      <c r="G1954" s="8" t="e">
        <f>VLOOKUP($D1954,설문!$C$2:$G$444,4,FALSE)</f>
        <v>#N/A</v>
      </c>
      <c r="H1954" s="8" t="e">
        <f>VLOOKUP($D1954,설문!$C$2:$G$444,5,FALSE)</f>
        <v>#N/A</v>
      </c>
    </row>
    <row r="1955" spans="1:8">
      <c r="A1955" s="6" t="s">
        <v>4965</v>
      </c>
      <c r="B1955" s="7" t="s">
        <v>4988</v>
      </c>
      <c r="C1955" s="7" t="s">
        <v>202</v>
      </c>
      <c r="D1955" s="7" t="s">
        <v>4990</v>
      </c>
      <c r="E1955" s="6" t="s">
        <v>4991</v>
      </c>
      <c r="F1955" s="8" t="e">
        <f>VLOOKUP($D1955,설문!$C$2:$G$444,3,FALSE)</f>
        <v>#N/A</v>
      </c>
      <c r="G1955" s="8" t="e">
        <f>VLOOKUP($D1955,설문!$C$2:$G$444,4,FALSE)</f>
        <v>#N/A</v>
      </c>
      <c r="H1955" s="8" t="e">
        <f>VLOOKUP($D1955,설문!$C$2:$G$444,5,FALSE)</f>
        <v>#N/A</v>
      </c>
    </row>
    <row r="1956" spans="1:8">
      <c r="A1956" s="6" t="s">
        <v>4965</v>
      </c>
      <c r="B1956" s="7" t="s">
        <v>4970</v>
      </c>
      <c r="C1956" s="7" t="s">
        <v>202</v>
      </c>
      <c r="D1956" s="7" t="s">
        <v>4992</v>
      </c>
      <c r="E1956" s="6" t="s">
        <v>4993</v>
      </c>
      <c r="F1956" s="8" t="e">
        <f>VLOOKUP($D1956,설문!$C$2:$G$444,3,FALSE)</f>
        <v>#N/A</v>
      </c>
      <c r="G1956" s="8" t="e">
        <f>VLOOKUP($D1956,설문!$C$2:$G$444,4,FALSE)</f>
        <v>#N/A</v>
      </c>
      <c r="H1956" s="8" t="e">
        <f>VLOOKUP($D1956,설문!$C$2:$G$444,5,FALSE)</f>
        <v>#N/A</v>
      </c>
    </row>
    <row r="1957" spans="1:8">
      <c r="A1957" s="6" t="s">
        <v>674</v>
      </c>
      <c r="B1957" s="7" t="s">
        <v>675</v>
      </c>
      <c r="C1957" s="7" t="s">
        <v>676</v>
      </c>
      <c r="D1957" s="7" t="s">
        <v>677</v>
      </c>
      <c r="E1957" s="6" t="s">
        <v>678</v>
      </c>
      <c r="F1957" s="8" t="e">
        <f>VLOOKUP($D1957,설문!$C$2:$G$444,3,FALSE)</f>
        <v>#N/A</v>
      </c>
      <c r="G1957" s="8" t="e">
        <f>VLOOKUP($D1957,설문!$C$2:$G$444,4,FALSE)</f>
        <v>#N/A</v>
      </c>
      <c r="H1957" s="8" t="e">
        <f>VLOOKUP($D1957,설문!$C$2:$G$444,5,FALSE)</f>
        <v>#N/A</v>
      </c>
    </row>
    <row r="1958" spans="1:8">
      <c r="A1958" s="6" t="s">
        <v>674</v>
      </c>
      <c r="B1958" s="7" t="s">
        <v>374</v>
      </c>
      <c r="C1958" s="7" t="s">
        <v>374</v>
      </c>
      <c r="D1958" s="7" t="s">
        <v>767</v>
      </c>
      <c r="E1958" s="6" t="s">
        <v>768</v>
      </c>
      <c r="F1958" s="8" t="e">
        <f>VLOOKUP($D1958,설문!$C$2:$G$444,3,FALSE)</f>
        <v>#N/A</v>
      </c>
      <c r="G1958" s="8" t="e">
        <f>VLOOKUP($D1958,설문!$C$2:$G$444,4,FALSE)</f>
        <v>#N/A</v>
      </c>
      <c r="H1958" s="8" t="e">
        <f>VLOOKUP($D1958,설문!$C$2:$G$444,5,FALSE)</f>
        <v>#N/A</v>
      </c>
    </row>
    <row r="1959" spans="1:8">
      <c r="A1959" s="6" t="s">
        <v>674</v>
      </c>
      <c r="B1959" s="7" t="s">
        <v>374</v>
      </c>
      <c r="C1959" s="7" t="s">
        <v>374</v>
      </c>
      <c r="D1959" s="7" t="s">
        <v>769</v>
      </c>
      <c r="E1959" s="6" t="s">
        <v>770</v>
      </c>
      <c r="F1959" s="8" t="e">
        <f>VLOOKUP($D1959,설문!$C$2:$G$444,3,FALSE)</f>
        <v>#N/A</v>
      </c>
      <c r="G1959" s="8" t="e">
        <f>VLOOKUP($D1959,설문!$C$2:$G$444,4,FALSE)</f>
        <v>#N/A</v>
      </c>
      <c r="H1959" s="8" t="e">
        <f>VLOOKUP($D1959,설문!$C$2:$G$444,5,FALSE)</f>
        <v>#N/A</v>
      </c>
    </row>
    <row r="1960" spans="1:8">
      <c r="A1960" s="6" t="s">
        <v>674</v>
      </c>
      <c r="B1960" s="7" t="s">
        <v>834</v>
      </c>
      <c r="C1960" s="7" t="s">
        <v>834</v>
      </c>
      <c r="D1960" s="7" t="s">
        <v>835</v>
      </c>
      <c r="E1960" s="6" t="s">
        <v>836</v>
      </c>
      <c r="F1960" s="8" t="str">
        <f>VLOOKUP($D1960,설문!$C$2:$G$444,3,FALSE)</f>
        <v>트레이더</v>
      </c>
      <c r="G1960" s="8" t="str">
        <f>VLOOKUP($D1960,설문!$C$2:$G$444,4,FALSE)</f>
        <v>기타</v>
      </c>
      <c r="H1960" s="8" t="str">
        <f>VLOOKUP($D1960,설문!$C$2:$G$444,5,FALSE)</f>
        <v>국내주식/지수관련파생,해외주식/지수관련파생</v>
      </c>
    </row>
    <row r="1961" spans="1:8">
      <c r="A1961" s="6" t="s">
        <v>674</v>
      </c>
      <c r="B1961" s="7" t="s">
        <v>847</v>
      </c>
      <c r="C1961" s="7" t="s">
        <v>847</v>
      </c>
      <c r="D1961" s="7" t="s">
        <v>848</v>
      </c>
      <c r="E1961" s="6" t="s">
        <v>849</v>
      </c>
      <c r="F1961" s="8" t="e">
        <f>VLOOKUP($D1961,설문!$C$2:$G$444,3,FALSE)</f>
        <v>#N/A</v>
      </c>
      <c r="G1961" s="8" t="e">
        <f>VLOOKUP($D1961,설문!$C$2:$G$444,4,FALSE)</f>
        <v>#N/A</v>
      </c>
      <c r="H1961" s="8" t="e">
        <f>VLOOKUP($D1961,설문!$C$2:$G$444,5,FALSE)</f>
        <v>#N/A</v>
      </c>
    </row>
    <row r="1962" spans="1:8">
      <c r="A1962" s="6" t="s">
        <v>674</v>
      </c>
      <c r="B1962" s="7" t="s">
        <v>1155</v>
      </c>
      <c r="C1962" s="7" t="s">
        <v>1155</v>
      </c>
      <c r="D1962" s="7" t="s">
        <v>1156</v>
      </c>
      <c r="E1962" s="6" t="s">
        <v>1157</v>
      </c>
      <c r="F1962" s="8" t="e">
        <f>VLOOKUP($D1962,설문!$C$2:$G$444,3,FALSE)</f>
        <v>#N/A</v>
      </c>
      <c r="G1962" s="8" t="e">
        <f>VLOOKUP($D1962,설문!$C$2:$G$444,4,FALSE)</f>
        <v>#N/A</v>
      </c>
      <c r="H1962" s="8" t="e">
        <f>VLOOKUP($D1962,설문!$C$2:$G$444,5,FALSE)</f>
        <v>#N/A</v>
      </c>
    </row>
    <row r="1963" spans="1:8">
      <c r="A1963" s="6" t="s">
        <v>674</v>
      </c>
      <c r="B1963" s="7" t="s">
        <v>1155</v>
      </c>
      <c r="C1963" s="7" t="s">
        <v>1155</v>
      </c>
      <c r="D1963" s="7" t="s">
        <v>1158</v>
      </c>
      <c r="E1963" s="6" t="s">
        <v>1159</v>
      </c>
      <c r="F1963" s="8" t="e">
        <f>VLOOKUP($D1963,설문!$C$2:$G$444,3,FALSE)</f>
        <v>#N/A</v>
      </c>
      <c r="G1963" s="8" t="e">
        <f>VLOOKUP($D1963,설문!$C$2:$G$444,4,FALSE)</f>
        <v>#N/A</v>
      </c>
      <c r="H1963" s="8" t="e">
        <f>VLOOKUP($D1963,설문!$C$2:$G$444,5,FALSE)</f>
        <v>#N/A</v>
      </c>
    </row>
    <row r="1964" spans="1:8">
      <c r="A1964" s="6" t="s">
        <v>674</v>
      </c>
      <c r="B1964" s="7" t="s">
        <v>675</v>
      </c>
      <c r="C1964" s="7" t="s">
        <v>675</v>
      </c>
      <c r="D1964" s="7" t="s">
        <v>1400</v>
      </c>
      <c r="E1964" s="6" t="s">
        <v>1401</v>
      </c>
      <c r="F1964" s="8" t="e">
        <f>VLOOKUP($D1964,설문!$C$2:$G$444,3,FALSE)</f>
        <v>#N/A</v>
      </c>
      <c r="G1964" s="8" t="e">
        <f>VLOOKUP($D1964,설문!$C$2:$G$444,4,FALSE)</f>
        <v>#N/A</v>
      </c>
      <c r="H1964" s="8" t="e">
        <f>VLOOKUP($D1964,설문!$C$2:$G$444,5,FALSE)</f>
        <v>#N/A</v>
      </c>
    </row>
    <row r="1965" spans="1:8">
      <c r="A1965" s="6" t="s">
        <v>674</v>
      </c>
      <c r="B1965" s="7" t="s">
        <v>1462</v>
      </c>
      <c r="C1965" s="7" t="s">
        <v>1462</v>
      </c>
      <c r="D1965" s="7" t="s">
        <v>1463</v>
      </c>
      <c r="E1965" s="6" t="s">
        <v>1464</v>
      </c>
      <c r="F1965" s="8" t="e">
        <f>VLOOKUP($D1965,설문!$C$2:$G$444,3,FALSE)</f>
        <v>#N/A</v>
      </c>
      <c r="G1965" s="8" t="e">
        <f>VLOOKUP($D1965,설문!$C$2:$G$444,4,FALSE)</f>
        <v>#N/A</v>
      </c>
      <c r="H1965" s="8" t="e">
        <f>VLOOKUP($D1965,설문!$C$2:$G$444,5,FALSE)</f>
        <v>#N/A</v>
      </c>
    </row>
    <row r="1966" spans="1:8">
      <c r="A1966" s="6" t="s">
        <v>674</v>
      </c>
      <c r="B1966" s="7" t="s">
        <v>1579</v>
      </c>
      <c r="C1966" s="7" t="s">
        <v>1579</v>
      </c>
      <c r="D1966" s="7" t="s">
        <v>1580</v>
      </c>
      <c r="E1966" s="6" t="s">
        <v>1581</v>
      </c>
      <c r="F1966" s="8" t="e">
        <f>VLOOKUP($D1966,설문!$C$2:$G$444,3,FALSE)</f>
        <v>#N/A</v>
      </c>
      <c r="G1966" s="8" t="e">
        <f>VLOOKUP($D1966,설문!$C$2:$G$444,4,FALSE)</f>
        <v>#N/A</v>
      </c>
      <c r="H1966" s="8" t="e">
        <f>VLOOKUP($D1966,설문!$C$2:$G$444,5,FALSE)</f>
        <v>#N/A</v>
      </c>
    </row>
    <row r="1967" spans="1:8">
      <c r="A1967" s="6" t="s">
        <v>674</v>
      </c>
      <c r="B1967" s="7" t="s">
        <v>1589</v>
      </c>
      <c r="C1967" s="7" t="s">
        <v>1589</v>
      </c>
      <c r="D1967" s="7" t="s">
        <v>1590</v>
      </c>
      <c r="E1967" s="6" t="s">
        <v>1591</v>
      </c>
      <c r="F1967" s="8" t="str">
        <f>VLOOKUP($D1967,설문!$C$2:$G$444,3,FALSE)</f>
        <v>펀드매니저,딜러</v>
      </c>
      <c r="G1967" s="8" t="str">
        <f>VLOOKUP($D1967,설문!$C$2:$G$444,4,FALSE)</f>
        <v>금융회사</v>
      </c>
      <c r="H1967" s="8" t="str">
        <f>VLOOKUP($D1967,설문!$C$2:$G$444,5,FALSE)</f>
        <v>국내주식/지수,국내주식/지수관련파생,해외주식/지수,해외주식/지수관련파생</v>
      </c>
    </row>
    <row r="1968" spans="1:8">
      <c r="A1968" s="6" t="s">
        <v>674</v>
      </c>
      <c r="B1968" s="7" t="s">
        <v>374</v>
      </c>
      <c r="C1968" s="7" t="s">
        <v>374</v>
      </c>
      <c r="D1968" s="7" t="s">
        <v>1592</v>
      </c>
      <c r="E1968" s="6" t="s">
        <v>1088</v>
      </c>
      <c r="F1968" s="8" t="e">
        <f>VLOOKUP($D1968,설문!$C$2:$G$444,3,FALSE)</f>
        <v>#N/A</v>
      </c>
      <c r="G1968" s="8" t="e">
        <f>VLOOKUP($D1968,설문!$C$2:$G$444,4,FALSE)</f>
        <v>#N/A</v>
      </c>
      <c r="H1968" s="8" t="e">
        <f>VLOOKUP($D1968,설문!$C$2:$G$444,5,FALSE)</f>
        <v>#N/A</v>
      </c>
    </row>
    <row r="1969" spans="1:8">
      <c r="A1969" s="6" t="s">
        <v>674</v>
      </c>
      <c r="B1969" s="7" t="s">
        <v>1866</v>
      </c>
      <c r="C1969" s="7" t="s">
        <v>1866</v>
      </c>
      <c r="D1969" s="7" t="s">
        <v>1867</v>
      </c>
      <c r="E1969" s="6" t="s">
        <v>1868</v>
      </c>
      <c r="F1969" s="8" t="e">
        <f>VLOOKUP($D1969,설문!$C$2:$G$444,3,FALSE)</f>
        <v>#N/A</v>
      </c>
      <c r="G1969" s="8" t="e">
        <f>VLOOKUP($D1969,설문!$C$2:$G$444,4,FALSE)</f>
        <v>#N/A</v>
      </c>
      <c r="H1969" s="8" t="e">
        <f>VLOOKUP($D1969,설문!$C$2:$G$444,5,FALSE)</f>
        <v>#N/A</v>
      </c>
    </row>
    <row r="1970" spans="1:8">
      <c r="A1970" s="6" t="s">
        <v>674</v>
      </c>
      <c r="B1970" s="7" t="s">
        <v>1155</v>
      </c>
      <c r="C1970" s="7" t="s">
        <v>1155</v>
      </c>
      <c r="D1970" s="7" t="s">
        <v>1919</v>
      </c>
      <c r="E1970" s="6" t="s">
        <v>1920</v>
      </c>
      <c r="F1970" s="8" t="e">
        <f>VLOOKUP($D1970,설문!$C$2:$G$444,3,FALSE)</f>
        <v>#N/A</v>
      </c>
      <c r="G1970" s="8" t="e">
        <f>VLOOKUP($D1970,설문!$C$2:$G$444,4,FALSE)</f>
        <v>#N/A</v>
      </c>
      <c r="H1970" s="8" t="e">
        <f>VLOOKUP($D1970,설문!$C$2:$G$444,5,FALSE)</f>
        <v>#N/A</v>
      </c>
    </row>
    <row r="1971" spans="1:8">
      <c r="A1971" s="6" t="s">
        <v>674</v>
      </c>
      <c r="B1971" s="7" t="s">
        <v>675</v>
      </c>
      <c r="C1971" s="7" t="s">
        <v>675</v>
      </c>
      <c r="D1971" s="7" t="s">
        <v>1942</v>
      </c>
      <c r="E1971" s="6" t="s">
        <v>1943</v>
      </c>
      <c r="F1971" s="8" t="e">
        <f>VLOOKUP($D1971,설문!$C$2:$G$444,3,FALSE)</f>
        <v>#N/A</v>
      </c>
      <c r="G1971" s="8" t="e">
        <f>VLOOKUP($D1971,설문!$C$2:$G$444,4,FALSE)</f>
        <v>#N/A</v>
      </c>
      <c r="H1971" s="8" t="e">
        <f>VLOOKUP($D1971,설문!$C$2:$G$444,5,FALSE)</f>
        <v>#N/A</v>
      </c>
    </row>
    <row r="1972" spans="1:8">
      <c r="A1972" s="6" t="s">
        <v>674</v>
      </c>
      <c r="B1972" s="7" t="s">
        <v>5874</v>
      </c>
      <c r="C1972" s="7" t="s">
        <v>5874</v>
      </c>
      <c r="D1972" s="7" t="s">
        <v>5875</v>
      </c>
      <c r="E1972" s="6" t="s">
        <v>5876</v>
      </c>
      <c r="F1972" s="8" t="e">
        <f>VLOOKUP($D1972,설문!$C$2:$G$444,3,FALSE)</f>
        <v>#N/A</v>
      </c>
      <c r="G1972" s="8" t="e">
        <f>VLOOKUP($D1972,설문!$C$2:$G$444,4,FALSE)</f>
        <v>#N/A</v>
      </c>
      <c r="H1972" s="8" t="e">
        <f>VLOOKUP($D1972,설문!$C$2:$G$444,5,FALSE)</f>
        <v>#N/A</v>
      </c>
    </row>
    <row r="1973" spans="1:8">
      <c r="A1973" s="6" t="s">
        <v>674</v>
      </c>
      <c r="B1973" s="7" t="s">
        <v>5877</v>
      </c>
      <c r="C1973" s="7" t="s">
        <v>5877</v>
      </c>
      <c r="D1973" s="7" t="s">
        <v>5878</v>
      </c>
      <c r="E1973" s="6" t="s">
        <v>5879</v>
      </c>
      <c r="F1973" s="8" t="e">
        <f>VLOOKUP($D1973,설문!$C$2:$G$444,3,FALSE)</f>
        <v>#N/A</v>
      </c>
      <c r="G1973" s="8" t="e">
        <f>VLOOKUP($D1973,설문!$C$2:$G$444,4,FALSE)</f>
        <v>#N/A</v>
      </c>
      <c r="H1973" s="8" t="e">
        <f>VLOOKUP($D1973,설문!$C$2:$G$444,5,FALSE)</f>
        <v>#N/A</v>
      </c>
    </row>
    <row r="1974" spans="1:8">
      <c r="A1974" s="6" t="s">
        <v>674</v>
      </c>
      <c r="B1974" s="7" t="s">
        <v>5877</v>
      </c>
      <c r="C1974" s="7" t="s">
        <v>5877</v>
      </c>
      <c r="D1974" s="7" t="s">
        <v>5880</v>
      </c>
      <c r="E1974" s="6" t="s">
        <v>5881</v>
      </c>
      <c r="F1974" s="8" t="e">
        <f>VLOOKUP($D1974,설문!$C$2:$G$444,3,FALSE)</f>
        <v>#N/A</v>
      </c>
      <c r="G1974" s="8" t="e">
        <f>VLOOKUP($D1974,설문!$C$2:$G$444,4,FALSE)</f>
        <v>#N/A</v>
      </c>
      <c r="H1974" s="8" t="e">
        <f>VLOOKUP($D1974,설문!$C$2:$G$444,5,FALSE)</f>
        <v>#N/A</v>
      </c>
    </row>
    <row r="1975" spans="1:8">
      <c r="A1975" s="6" t="s">
        <v>674</v>
      </c>
      <c r="B1975" s="7" t="s">
        <v>5877</v>
      </c>
      <c r="C1975" s="7" t="s">
        <v>5877</v>
      </c>
      <c r="D1975" s="7" t="s">
        <v>5882</v>
      </c>
      <c r="E1975" s="6" t="s">
        <v>5883</v>
      </c>
      <c r="F1975" s="8" t="e">
        <f>VLOOKUP($D1975,설문!$C$2:$G$444,3,FALSE)</f>
        <v>#N/A</v>
      </c>
      <c r="G1975" s="8" t="e">
        <f>VLOOKUP($D1975,설문!$C$2:$G$444,4,FALSE)</f>
        <v>#N/A</v>
      </c>
      <c r="H1975" s="8" t="e">
        <f>VLOOKUP($D1975,설문!$C$2:$G$444,5,FALSE)</f>
        <v>#N/A</v>
      </c>
    </row>
    <row r="1976" spans="1:8">
      <c r="A1976" s="6" t="s">
        <v>674</v>
      </c>
      <c r="B1976" s="7" t="s">
        <v>5884</v>
      </c>
      <c r="C1976" s="7" t="s">
        <v>311</v>
      </c>
      <c r="D1976" s="7" t="s">
        <v>5885</v>
      </c>
      <c r="E1976" s="6" t="s">
        <v>5886</v>
      </c>
      <c r="F1976" s="8" t="e">
        <f>VLOOKUP($D1976,설문!$C$2:$G$444,3,FALSE)</f>
        <v>#N/A</v>
      </c>
      <c r="G1976" s="8" t="e">
        <f>VLOOKUP($D1976,설문!$C$2:$G$444,4,FALSE)</f>
        <v>#N/A</v>
      </c>
      <c r="H1976" s="8" t="e">
        <f>VLOOKUP($D1976,설문!$C$2:$G$444,5,FALSE)</f>
        <v>#N/A</v>
      </c>
    </row>
    <row r="1977" spans="1:8">
      <c r="A1977" s="6" t="s">
        <v>674</v>
      </c>
      <c r="B1977" s="7" t="s">
        <v>5884</v>
      </c>
      <c r="C1977" s="7" t="s">
        <v>5887</v>
      </c>
      <c r="D1977" s="7" t="s">
        <v>5888</v>
      </c>
      <c r="E1977" s="6" t="s">
        <v>5886</v>
      </c>
      <c r="F1977" s="8" t="e">
        <f>VLOOKUP($D1977,설문!$C$2:$G$444,3,FALSE)</f>
        <v>#N/A</v>
      </c>
      <c r="G1977" s="8" t="e">
        <f>VLOOKUP($D1977,설문!$C$2:$G$444,4,FALSE)</f>
        <v>#N/A</v>
      </c>
      <c r="H1977" s="8" t="e">
        <f>VLOOKUP($D1977,설문!$C$2:$G$444,5,FALSE)</f>
        <v>#N/A</v>
      </c>
    </row>
    <row r="1978" spans="1:8">
      <c r="A1978" s="6" t="s">
        <v>674</v>
      </c>
      <c r="B1978" s="7" t="s">
        <v>4392</v>
      </c>
      <c r="C1978" s="7" t="s">
        <v>9</v>
      </c>
      <c r="D1978" s="7" t="s">
        <v>5889</v>
      </c>
      <c r="E1978" s="6" t="s">
        <v>5292</v>
      </c>
      <c r="F1978" s="8" t="e">
        <f>VLOOKUP($D1978,설문!$C$2:$G$444,3,FALSE)</f>
        <v>#N/A</v>
      </c>
      <c r="G1978" s="8" t="e">
        <f>VLOOKUP($D1978,설문!$C$2:$G$444,4,FALSE)</f>
        <v>#N/A</v>
      </c>
      <c r="H1978" s="8" t="e">
        <f>VLOOKUP($D1978,설문!$C$2:$G$444,5,FALSE)</f>
        <v>#N/A</v>
      </c>
    </row>
    <row r="1979" spans="1:8">
      <c r="A1979" s="6" t="s">
        <v>674</v>
      </c>
      <c r="B1979" s="7" t="s">
        <v>5890</v>
      </c>
      <c r="C1979" s="7" t="s">
        <v>5891</v>
      </c>
      <c r="D1979" s="7" t="s">
        <v>5892</v>
      </c>
      <c r="E1979" s="6" t="s">
        <v>5893</v>
      </c>
      <c r="F1979" s="8" t="e">
        <f>VLOOKUP($D1979,설문!$C$2:$G$444,3,FALSE)</f>
        <v>#N/A</v>
      </c>
      <c r="G1979" s="8" t="e">
        <f>VLOOKUP($D1979,설문!$C$2:$G$444,4,FALSE)</f>
        <v>#N/A</v>
      </c>
      <c r="H1979" s="8" t="e">
        <f>VLOOKUP($D1979,설문!$C$2:$G$444,5,FALSE)</f>
        <v>#N/A</v>
      </c>
    </row>
    <row r="1980" spans="1:8">
      <c r="A1980" s="6" t="s">
        <v>674</v>
      </c>
      <c r="B1980" s="7" t="s">
        <v>5894</v>
      </c>
      <c r="C1980" s="7" t="s">
        <v>5894</v>
      </c>
      <c r="D1980" s="7" t="s">
        <v>5895</v>
      </c>
      <c r="E1980" s="6" t="s">
        <v>5896</v>
      </c>
      <c r="F1980" s="8" t="e">
        <f>VLOOKUP($D1980,설문!$C$2:$G$444,3,FALSE)</f>
        <v>#N/A</v>
      </c>
      <c r="G1980" s="8" t="e">
        <f>VLOOKUP($D1980,설문!$C$2:$G$444,4,FALSE)</f>
        <v>#N/A</v>
      </c>
      <c r="H1980" s="8" t="e">
        <f>VLOOKUP($D1980,설문!$C$2:$G$444,5,FALSE)</f>
        <v>#N/A</v>
      </c>
    </row>
    <row r="1981" spans="1:8">
      <c r="A1981" s="6" t="s">
        <v>674</v>
      </c>
      <c r="B1981" s="7" t="s">
        <v>116</v>
      </c>
      <c r="C1981" s="7" t="s">
        <v>116</v>
      </c>
      <c r="D1981" s="7" t="s">
        <v>5897</v>
      </c>
      <c r="E1981" s="6" t="s">
        <v>5898</v>
      </c>
      <c r="F1981" s="8" t="e">
        <f>VLOOKUP($D1981,설문!$C$2:$G$444,3,FALSE)</f>
        <v>#N/A</v>
      </c>
      <c r="G1981" s="8" t="e">
        <f>VLOOKUP($D1981,설문!$C$2:$G$444,4,FALSE)</f>
        <v>#N/A</v>
      </c>
      <c r="H1981" s="8" t="e">
        <f>VLOOKUP($D1981,설문!$C$2:$G$444,5,FALSE)</f>
        <v>#N/A</v>
      </c>
    </row>
    <row r="1982" spans="1:8">
      <c r="A1982" s="6" t="s">
        <v>674</v>
      </c>
      <c r="B1982" s="7" t="s">
        <v>365</v>
      </c>
      <c r="C1982" s="7" t="s">
        <v>365</v>
      </c>
      <c r="D1982" s="7" t="s">
        <v>5899</v>
      </c>
      <c r="E1982" s="6" t="s">
        <v>5900</v>
      </c>
      <c r="F1982" s="8" t="e">
        <f>VLOOKUP($D1982,설문!$C$2:$G$444,3,FALSE)</f>
        <v>#N/A</v>
      </c>
      <c r="G1982" s="8" t="e">
        <f>VLOOKUP($D1982,설문!$C$2:$G$444,4,FALSE)</f>
        <v>#N/A</v>
      </c>
      <c r="H1982" s="8" t="e">
        <f>VLOOKUP($D1982,설문!$C$2:$G$444,5,FALSE)</f>
        <v>#N/A</v>
      </c>
    </row>
    <row r="1983" spans="1:8">
      <c r="A1983" s="6" t="s">
        <v>674</v>
      </c>
      <c r="B1983" s="7" t="s">
        <v>1155</v>
      </c>
      <c r="C1983" s="7" t="s">
        <v>1155</v>
      </c>
      <c r="D1983" s="7" t="s">
        <v>5901</v>
      </c>
      <c r="E1983" s="6" t="s">
        <v>5902</v>
      </c>
      <c r="F1983" s="8" t="e">
        <f>VLOOKUP($D1983,설문!$C$2:$G$444,3,FALSE)</f>
        <v>#N/A</v>
      </c>
      <c r="G1983" s="8" t="e">
        <f>VLOOKUP($D1983,설문!$C$2:$G$444,4,FALSE)</f>
        <v>#N/A</v>
      </c>
      <c r="H1983" s="8" t="e">
        <f>VLOOKUP($D1983,설문!$C$2:$G$444,5,FALSE)</f>
        <v>#N/A</v>
      </c>
    </row>
    <row r="1984" spans="1:8">
      <c r="A1984" s="6" t="s">
        <v>674</v>
      </c>
      <c r="B1984" s="7" t="s">
        <v>1155</v>
      </c>
      <c r="C1984" s="7" t="s">
        <v>1155</v>
      </c>
      <c r="D1984" s="7" t="s">
        <v>5903</v>
      </c>
      <c r="E1984" s="6" t="s">
        <v>866</v>
      </c>
      <c r="F1984" s="8" t="e">
        <f>VLOOKUP($D1984,설문!$C$2:$G$444,3,FALSE)</f>
        <v>#N/A</v>
      </c>
      <c r="G1984" s="8" t="e">
        <f>VLOOKUP($D1984,설문!$C$2:$G$444,4,FALSE)</f>
        <v>#N/A</v>
      </c>
      <c r="H1984" s="8" t="e">
        <f>VLOOKUP($D1984,설문!$C$2:$G$444,5,FALSE)</f>
        <v>#N/A</v>
      </c>
    </row>
    <row r="1985" spans="1:8">
      <c r="A1985" s="6" t="s">
        <v>674</v>
      </c>
      <c r="B1985" s="7" t="s">
        <v>1155</v>
      </c>
      <c r="C1985" s="7" t="s">
        <v>1155</v>
      </c>
      <c r="D1985" s="7" t="s">
        <v>5904</v>
      </c>
      <c r="E1985" s="6" t="s">
        <v>3165</v>
      </c>
      <c r="F1985" s="8" t="e">
        <f>VLOOKUP($D1985,설문!$C$2:$G$444,3,FALSE)</f>
        <v>#N/A</v>
      </c>
      <c r="G1985" s="8" t="e">
        <f>VLOOKUP($D1985,설문!$C$2:$G$444,4,FALSE)</f>
        <v>#N/A</v>
      </c>
      <c r="H1985" s="8" t="e">
        <f>VLOOKUP($D1985,설문!$C$2:$G$444,5,FALSE)</f>
        <v>#N/A</v>
      </c>
    </row>
    <row r="1986" spans="1:8">
      <c r="A1986" s="6" t="s">
        <v>674</v>
      </c>
      <c r="B1986" s="7" t="s">
        <v>1155</v>
      </c>
      <c r="C1986" s="7" t="s">
        <v>1155</v>
      </c>
      <c r="D1986" s="7" t="s">
        <v>5905</v>
      </c>
      <c r="E1986" s="6" t="s">
        <v>5906</v>
      </c>
      <c r="F1986" s="8" t="e">
        <f>VLOOKUP($D1986,설문!$C$2:$G$444,3,FALSE)</f>
        <v>#N/A</v>
      </c>
      <c r="G1986" s="8" t="e">
        <f>VLOOKUP($D1986,설문!$C$2:$G$444,4,FALSE)</f>
        <v>#N/A</v>
      </c>
      <c r="H1986" s="8" t="e">
        <f>VLOOKUP($D1986,설문!$C$2:$G$444,5,FALSE)</f>
        <v>#N/A</v>
      </c>
    </row>
    <row r="1987" spans="1:8">
      <c r="A1987" s="6" t="s">
        <v>674</v>
      </c>
      <c r="B1987" s="7" t="s">
        <v>1155</v>
      </c>
      <c r="C1987" s="7" t="s">
        <v>1155</v>
      </c>
      <c r="D1987" s="7" t="s">
        <v>5907</v>
      </c>
      <c r="E1987" s="6" t="s">
        <v>5908</v>
      </c>
      <c r="F1987" s="8" t="str">
        <f>VLOOKUP($D1987,설문!$C$2:$G$444,3,FALSE)</f>
        <v>펀드매니저</v>
      </c>
      <c r="G1987" s="8" t="str">
        <f>VLOOKUP($D1987,설문!$C$2:$G$444,4,FALSE)</f>
        <v>금융회사</v>
      </c>
      <c r="H1987" s="8" t="str">
        <f>VLOOKUP($D1987,설문!$C$2:$G$444,5,FALSE)</f>
        <v>국내주식/지수,회사채,국내주식/지수관련파생</v>
      </c>
    </row>
    <row r="1988" spans="1:8">
      <c r="A1988" s="6" t="s">
        <v>674</v>
      </c>
      <c r="B1988" s="7" t="s">
        <v>1155</v>
      </c>
      <c r="C1988" s="7" t="s">
        <v>1155</v>
      </c>
      <c r="D1988" s="7" t="s">
        <v>5909</v>
      </c>
      <c r="E1988" s="6" t="s">
        <v>5910</v>
      </c>
      <c r="F1988" s="8" t="e">
        <f>VLOOKUP($D1988,설문!$C$2:$G$444,3,FALSE)</f>
        <v>#N/A</v>
      </c>
      <c r="G1988" s="8" t="e">
        <f>VLOOKUP($D1988,설문!$C$2:$G$444,4,FALSE)</f>
        <v>#N/A</v>
      </c>
      <c r="H1988" s="8" t="e">
        <f>VLOOKUP($D1988,설문!$C$2:$G$444,5,FALSE)</f>
        <v>#N/A</v>
      </c>
    </row>
    <row r="1989" spans="1:8">
      <c r="A1989" s="6" t="s">
        <v>674</v>
      </c>
      <c r="B1989" s="7" t="s">
        <v>1579</v>
      </c>
      <c r="C1989" s="7" t="s">
        <v>1579</v>
      </c>
      <c r="D1989" s="7" t="s">
        <v>5911</v>
      </c>
      <c r="E1989" s="6" t="s">
        <v>5912</v>
      </c>
      <c r="F1989" s="8" t="e">
        <f>VLOOKUP($D1989,설문!$C$2:$G$444,3,FALSE)</f>
        <v>#N/A</v>
      </c>
      <c r="G1989" s="8" t="e">
        <f>VLOOKUP($D1989,설문!$C$2:$G$444,4,FALSE)</f>
        <v>#N/A</v>
      </c>
      <c r="H1989" s="8" t="e">
        <f>VLOOKUP($D1989,설문!$C$2:$G$444,5,FALSE)</f>
        <v>#N/A</v>
      </c>
    </row>
    <row r="1990" spans="1:8">
      <c r="A1990" s="6" t="s">
        <v>674</v>
      </c>
      <c r="B1990" s="7" t="s">
        <v>1579</v>
      </c>
      <c r="C1990" s="7" t="s">
        <v>1579</v>
      </c>
      <c r="D1990" s="7" t="s">
        <v>5913</v>
      </c>
      <c r="E1990" s="6" t="s">
        <v>813</v>
      </c>
      <c r="F1990" s="8" t="e">
        <f>VLOOKUP($D1990,설문!$C$2:$G$444,3,FALSE)</f>
        <v>#N/A</v>
      </c>
      <c r="G1990" s="8" t="e">
        <f>VLOOKUP($D1990,설문!$C$2:$G$444,4,FALSE)</f>
        <v>#N/A</v>
      </c>
      <c r="H1990" s="8" t="e">
        <f>VLOOKUP($D1990,설문!$C$2:$G$444,5,FALSE)</f>
        <v>#N/A</v>
      </c>
    </row>
    <row r="1991" spans="1:8">
      <c r="A1991" s="6" t="s">
        <v>674</v>
      </c>
      <c r="B1991" s="7" t="s">
        <v>1579</v>
      </c>
      <c r="C1991" s="7" t="s">
        <v>1579</v>
      </c>
      <c r="D1991" s="7" t="s">
        <v>5914</v>
      </c>
      <c r="E1991" s="6" t="s">
        <v>5915</v>
      </c>
      <c r="F1991" s="8" t="str">
        <f>VLOOKUP($D1991,설문!$C$2:$G$444,3,FALSE)</f>
        <v>펀드매니저,분석 및 전략</v>
      </c>
      <c r="G1991" s="8" t="str">
        <f>VLOOKUP($D1991,설문!$C$2:$G$444,4,FALSE)</f>
        <v>금융회사,금융 유관기관</v>
      </c>
      <c r="H1991" s="8" t="str">
        <f>VLOOKUP($D1991,설문!$C$2:$G$444,5,FALSE)</f>
        <v>국내주식/지수관련파생,해외주식/지수관련파생</v>
      </c>
    </row>
    <row r="1992" spans="1:8">
      <c r="A1992" s="6" t="s">
        <v>674</v>
      </c>
      <c r="B1992" s="7" t="s">
        <v>1462</v>
      </c>
      <c r="C1992" s="7" t="s">
        <v>1462</v>
      </c>
      <c r="D1992" s="7" t="s">
        <v>5916</v>
      </c>
      <c r="E1992" s="6" t="s">
        <v>5917</v>
      </c>
      <c r="F1992" s="8" t="e">
        <f>VLOOKUP($D1992,설문!$C$2:$G$444,3,FALSE)</f>
        <v>#N/A</v>
      </c>
      <c r="G1992" s="8" t="e">
        <f>VLOOKUP($D1992,설문!$C$2:$G$444,4,FALSE)</f>
        <v>#N/A</v>
      </c>
      <c r="H1992" s="8" t="e">
        <f>VLOOKUP($D1992,설문!$C$2:$G$444,5,FALSE)</f>
        <v>#N/A</v>
      </c>
    </row>
    <row r="1993" spans="1:8">
      <c r="A1993" s="6" t="s">
        <v>674</v>
      </c>
      <c r="B1993" s="7" t="s">
        <v>1462</v>
      </c>
      <c r="C1993" s="7" t="s">
        <v>1462</v>
      </c>
      <c r="D1993" s="7" t="s">
        <v>5918</v>
      </c>
      <c r="E1993" s="6" t="s">
        <v>5919</v>
      </c>
      <c r="F1993" s="8" t="e">
        <f>VLOOKUP($D1993,설문!$C$2:$G$444,3,FALSE)</f>
        <v>#N/A</v>
      </c>
      <c r="G1993" s="8" t="e">
        <f>VLOOKUP($D1993,설문!$C$2:$G$444,4,FALSE)</f>
        <v>#N/A</v>
      </c>
      <c r="H1993" s="8" t="e">
        <f>VLOOKUP($D1993,설문!$C$2:$G$444,5,FALSE)</f>
        <v>#N/A</v>
      </c>
    </row>
    <row r="1994" spans="1:8">
      <c r="A1994" s="6" t="s">
        <v>674</v>
      </c>
      <c r="B1994" s="7" t="s">
        <v>1462</v>
      </c>
      <c r="C1994" s="7" t="s">
        <v>1462</v>
      </c>
      <c r="D1994" s="7" t="s">
        <v>5920</v>
      </c>
      <c r="E1994" s="6" t="s">
        <v>5921</v>
      </c>
      <c r="F1994" s="8" t="e">
        <f>VLOOKUP($D1994,설문!$C$2:$G$444,3,FALSE)</f>
        <v>#N/A</v>
      </c>
      <c r="G1994" s="8" t="e">
        <f>VLOOKUP($D1994,설문!$C$2:$G$444,4,FALSE)</f>
        <v>#N/A</v>
      </c>
      <c r="H1994" s="8" t="e">
        <f>VLOOKUP($D1994,설문!$C$2:$G$444,5,FALSE)</f>
        <v>#N/A</v>
      </c>
    </row>
    <row r="1995" spans="1:8">
      <c r="A1995" s="6" t="s">
        <v>674</v>
      </c>
      <c r="B1995" s="7" t="s">
        <v>5922</v>
      </c>
      <c r="C1995" s="7" t="s">
        <v>5786</v>
      </c>
      <c r="D1995" s="7" t="s">
        <v>5923</v>
      </c>
      <c r="E1995" s="6" t="s">
        <v>5924</v>
      </c>
      <c r="F1995" s="8" t="e">
        <f>VLOOKUP($D1995,설문!$C$2:$G$444,3,FALSE)</f>
        <v>#N/A</v>
      </c>
      <c r="G1995" s="8" t="e">
        <f>VLOOKUP($D1995,설문!$C$2:$G$444,4,FALSE)</f>
        <v>#N/A</v>
      </c>
      <c r="H1995" s="8" t="e">
        <f>VLOOKUP($D1995,설문!$C$2:$G$444,5,FALSE)</f>
        <v>#N/A</v>
      </c>
    </row>
    <row r="1996" spans="1:8">
      <c r="A1996" s="6" t="s">
        <v>674</v>
      </c>
      <c r="B1996" s="7" t="s">
        <v>5786</v>
      </c>
      <c r="C1996" s="7" t="s">
        <v>5786</v>
      </c>
      <c r="D1996" s="7" t="s">
        <v>5925</v>
      </c>
      <c r="E1996" s="6" t="s">
        <v>5926</v>
      </c>
      <c r="F1996" s="8" t="e">
        <f>VLOOKUP($D1996,설문!$C$2:$G$444,3,FALSE)</f>
        <v>#N/A</v>
      </c>
      <c r="G1996" s="8" t="e">
        <f>VLOOKUP($D1996,설문!$C$2:$G$444,4,FALSE)</f>
        <v>#N/A</v>
      </c>
      <c r="H1996" s="8" t="e">
        <f>VLOOKUP($D1996,설문!$C$2:$G$444,5,FALSE)</f>
        <v>#N/A</v>
      </c>
    </row>
    <row r="1997" spans="1:8">
      <c r="A1997" s="6" t="s">
        <v>674</v>
      </c>
      <c r="B1997" s="7" t="s">
        <v>5786</v>
      </c>
      <c r="C1997" s="7" t="s">
        <v>5786</v>
      </c>
      <c r="D1997" s="7" t="s">
        <v>5927</v>
      </c>
      <c r="E1997" s="6" t="s">
        <v>5928</v>
      </c>
      <c r="F1997" s="8" t="e">
        <f>VLOOKUP($D1997,설문!$C$2:$G$444,3,FALSE)</f>
        <v>#N/A</v>
      </c>
      <c r="G1997" s="8" t="e">
        <f>VLOOKUP($D1997,설문!$C$2:$G$444,4,FALSE)</f>
        <v>#N/A</v>
      </c>
      <c r="H1997" s="8" t="e">
        <f>VLOOKUP($D1997,설문!$C$2:$G$444,5,FALSE)</f>
        <v>#N/A</v>
      </c>
    </row>
    <row r="1998" spans="1:8">
      <c r="A1998" s="6" t="s">
        <v>674</v>
      </c>
      <c r="B1998" s="7" t="s">
        <v>5786</v>
      </c>
      <c r="C1998" s="7" t="s">
        <v>5786</v>
      </c>
      <c r="D1998" s="7" t="s">
        <v>5929</v>
      </c>
      <c r="E1998" s="6" t="s">
        <v>3181</v>
      </c>
      <c r="F1998" s="8" t="str">
        <f>VLOOKUP($D1998,설문!$C$2:$G$444,3,FALSE)</f>
        <v>분석 및 전략</v>
      </c>
      <c r="G1998" s="8" t="str">
        <f>VLOOKUP($D1998,설문!$C$2:$G$444,4,FALSE)</f>
        <v>일반기업고객,개인고객</v>
      </c>
      <c r="H1998" s="8" t="str">
        <f>VLOOKUP($D1998,설문!$C$2:$G$444,5,FALSE)</f>
        <v>국내주식/지수,RP,단기자금,해외주식/지수,ETF/ETN,대체투자(부동산/인프라)</v>
      </c>
    </row>
    <row r="1999" spans="1:8">
      <c r="A1999" s="6" t="s">
        <v>674</v>
      </c>
      <c r="B1999" s="7" t="s">
        <v>675</v>
      </c>
      <c r="C1999" s="7" t="s">
        <v>675</v>
      </c>
      <c r="D1999" s="7" t="s">
        <v>5930</v>
      </c>
      <c r="E1999" s="6" t="s">
        <v>5931</v>
      </c>
      <c r="F1999" s="8" t="e">
        <f>VLOOKUP($D1999,설문!$C$2:$G$444,3,FALSE)</f>
        <v>#N/A</v>
      </c>
      <c r="G1999" s="8" t="e">
        <f>VLOOKUP($D1999,설문!$C$2:$G$444,4,FALSE)</f>
        <v>#N/A</v>
      </c>
      <c r="H1999" s="8" t="e">
        <f>VLOOKUP($D1999,설문!$C$2:$G$444,5,FALSE)</f>
        <v>#N/A</v>
      </c>
    </row>
    <row r="2000" spans="1:8">
      <c r="A2000" s="6" t="s">
        <v>674</v>
      </c>
      <c r="B2000" s="7" t="s">
        <v>675</v>
      </c>
      <c r="C2000" s="7" t="s">
        <v>675</v>
      </c>
      <c r="D2000" s="7" t="s">
        <v>5932</v>
      </c>
      <c r="E2000" s="6" t="s">
        <v>5933</v>
      </c>
      <c r="F2000" s="8" t="str">
        <f>VLOOKUP($D2000,설문!$C$2:$G$444,3,FALSE)</f>
        <v>브로커</v>
      </c>
      <c r="G2000" s="8" t="str">
        <f>VLOOKUP($D2000,설문!$C$2:$G$444,4,FALSE)</f>
        <v>금융회사</v>
      </c>
      <c r="H2000" s="8" t="str">
        <f>VLOOKUP($D2000,설문!$C$2:$G$444,5,FALSE)</f>
        <v>국고채/통안채,회사채,외화채권(KP제외)</v>
      </c>
    </row>
    <row r="2001" spans="1:8">
      <c r="A2001" s="6" t="s">
        <v>674</v>
      </c>
      <c r="B2001" s="7" t="s">
        <v>675</v>
      </c>
      <c r="C2001" s="7" t="s">
        <v>675</v>
      </c>
      <c r="D2001" s="7" t="s">
        <v>5934</v>
      </c>
      <c r="E2001" s="6" t="s">
        <v>5935</v>
      </c>
      <c r="F2001" s="8" t="e">
        <f>VLOOKUP($D2001,설문!$C$2:$G$444,3,FALSE)</f>
        <v>#N/A</v>
      </c>
      <c r="G2001" s="8" t="e">
        <f>VLOOKUP($D2001,설문!$C$2:$G$444,4,FALSE)</f>
        <v>#N/A</v>
      </c>
      <c r="H2001" s="8" t="e">
        <f>VLOOKUP($D2001,설문!$C$2:$G$444,5,FALSE)</f>
        <v>#N/A</v>
      </c>
    </row>
    <row r="2002" spans="1:8">
      <c r="A2002" s="6" t="s">
        <v>674</v>
      </c>
      <c r="B2002" s="7" t="s">
        <v>2397</v>
      </c>
      <c r="C2002" s="7" t="s">
        <v>2397</v>
      </c>
      <c r="D2002" s="7" t="s">
        <v>5936</v>
      </c>
      <c r="E2002" s="6" t="s">
        <v>2785</v>
      </c>
      <c r="F2002" s="8" t="str">
        <f>VLOOKUP($D2002,설문!$C$2:$G$444,3,FALSE)</f>
        <v>딜러</v>
      </c>
      <c r="G2002" s="8" t="str">
        <f>VLOOKUP($D2002,설문!$C$2:$G$444,4,FALSE)</f>
        <v>금융회사,일반기업고객,개인고객</v>
      </c>
      <c r="H2002" s="8" t="str">
        <f>VLOOKUP($D2002,설문!$C$2:$G$444,5,FALSE)</f>
        <v>국고채/통안채,회사채,소액채권,국채선물,Korean Paper,외화채권(KP제외),원화 이자율스왑,FX Spot &amp; FX Swap</v>
      </c>
    </row>
    <row r="2003" spans="1:8">
      <c r="A2003" s="6" t="s">
        <v>674</v>
      </c>
      <c r="B2003" s="7" t="s">
        <v>2397</v>
      </c>
      <c r="C2003" s="7" t="s">
        <v>2397</v>
      </c>
      <c r="D2003" s="7" t="s">
        <v>5937</v>
      </c>
      <c r="E2003" s="6" t="s">
        <v>5938</v>
      </c>
      <c r="F2003" s="8" t="e">
        <f>VLOOKUP($D2003,설문!$C$2:$G$444,3,FALSE)</f>
        <v>#N/A</v>
      </c>
      <c r="G2003" s="8" t="e">
        <f>VLOOKUP($D2003,설문!$C$2:$G$444,4,FALSE)</f>
        <v>#N/A</v>
      </c>
      <c r="H2003" s="8" t="e">
        <f>VLOOKUP($D2003,설문!$C$2:$G$444,5,FALSE)</f>
        <v>#N/A</v>
      </c>
    </row>
    <row r="2004" spans="1:8">
      <c r="A2004" s="6" t="s">
        <v>674</v>
      </c>
      <c r="B2004" s="7" t="s">
        <v>2397</v>
      </c>
      <c r="C2004" s="7" t="s">
        <v>2397</v>
      </c>
      <c r="D2004" s="7" t="s">
        <v>5939</v>
      </c>
      <c r="E2004" s="6" t="s">
        <v>5940</v>
      </c>
      <c r="F2004" s="8" t="e">
        <f>VLOOKUP($D2004,설문!$C$2:$G$444,3,FALSE)</f>
        <v>#N/A</v>
      </c>
      <c r="G2004" s="8" t="e">
        <f>VLOOKUP($D2004,설문!$C$2:$G$444,4,FALSE)</f>
        <v>#N/A</v>
      </c>
      <c r="H2004" s="8" t="e">
        <f>VLOOKUP($D2004,설문!$C$2:$G$444,5,FALSE)</f>
        <v>#N/A</v>
      </c>
    </row>
    <row r="2005" spans="1:8">
      <c r="A2005" s="6" t="s">
        <v>674</v>
      </c>
      <c r="B2005" s="7" t="s">
        <v>2397</v>
      </c>
      <c r="C2005" s="7" t="s">
        <v>2397</v>
      </c>
      <c r="D2005" s="7" t="s">
        <v>5941</v>
      </c>
      <c r="E2005" s="6" t="s">
        <v>5942</v>
      </c>
      <c r="F2005" s="8" t="e">
        <f>VLOOKUP($D2005,설문!$C$2:$G$444,3,FALSE)</f>
        <v>#N/A</v>
      </c>
      <c r="G2005" s="8" t="e">
        <f>VLOOKUP($D2005,설문!$C$2:$G$444,4,FALSE)</f>
        <v>#N/A</v>
      </c>
      <c r="H2005" s="8" t="e">
        <f>VLOOKUP($D2005,설문!$C$2:$G$444,5,FALSE)</f>
        <v>#N/A</v>
      </c>
    </row>
    <row r="2006" spans="1:8">
      <c r="A2006" s="6" t="s">
        <v>674</v>
      </c>
      <c r="B2006" s="7" t="s">
        <v>2397</v>
      </c>
      <c r="C2006" s="7" t="s">
        <v>2397</v>
      </c>
      <c r="D2006" s="7" t="s">
        <v>5943</v>
      </c>
      <c r="E2006" s="6" t="s">
        <v>5944</v>
      </c>
      <c r="F2006" s="8" t="str">
        <f>VLOOKUP($D2006,설문!$C$2:$G$444,3,FALSE)</f>
        <v>딜러</v>
      </c>
      <c r="G2006" s="8" t="str">
        <f>VLOOKUP($D2006,설문!$C$2:$G$444,4,FALSE)</f>
        <v>금융회사,금융 유관기관</v>
      </c>
      <c r="H2006" s="8" t="str">
        <f>VLOOKUP($D2006,설문!$C$2:$G$444,5,FALSE)</f>
        <v>회사채</v>
      </c>
    </row>
    <row r="2007" spans="1:8">
      <c r="A2007" s="6" t="s">
        <v>674</v>
      </c>
      <c r="B2007" s="7" t="s">
        <v>5945</v>
      </c>
      <c r="C2007" s="7" t="s">
        <v>5946</v>
      </c>
      <c r="D2007" s="7" t="s">
        <v>5947</v>
      </c>
      <c r="E2007" s="6" t="s">
        <v>2331</v>
      </c>
      <c r="F2007" s="8" t="e">
        <f>VLOOKUP($D2007,설문!$C$2:$G$444,3,FALSE)</f>
        <v>#N/A</v>
      </c>
      <c r="G2007" s="8" t="e">
        <f>VLOOKUP($D2007,설문!$C$2:$G$444,4,FALSE)</f>
        <v>#N/A</v>
      </c>
      <c r="H2007" s="8" t="e">
        <f>VLOOKUP($D2007,설문!$C$2:$G$444,5,FALSE)</f>
        <v>#N/A</v>
      </c>
    </row>
    <row r="2008" spans="1:8">
      <c r="A2008" s="6" t="s">
        <v>133</v>
      </c>
      <c r="B2008" s="7" t="s">
        <v>134</v>
      </c>
      <c r="C2008" s="7" t="s">
        <v>135</v>
      </c>
      <c r="D2008" s="7" t="s">
        <v>136</v>
      </c>
      <c r="E2008" s="6" t="s">
        <v>137</v>
      </c>
      <c r="F2008" s="8" t="e">
        <f>VLOOKUP($D2008,설문!$C$2:$G$444,3,FALSE)</f>
        <v>#N/A</v>
      </c>
      <c r="G2008" s="8" t="e">
        <f>VLOOKUP($D2008,설문!$C$2:$G$444,4,FALSE)</f>
        <v>#N/A</v>
      </c>
      <c r="H2008" s="8" t="e">
        <f>VLOOKUP($D2008,설문!$C$2:$G$444,5,FALSE)</f>
        <v>#N/A</v>
      </c>
    </row>
    <row r="2009" spans="1:8">
      <c r="A2009" s="6" t="s">
        <v>133</v>
      </c>
      <c r="B2009" s="7" t="s">
        <v>69</v>
      </c>
      <c r="C2009" s="7" t="s">
        <v>643</v>
      </c>
      <c r="D2009" s="7" t="s">
        <v>910</v>
      </c>
      <c r="E2009" s="6" t="s">
        <v>911</v>
      </c>
      <c r="F2009" s="8" t="str">
        <f>VLOOKUP($D2009,설문!$C$2:$G$444,3,FALSE)</f>
        <v>펀드매니저,퀀트,분석 및 전략</v>
      </c>
      <c r="G2009" s="8" t="str">
        <f>VLOOKUP($D2009,설문!$C$2:$G$444,4,FALSE)</f>
        <v>금융회사,금융 유관기관,개인고객</v>
      </c>
      <c r="H2009" s="8" t="str">
        <f>VLOOKUP($D2009,설문!$C$2:$G$444,5,FALSE)</f>
        <v>국내주식/지수</v>
      </c>
    </row>
    <row r="2010" spans="1:8">
      <c r="A2010" s="6" t="s">
        <v>133</v>
      </c>
      <c r="B2010" s="7" t="s">
        <v>69</v>
      </c>
      <c r="C2010" s="7" t="s">
        <v>643</v>
      </c>
      <c r="D2010" s="7" t="s">
        <v>912</v>
      </c>
      <c r="E2010" s="6" t="s">
        <v>913</v>
      </c>
      <c r="F2010" s="8" t="e">
        <f>VLOOKUP($D2010,설문!$C$2:$G$444,3,FALSE)</f>
        <v>#N/A</v>
      </c>
      <c r="G2010" s="8" t="e">
        <f>VLOOKUP($D2010,설문!$C$2:$G$444,4,FALSE)</f>
        <v>#N/A</v>
      </c>
      <c r="H2010" s="8" t="e">
        <f>VLOOKUP($D2010,설문!$C$2:$G$444,5,FALSE)</f>
        <v>#N/A</v>
      </c>
    </row>
    <row r="2011" spans="1:8">
      <c r="A2011" s="6" t="s">
        <v>133</v>
      </c>
      <c r="B2011" s="7" t="s">
        <v>796</v>
      </c>
      <c r="C2011" s="7" t="s">
        <v>69</v>
      </c>
      <c r="D2011" s="7" t="s">
        <v>1210</v>
      </c>
      <c r="E2011" s="6" t="s">
        <v>1211</v>
      </c>
      <c r="F2011" s="8" t="e">
        <f>VLOOKUP($D2011,설문!$C$2:$G$444,3,FALSE)</f>
        <v>#N/A</v>
      </c>
      <c r="G2011" s="8" t="e">
        <f>VLOOKUP($D2011,설문!$C$2:$G$444,4,FALSE)</f>
        <v>#N/A</v>
      </c>
      <c r="H2011" s="8" t="e">
        <f>VLOOKUP($D2011,설문!$C$2:$G$444,5,FALSE)</f>
        <v>#N/A</v>
      </c>
    </row>
    <row r="2012" spans="1:8">
      <c r="A2012" s="6" t="s">
        <v>133</v>
      </c>
      <c r="B2012" s="7" t="s">
        <v>78</v>
      </c>
      <c r="C2012" s="7" t="s">
        <v>134</v>
      </c>
      <c r="D2012" s="7" t="s">
        <v>3350</v>
      </c>
      <c r="E2012" s="6" t="s">
        <v>3351</v>
      </c>
      <c r="F2012" s="8" t="e">
        <f>VLOOKUP($D2012,설문!$C$2:$G$444,3,FALSE)</f>
        <v>#N/A</v>
      </c>
      <c r="G2012" s="8" t="e">
        <f>VLOOKUP($D2012,설문!$C$2:$G$444,4,FALSE)</f>
        <v>#N/A</v>
      </c>
      <c r="H2012" s="8" t="e">
        <f>VLOOKUP($D2012,설문!$C$2:$G$444,5,FALSE)</f>
        <v>#N/A</v>
      </c>
    </row>
    <row r="2013" spans="1:8">
      <c r="A2013" s="6" t="s">
        <v>133</v>
      </c>
      <c r="B2013" s="7" t="s">
        <v>78</v>
      </c>
      <c r="C2013" s="7" t="s">
        <v>69</v>
      </c>
      <c r="D2013" s="7" t="s">
        <v>3352</v>
      </c>
      <c r="E2013" s="6" t="s">
        <v>3353</v>
      </c>
      <c r="F2013" s="8" t="str">
        <f>VLOOKUP($D2013,설문!$C$2:$G$444,3,FALSE)</f>
        <v>펀드매니저</v>
      </c>
      <c r="G2013" s="8" t="str">
        <f>VLOOKUP($D2013,설문!$C$2:$G$444,4,FALSE)</f>
        <v>금융회사,금융 유관기관,일반기업고객,개인고객</v>
      </c>
      <c r="H2013" s="8" t="str">
        <f>VLOOKUP($D2013,설문!$C$2:$G$444,5,FALSE)</f>
        <v>국내주식/지수,국내주식/지수관련파생,해외주식/지수,해외주식/지수관련파생</v>
      </c>
    </row>
    <row r="2014" spans="1:8">
      <c r="A2014" s="6" t="s">
        <v>133</v>
      </c>
      <c r="B2014" s="7" t="s">
        <v>78</v>
      </c>
      <c r="C2014" s="7" t="s">
        <v>69</v>
      </c>
      <c r="D2014" s="7" t="s">
        <v>3354</v>
      </c>
      <c r="E2014" s="6" t="s">
        <v>1498</v>
      </c>
      <c r="F2014" s="8" t="e">
        <f>VLOOKUP($D2014,설문!$C$2:$G$444,3,FALSE)</f>
        <v>#N/A</v>
      </c>
      <c r="G2014" s="8" t="e">
        <f>VLOOKUP($D2014,설문!$C$2:$G$444,4,FALSE)</f>
        <v>#N/A</v>
      </c>
      <c r="H2014" s="8" t="e">
        <f>VLOOKUP($D2014,설문!$C$2:$G$444,5,FALSE)</f>
        <v>#N/A</v>
      </c>
    </row>
    <row r="2015" spans="1:8">
      <c r="A2015" s="6" t="s">
        <v>133</v>
      </c>
      <c r="B2015" s="7" t="s">
        <v>78</v>
      </c>
      <c r="C2015" s="7" t="s">
        <v>69</v>
      </c>
      <c r="D2015" s="7" t="s">
        <v>3355</v>
      </c>
      <c r="E2015" s="6" t="s">
        <v>3356</v>
      </c>
      <c r="F2015" s="8" t="e">
        <f>VLOOKUP($D2015,설문!$C$2:$G$444,3,FALSE)</f>
        <v>#N/A</v>
      </c>
      <c r="G2015" s="8" t="e">
        <f>VLOOKUP($D2015,설문!$C$2:$G$444,4,FALSE)</f>
        <v>#N/A</v>
      </c>
      <c r="H2015" s="8" t="e">
        <f>VLOOKUP($D2015,설문!$C$2:$G$444,5,FALSE)</f>
        <v>#N/A</v>
      </c>
    </row>
    <row r="2016" spans="1:8">
      <c r="A2016" s="6" t="s">
        <v>133</v>
      </c>
      <c r="B2016" s="7" t="s">
        <v>78</v>
      </c>
      <c r="C2016" s="7" t="s">
        <v>69</v>
      </c>
      <c r="D2016" s="7" t="s">
        <v>3357</v>
      </c>
      <c r="E2016" s="6" t="s">
        <v>3358</v>
      </c>
      <c r="F2016" s="8" t="e">
        <f>VLOOKUP($D2016,설문!$C$2:$G$444,3,FALSE)</f>
        <v>#N/A</v>
      </c>
      <c r="G2016" s="8" t="e">
        <f>VLOOKUP($D2016,설문!$C$2:$G$444,4,FALSE)</f>
        <v>#N/A</v>
      </c>
      <c r="H2016" s="8" t="e">
        <f>VLOOKUP($D2016,설문!$C$2:$G$444,5,FALSE)</f>
        <v>#N/A</v>
      </c>
    </row>
    <row r="2017" spans="1:8">
      <c r="A2017" s="6" t="s">
        <v>174</v>
      </c>
      <c r="B2017" s="7" t="s">
        <v>175</v>
      </c>
      <c r="C2017" s="7" t="s">
        <v>175</v>
      </c>
      <c r="D2017" s="7" t="s">
        <v>176</v>
      </c>
      <c r="E2017" s="6" t="s">
        <v>177</v>
      </c>
      <c r="F2017" s="8" t="e">
        <f>VLOOKUP($D2017,설문!$C$2:$G$444,3,FALSE)</f>
        <v>#N/A</v>
      </c>
      <c r="G2017" s="8" t="e">
        <f>VLOOKUP($D2017,설문!$C$2:$G$444,4,FALSE)</f>
        <v>#N/A</v>
      </c>
      <c r="H2017" s="8" t="e">
        <f>VLOOKUP($D2017,설문!$C$2:$G$444,5,FALSE)</f>
        <v>#N/A</v>
      </c>
    </row>
    <row r="2018" spans="1:8">
      <c r="A2018" s="6" t="s">
        <v>174</v>
      </c>
      <c r="B2018" s="7" t="s">
        <v>398</v>
      </c>
      <c r="C2018" s="7" t="s">
        <v>398</v>
      </c>
      <c r="D2018" s="7" t="s">
        <v>399</v>
      </c>
      <c r="E2018" s="6" t="s">
        <v>400</v>
      </c>
      <c r="F2018" s="8" t="e">
        <f>VLOOKUP($D2018,설문!$C$2:$G$444,3,FALSE)</f>
        <v>#N/A</v>
      </c>
      <c r="G2018" s="8" t="e">
        <f>VLOOKUP($D2018,설문!$C$2:$G$444,4,FALSE)</f>
        <v>#N/A</v>
      </c>
      <c r="H2018" s="8" t="e">
        <f>VLOOKUP($D2018,설문!$C$2:$G$444,5,FALSE)</f>
        <v>#N/A</v>
      </c>
    </row>
    <row r="2019" spans="1:8">
      <c r="A2019" s="6" t="s">
        <v>174</v>
      </c>
      <c r="B2019" s="7" t="s">
        <v>583</v>
      </c>
      <c r="C2019" s="7" t="s">
        <v>584</v>
      </c>
      <c r="D2019" s="7" t="s">
        <v>585</v>
      </c>
      <c r="E2019" s="6" t="s">
        <v>586</v>
      </c>
      <c r="F2019" s="8" t="e">
        <f>VLOOKUP($D2019,설문!$C$2:$G$444,3,FALSE)</f>
        <v>#N/A</v>
      </c>
      <c r="G2019" s="8" t="e">
        <f>VLOOKUP($D2019,설문!$C$2:$G$444,4,FALSE)</f>
        <v>#N/A</v>
      </c>
      <c r="H2019" s="8" t="e">
        <f>VLOOKUP($D2019,설문!$C$2:$G$444,5,FALSE)</f>
        <v>#N/A</v>
      </c>
    </row>
    <row r="2020" spans="1:8">
      <c r="A2020" s="6" t="s">
        <v>174</v>
      </c>
      <c r="B2020" s="7" t="s">
        <v>3040</v>
      </c>
      <c r="C2020" s="7" t="s">
        <v>3040</v>
      </c>
      <c r="D2020" s="7" t="s">
        <v>3041</v>
      </c>
      <c r="E2020" s="6" t="s">
        <v>1501</v>
      </c>
      <c r="F2020" s="8" t="e">
        <f>VLOOKUP($D2020,설문!$C$2:$G$444,3,FALSE)</f>
        <v>#N/A</v>
      </c>
      <c r="G2020" s="8" t="e">
        <f>VLOOKUP($D2020,설문!$C$2:$G$444,4,FALSE)</f>
        <v>#N/A</v>
      </c>
      <c r="H2020" s="8" t="e">
        <f>VLOOKUP($D2020,설문!$C$2:$G$444,5,FALSE)</f>
        <v>#N/A</v>
      </c>
    </row>
    <row r="2021" spans="1:8">
      <c r="A2021" s="6" t="s">
        <v>274</v>
      </c>
      <c r="B2021" s="7" t="s">
        <v>275</v>
      </c>
      <c r="C2021" s="7" t="s">
        <v>9</v>
      </c>
      <c r="D2021" s="7" t="s">
        <v>276</v>
      </c>
      <c r="E2021" s="6" t="s">
        <v>277</v>
      </c>
      <c r="F2021" s="8" t="e">
        <f>VLOOKUP($D2021,설문!$C$2:$G$444,3,FALSE)</f>
        <v>#N/A</v>
      </c>
      <c r="G2021" s="8" t="e">
        <f>VLOOKUP($D2021,설문!$C$2:$G$444,4,FALSE)</f>
        <v>#N/A</v>
      </c>
      <c r="H2021" s="8" t="e">
        <f>VLOOKUP($D2021,설문!$C$2:$G$444,5,FALSE)</f>
        <v>#N/A</v>
      </c>
    </row>
    <row r="2022" spans="1:8">
      <c r="A2022" s="6" t="s">
        <v>274</v>
      </c>
      <c r="B2022" s="7" t="s">
        <v>149</v>
      </c>
      <c r="C2022" s="7" t="s">
        <v>149</v>
      </c>
      <c r="D2022" s="7" t="s">
        <v>559</v>
      </c>
      <c r="E2022" s="6" t="s">
        <v>560</v>
      </c>
      <c r="F2022" s="8" t="e">
        <f>VLOOKUP($D2022,설문!$C$2:$G$444,3,FALSE)</f>
        <v>#N/A</v>
      </c>
      <c r="G2022" s="8" t="e">
        <f>VLOOKUP($D2022,설문!$C$2:$G$444,4,FALSE)</f>
        <v>#N/A</v>
      </c>
      <c r="H2022" s="8" t="e">
        <f>VLOOKUP($D2022,설문!$C$2:$G$444,5,FALSE)</f>
        <v>#N/A</v>
      </c>
    </row>
    <row r="2023" spans="1:8">
      <c r="A2023" s="6" t="s">
        <v>274</v>
      </c>
      <c r="B2023" s="7" t="s">
        <v>609</v>
      </c>
      <c r="C2023" s="7" t="s">
        <v>609</v>
      </c>
      <c r="D2023" s="7" t="s">
        <v>610</v>
      </c>
      <c r="E2023" s="6" t="s">
        <v>611</v>
      </c>
      <c r="F2023" s="8" t="e">
        <f>VLOOKUP($D2023,설문!$C$2:$G$444,3,FALSE)</f>
        <v>#N/A</v>
      </c>
      <c r="G2023" s="8" t="e">
        <f>VLOOKUP($D2023,설문!$C$2:$G$444,4,FALSE)</f>
        <v>#N/A</v>
      </c>
      <c r="H2023" s="8" t="e">
        <f>VLOOKUP($D2023,설문!$C$2:$G$444,5,FALSE)</f>
        <v>#N/A</v>
      </c>
    </row>
    <row r="2024" spans="1:8">
      <c r="A2024" s="6" t="s">
        <v>274</v>
      </c>
      <c r="B2024" s="7" t="s">
        <v>965</v>
      </c>
      <c r="C2024" s="7" t="s">
        <v>966</v>
      </c>
      <c r="D2024" s="7" t="s">
        <v>967</v>
      </c>
      <c r="E2024" s="6" t="s">
        <v>968</v>
      </c>
      <c r="F2024" s="8" t="e">
        <f>VLOOKUP($D2024,설문!$C$2:$G$444,3,FALSE)</f>
        <v>#N/A</v>
      </c>
      <c r="G2024" s="8" t="e">
        <f>VLOOKUP($D2024,설문!$C$2:$G$444,4,FALSE)</f>
        <v>#N/A</v>
      </c>
      <c r="H2024" s="8" t="e">
        <f>VLOOKUP($D2024,설문!$C$2:$G$444,5,FALSE)</f>
        <v>#N/A</v>
      </c>
    </row>
    <row r="2025" spans="1:8">
      <c r="A2025" s="6" t="s">
        <v>274</v>
      </c>
      <c r="B2025" s="7" t="s">
        <v>149</v>
      </c>
      <c r="C2025" s="7" t="s">
        <v>149</v>
      </c>
      <c r="D2025" s="7" t="s">
        <v>1218</v>
      </c>
      <c r="E2025" s="6" t="s">
        <v>1219</v>
      </c>
      <c r="F2025" s="8" t="e">
        <f>VLOOKUP($D2025,설문!$C$2:$G$444,3,FALSE)</f>
        <v>#N/A</v>
      </c>
      <c r="G2025" s="8" t="e">
        <f>VLOOKUP($D2025,설문!$C$2:$G$444,4,FALSE)</f>
        <v>#N/A</v>
      </c>
      <c r="H2025" s="8" t="e">
        <f>VLOOKUP($D2025,설문!$C$2:$G$444,5,FALSE)</f>
        <v>#N/A</v>
      </c>
    </row>
    <row r="2026" spans="1:8">
      <c r="A2026" s="6" t="s">
        <v>274</v>
      </c>
      <c r="B2026" s="7" t="s">
        <v>965</v>
      </c>
      <c r="C2026" s="7" t="s">
        <v>965</v>
      </c>
      <c r="D2026" s="7" t="s">
        <v>1493</v>
      </c>
      <c r="E2026" s="6" t="s">
        <v>1494</v>
      </c>
      <c r="F2026" s="8" t="str">
        <f>VLOOKUP($D2026,설문!$C$2:$G$444,3,FALSE)</f>
        <v>백오피스</v>
      </c>
      <c r="G2026" s="8" t="str">
        <f>VLOOKUP($D2026,설문!$C$2:$G$444,4,FALSE)</f>
        <v>금융회사</v>
      </c>
      <c r="H2026" s="8" t="str">
        <f>VLOOKUP($D2026,설문!$C$2:$G$444,5,FALSE)</f>
        <v>국고채/통안채</v>
      </c>
    </row>
    <row r="2027" spans="1:8">
      <c r="A2027" s="6" t="s">
        <v>274</v>
      </c>
      <c r="B2027" s="7" t="s">
        <v>1552</v>
      </c>
      <c r="C2027" s="7" t="s">
        <v>1552</v>
      </c>
      <c r="D2027" s="7" t="s">
        <v>1553</v>
      </c>
      <c r="E2027" s="6" t="s">
        <v>1554</v>
      </c>
      <c r="F2027" s="8" t="e">
        <f>VLOOKUP($D2027,설문!$C$2:$G$444,3,FALSE)</f>
        <v>#N/A</v>
      </c>
      <c r="G2027" s="8" t="e">
        <f>VLOOKUP($D2027,설문!$C$2:$G$444,4,FALSE)</f>
        <v>#N/A</v>
      </c>
      <c r="H2027" s="8" t="e">
        <f>VLOOKUP($D2027,설문!$C$2:$G$444,5,FALSE)</f>
        <v>#N/A</v>
      </c>
    </row>
    <row r="2028" spans="1:8">
      <c r="A2028" s="6" t="s">
        <v>274</v>
      </c>
      <c r="B2028" s="7" t="s">
        <v>725</v>
      </c>
      <c r="C2028" s="7" t="s">
        <v>725</v>
      </c>
      <c r="D2028" s="7" t="s">
        <v>1635</v>
      </c>
      <c r="E2028" s="6" t="s">
        <v>1636</v>
      </c>
      <c r="F2028" s="8" t="e">
        <f>VLOOKUP($D2028,설문!$C$2:$G$444,3,FALSE)</f>
        <v>#N/A</v>
      </c>
      <c r="G2028" s="8" t="e">
        <f>VLOOKUP($D2028,설문!$C$2:$G$444,4,FALSE)</f>
        <v>#N/A</v>
      </c>
      <c r="H2028" s="8" t="e">
        <f>VLOOKUP($D2028,설문!$C$2:$G$444,5,FALSE)</f>
        <v>#N/A</v>
      </c>
    </row>
    <row r="2029" spans="1:8">
      <c r="A2029" s="6" t="s">
        <v>274</v>
      </c>
      <c r="B2029" s="7" t="s">
        <v>965</v>
      </c>
      <c r="C2029" s="7" t="s">
        <v>965</v>
      </c>
      <c r="D2029" s="7" t="s">
        <v>1637</v>
      </c>
      <c r="E2029" s="6" t="s">
        <v>1638</v>
      </c>
      <c r="F2029" s="8" t="e">
        <f>VLOOKUP($D2029,설문!$C$2:$G$444,3,FALSE)</f>
        <v>#N/A</v>
      </c>
      <c r="G2029" s="8" t="e">
        <f>VLOOKUP($D2029,설문!$C$2:$G$444,4,FALSE)</f>
        <v>#N/A</v>
      </c>
      <c r="H2029" s="8" t="e">
        <f>VLOOKUP($D2029,설문!$C$2:$G$444,5,FALSE)</f>
        <v>#N/A</v>
      </c>
    </row>
    <row r="2030" spans="1:8">
      <c r="A2030" s="6" t="s">
        <v>274</v>
      </c>
      <c r="B2030" s="7" t="s">
        <v>149</v>
      </c>
      <c r="C2030" s="7" t="s">
        <v>149</v>
      </c>
      <c r="D2030" s="7" t="s">
        <v>1728</v>
      </c>
      <c r="E2030" s="6" t="s">
        <v>1729</v>
      </c>
      <c r="F2030" s="8" t="e">
        <f>VLOOKUP($D2030,설문!$C$2:$G$444,3,FALSE)</f>
        <v>#N/A</v>
      </c>
      <c r="G2030" s="8" t="e">
        <f>VLOOKUP($D2030,설문!$C$2:$G$444,4,FALSE)</f>
        <v>#N/A</v>
      </c>
      <c r="H2030" s="8" t="e">
        <f>VLOOKUP($D2030,설문!$C$2:$G$444,5,FALSE)</f>
        <v>#N/A</v>
      </c>
    </row>
    <row r="2031" spans="1:8">
      <c r="A2031" s="6" t="s">
        <v>274</v>
      </c>
      <c r="B2031" s="7" t="s">
        <v>149</v>
      </c>
      <c r="C2031" s="7" t="s">
        <v>149</v>
      </c>
      <c r="D2031" s="7" t="s">
        <v>1730</v>
      </c>
      <c r="E2031" s="6" t="s">
        <v>1729</v>
      </c>
      <c r="F2031" s="8" t="e">
        <f>VLOOKUP($D2031,설문!$C$2:$G$444,3,FALSE)</f>
        <v>#N/A</v>
      </c>
      <c r="G2031" s="8" t="e">
        <f>VLOOKUP($D2031,설문!$C$2:$G$444,4,FALSE)</f>
        <v>#N/A</v>
      </c>
      <c r="H2031" s="8" t="e">
        <f>VLOOKUP($D2031,설문!$C$2:$G$444,5,FALSE)</f>
        <v>#N/A</v>
      </c>
    </row>
    <row r="2032" spans="1:8">
      <c r="A2032" s="6" t="s">
        <v>274</v>
      </c>
      <c r="B2032" s="7" t="s">
        <v>965</v>
      </c>
      <c r="C2032" s="7" t="s">
        <v>965</v>
      </c>
      <c r="D2032" s="7" t="s">
        <v>1774</v>
      </c>
      <c r="E2032" s="6" t="s">
        <v>1775</v>
      </c>
      <c r="F2032" s="8" t="e">
        <f>VLOOKUP($D2032,설문!$C$2:$G$444,3,FALSE)</f>
        <v>#N/A</v>
      </c>
      <c r="G2032" s="8" t="e">
        <f>VLOOKUP($D2032,설문!$C$2:$G$444,4,FALSE)</f>
        <v>#N/A</v>
      </c>
      <c r="H2032" s="8" t="e">
        <f>VLOOKUP($D2032,설문!$C$2:$G$444,5,FALSE)</f>
        <v>#N/A</v>
      </c>
    </row>
    <row r="2033" spans="1:8">
      <c r="A2033" s="6" t="s">
        <v>274</v>
      </c>
      <c r="B2033" s="7" t="s">
        <v>725</v>
      </c>
      <c r="C2033" s="7" t="s">
        <v>725</v>
      </c>
      <c r="D2033" s="7" t="s">
        <v>1776</v>
      </c>
      <c r="E2033" s="6" t="s">
        <v>1777</v>
      </c>
      <c r="F2033" s="8" t="e">
        <f>VLOOKUP($D2033,설문!$C$2:$G$444,3,FALSE)</f>
        <v>#N/A</v>
      </c>
      <c r="G2033" s="8" t="e">
        <f>VLOOKUP($D2033,설문!$C$2:$G$444,4,FALSE)</f>
        <v>#N/A</v>
      </c>
      <c r="H2033" s="8" t="e">
        <f>VLOOKUP($D2033,설문!$C$2:$G$444,5,FALSE)</f>
        <v>#N/A</v>
      </c>
    </row>
    <row r="2034" spans="1:8">
      <c r="A2034" s="6" t="s">
        <v>274</v>
      </c>
      <c r="B2034" s="7" t="s">
        <v>149</v>
      </c>
      <c r="C2034" s="7" t="s">
        <v>149</v>
      </c>
      <c r="D2034" s="7" t="s">
        <v>1785</v>
      </c>
      <c r="E2034" s="6" t="s">
        <v>1786</v>
      </c>
      <c r="F2034" s="8" t="e">
        <f>VLOOKUP($D2034,설문!$C$2:$G$444,3,FALSE)</f>
        <v>#N/A</v>
      </c>
      <c r="G2034" s="8" t="e">
        <f>VLOOKUP($D2034,설문!$C$2:$G$444,4,FALSE)</f>
        <v>#N/A</v>
      </c>
      <c r="H2034" s="8" t="e">
        <f>VLOOKUP($D2034,설문!$C$2:$G$444,5,FALSE)</f>
        <v>#N/A</v>
      </c>
    </row>
    <row r="2035" spans="1:8">
      <c r="A2035" s="6" t="s">
        <v>274</v>
      </c>
      <c r="B2035" s="7" t="s">
        <v>725</v>
      </c>
      <c r="C2035" s="7" t="s">
        <v>725</v>
      </c>
      <c r="D2035" s="7" t="s">
        <v>1921</v>
      </c>
      <c r="E2035" s="6" t="s">
        <v>1922</v>
      </c>
      <c r="F2035" s="8" t="e">
        <f>VLOOKUP($D2035,설문!$C$2:$G$444,3,FALSE)</f>
        <v>#N/A</v>
      </c>
      <c r="G2035" s="8" t="e">
        <f>VLOOKUP($D2035,설문!$C$2:$G$444,4,FALSE)</f>
        <v>#N/A</v>
      </c>
      <c r="H2035" s="8" t="e">
        <f>VLOOKUP($D2035,설문!$C$2:$G$444,5,FALSE)</f>
        <v>#N/A</v>
      </c>
    </row>
    <row r="2036" spans="1:8">
      <c r="A2036" s="6" t="s">
        <v>274</v>
      </c>
      <c r="B2036" s="7" t="s">
        <v>6548</v>
      </c>
      <c r="C2036" s="7" t="s">
        <v>6548</v>
      </c>
      <c r="D2036" s="7" t="s">
        <v>6549</v>
      </c>
      <c r="E2036" s="6" t="s">
        <v>3786</v>
      </c>
      <c r="F2036" s="8" t="e">
        <f>VLOOKUP($D2036,설문!$C$2:$G$444,3,FALSE)</f>
        <v>#N/A</v>
      </c>
      <c r="G2036" s="8" t="e">
        <f>VLOOKUP($D2036,설문!$C$2:$G$444,4,FALSE)</f>
        <v>#N/A</v>
      </c>
      <c r="H2036" s="8" t="e">
        <f>VLOOKUP($D2036,설문!$C$2:$G$444,5,FALSE)</f>
        <v>#N/A</v>
      </c>
    </row>
    <row r="2037" spans="1:8">
      <c r="A2037" s="6" t="s">
        <v>274</v>
      </c>
      <c r="B2037" s="7" t="s">
        <v>6550</v>
      </c>
      <c r="C2037" s="7" t="s">
        <v>6550</v>
      </c>
      <c r="D2037" s="7" t="s">
        <v>6551</v>
      </c>
      <c r="E2037" s="6" t="s">
        <v>6552</v>
      </c>
      <c r="F2037" s="8" t="e">
        <f>VLOOKUP($D2037,설문!$C$2:$G$444,3,FALSE)</f>
        <v>#N/A</v>
      </c>
      <c r="G2037" s="8" t="e">
        <f>VLOOKUP($D2037,설문!$C$2:$G$444,4,FALSE)</f>
        <v>#N/A</v>
      </c>
      <c r="H2037" s="8" t="e">
        <f>VLOOKUP($D2037,설문!$C$2:$G$444,5,FALSE)</f>
        <v>#N/A</v>
      </c>
    </row>
    <row r="2038" spans="1:8">
      <c r="A2038" s="6" t="s">
        <v>274</v>
      </c>
      <c r="B2038" s="7" t="s">
        <v>6553</v>
      </c>
      <c r="C2038" s="7" t="s">
        <v>1079</v>
      </c>
      <c r="D2038" s="7" t="s">
        <v>6554</v>
      </c>
      <c r="E2038" s="6" t="s">
        <v>6555</v>
      </c>
      <c r="F2038" s="8" t="e">
        <f>VLOOKUP($D2038,설문!$C$2:$G$444,3,FALSE)</f>
        <v>#N/A</v>
      </c>
      <c r="G2038" s="8" t="e">
        <f>VLOOKUP($D2038,설문!$C$2:$G$444,4,FALSE)</f>
        <v>#N/A</v>
      </c>
      <c r="H2038" s="8" t="e">
        <f>VLOOKUP($D2038,설문!$C$2:$G$444,5,FALSE)</f>
        <v>#N/A</v>
      </c>
    </row>
    <row r="2039" spans="1:8">
      <c r="A2039" s="6" t="s">
        <v>274</v>
      </c>
      <c r="B2039" s="7" t="s">
        <v>6553</v>
      </c>
      <c r="C2039" s="7" t="s">
        <v>1079</v>
      </c>
      <c r="D2039" s="7" t="s">
        <v>6556</v>
      </c>
      <c r="E2039" s="6" t="s">
        <v>6557</v>
      </c>
      <c r="F2039" s="8" t="e">
        <f>VLOOKUP($D2039,설문!$C$2:$G$444,3,FALSE)</f>
        <v>#N/A</v>
      </c>
      <c r="G2039" s="8" t="e">
        <f>VLOOKUP($D2039,설문!$C$2:$G$444,4,FALSE)</f>
        <v>#N/A</v>
      </c>
      <c r="H2039" s="8" t="e">
        <f>VLOOKUP($D2039,설문!$C$2:$G$444,5,FALSE)</f>
        <v>#N/A</v>
      </c>
    </row>
    <row r="2040" spans="1:8">
      <c r="A2040" s="6" t="s">
        <v>274</v>
      </c>
      <c r="B2040" s="7" t="s">
        <v>6016</v>
      </c>
      <c r="C2040" s="7" t="s">
        <v>6016</v>
      </c>
      <c r="D2040" s="7" t="s">
        <v>6558</v>
      </c>
      <c r="E2040" s="6" t="s">
        <v>6559</v>
      </c>
      <c r="F2040" s="8" t="e">
        <f>VLOOKUP($D2040,설문!$C$2:$G$444,3,FALSE)</f>
        <v>#N/A</v>
      </c>
      <c r="G2040" s="8" t="e">
        <f>VLOOKUP($D2040,설문!$C$2:$G$444,4,FALSE)</f>
        <v>#N/A</v>
      </c>
      <c r="H2040" s="8" t="e">
        <f>VLOOKUP($D2040,설문!$C$2:$G$444,5,FALSE)</f>
        <v>#N/A</v>
      </c>
    </row>
    <row r="2041" spans="1:8">
      <c r="A2041" s="6" t="s">
        <v>274</v>
      </c>
      <c r="B2041" s="7" t="s">
        <v>1600</v>
      </c>
      <c r="C2041" s="7" t="s">
        <v>6560</v>
      </c>
      <c r="D2041" s="7" t="s">
        <v>6561</v>
      </c>
      <c r="E2041" s="6" t="s">
        <v>6562</v>
      </c>
      <c r="F2041" s="8" t="e">
        <f>VLOOKUP($D2041,설문!$C$2:$G$444,3,FALSE)</f>
        <v>#N/A</v>
      </c>
      <c r="G2041" s="8" t="e">
        <f>VLOOKUP($D2041,설문!$C$2:$G$444,4,FALSE)</f>
        <v>#N/A</v>
      </c>
      <c r="H2041" s="8" t="e">
        <f>VLOOKUP($D2041,설문!$C$2:$G$444,5,FALSE)</f>
        <v>#N/A</v>
      </c>
    </row>
    <row r="2042" spans="1:8">
      <c r="A2042" s="6" t="s">
        <v>274</v>
      </c>
      <c r="B2042" s="7" t="s">
        <v>6563</v>
      </c>
      <c r="C2042" s="7" t="s">
        <v>6564</v>
      </c>
      <c r="D2042" s="7" t="s">
        <v>6565</v>
      </c>
      <c r="E2042" s="6" t="s">
        <v>6566</v>
      </c>
      <c r="F2042" s="8" t="str">
        <f>VLOOKUP($D2042,설문!$C$2:$G$444,3,FALSE)</f>
        <v>백오피스</v>
      </c>
      <c r="G2042" s="8" t="str">
        <f>VLOOKUP($D2042,설문!$C$2:$G$444,4,FALSE)</f>
        <v>일반기업고객,개인고객</v>
      </c>
      <c r="H2042" s="8" t="str">
        <f>VLOOKUP($D2042,설문!$C$2:$G$444,5,FALSE)</f>
        <v>국내주식/지수</v>
      </c>
    </row>
    <row r="2043" spans="1:8">
      <c r="A2043" s="6" t="s">
        <v>274</v>
      </c>
      <c r="B2043" s="7" t="s">
        <v>6567</v>
      </c>
      <c r="C2043" s="7" t="s">
        <v>116</v>
      </c>
      <c r="D2043" s="7" t="s">
        <v>6568</v>
      </c>
      <c r="E2043" s="6" t="s">
        <v>6569</v>
      </c>
      <c r="F2043" s="8" t="e">
        <f>VLOOKUP($D2043,설문!$C$2:$G$444,3,FALSE)</f>
        <v>#N/A</v>
      </c>
      <c r="G2043" s="8" t="e">
        <f>VLOOKUP($D2043,설문!$C$2:$G$444,4,FALSE)</f>
        <v>#N/A</v>
      </c>
      <c r="H2043" s="8" t="e">
        <f>VLOOKUP($D2043,설문!$C$2:$G$444,5,FALSE)</f>
        <v>#N/A</v>
      </c>
    </row>
    <row r="2044" spans="1:8">
      <c r="A2044" s="6" t="s">
        <v>274</v>
      </c>
      <c r="B2044" s="7" t="s">
        <v>1552</v>
      </c>
      <c r="C2044" s="7" t="s">
        <v>6570</v>
      </c>
      <c r="D2044" s="7" t="s">
        <v>6571</v>
      </c>
      <c r="E2044" s="6" t="s">
        <v>6572</v>
      </c>
      <c r="F2044" s="8" t="e">
        <f>VLOOKUP($D2044,설문!$C$2:$G$444,3,FALSE)</f>
        <v>#N/A</v>
      </c>
      <c r="G2044" s="8" t="e">
        <f>VLOOKUP($D2044,설문!$C$2:$G$444,4,FALSE)</f>
        <v>#N/A</v>
      </c>
      <c r="H2044" s="8" t="e">
        <f>VLOOKUP($D2044,설문!$C$2:$G$444,5,FALSE)</f>
        <v>#N/A</v>
      </c>
    </row>
    <row r="2045" spans="1:8">
      <c r="A2045" s="6" t="s">
        <v>274</v>
      </c>
      <c r="B2045" s="7" t="s">
        <v>3037</v>
      </c>
      <c r="C2045" s="7" t="s">
        <v>458</v>
      </c>
      <c r="D2045" s="7" t="s">
        <v>6573</v>
      </c>
      <c r="E2045" s="6" t="s">
        <v>6574</v>
      </c>
      <c r="F2045" s="8" t="e">
        <f>VLOOKUP($D2045,설문!$C$2:$G$444,3,FALSE)</f>
        <v>#N/A</v>
      </c>
      <c r="G2045" s="8" t="e">
        <f>VLOOKUP($D2045,설문!$C$2:$G$444,4,FALSE)</f>
        <v>#N/A</v>
      </c>
      <c r="H2045" s="8" t="e">
        <f>VLOOKUP($D2045,설문!$C$2:$G$444,5,FALSE)</f>
        <v>#N/A</v>
      </c>
    </row>
    <row r="2046" spans="1:8">
      <c r="A2046" s="6" t="s">
        <v>274</v>
      </c>
      <c r="B2046" s="7" t="s">
        <v>1131</v>
      </c>
      <c r="C2046" s="7" t="s">
        <v>6575</v>
      </c>
      <c r="D2046" s="7" t="s">
        <v>6576</v>
      </c>
      <c r="E2046" s="6" t="s">
        <v>6577</v>
      </c>
      <c r="F2046" s="8" t="str">
        <f>VLOOKUP($D2046,설문!$C$2:$G$444,3,FALSE)</f>
        <v>퀀트,리스크관리(미들)</v>
      </c>
      <c r="G2046" s="8" t="str">
        <f>VLOOKUP($D2046,설문!$C$2:$G$444,4,FALSE)</f>
        <v>금융회사</v>
      </c>
      <c r="H2046" s="8" t="str">
        <f>VLOOKUP($D2046,설문!$C$2:$G$444,5,FALSE)</f>
        <v>국내주식/지수,국고채/통안채,회사채,소액채권,RP,단기자금,국채선물,Korean Paper,외화채권(KP제외),외화채권선물,원화 구조화채권,국내주식/지수관련파생,외화 구조화채권,원화 이자율스왑,외화 이자율스왑,FX Spot &amp; FX Swap,CRS &amp; FX Option,FRA/이자율옵션,신용파생,해외주식/지수,해외주식/지수관련파생,ETF/ETN,ELS/DLS,IB(발행, M&amp;A 등),대체투자(부동산/인프라)</v>
      </c>
    </row>
    <row r="2047" spans="1:8">
      <c r="A2047" s="6" t="s">
        <v>274</v>
      </c>
      <c r="B2047" s="7" t="s">
        <v>448</v>
      </c>
      <c r="C2047" s="7" t="s">
        <v>448</v>
      </c>
      <c r="D2047" s="7" t="s">
        <v>6578</v>
      </c>
      <c r="E2047" s="6" t="s">
        <v>2331</v>
      </c>
      <c r="F2047" s="8" t="e">
        <f>VLOOKUP($D2047,설문!$C$2:$G$444,3,FALSE)</f>
        <v>#N/A</v>
      </c>
      <c r="G2047" s="8" t="e">
        <f>VLOOKUP($D2047,설문!$C$2:$G$444,4,FALSE)</f>
        <v>#N/A</v>
      </c>
      <c r="H2047" s="8" t="e">
        <f>VLOOKUP($D2047,설문!$C$2:$G$444,5,FALSE)</f>
        <v>#N/A</v>
      </c>
    </row>
    <row r="2048" spans="1:8">
      <c r="A2048" s="6" t="s">
        <v>274</v>
      </c>
      <c r="B2048" s="7" t="s">
        <v>4716</v>
      </c>
      <c r="C2048" s="7" t="s">
        <v>4716</v>
      </c>
      <c r="D2048" s="7" t="s">
        <v>6579</v>
      </c>
      <c r="E2048" s="6" t="s">
        <v>6580</v>
      </c>
      <c r="F2048" s="8" t="e">
        <f>VLOOKUP($D2048,설문!$C$2:$G$444,3,FALSE)</f>
        <v>#N/A</v>
      </c>
      <c r="G2048" s="8" t="e">
        <f>VLOOKUP($D2048,설문!$C$2:$G$444,4,FALSE)</f>
        <v>#N/A</v>
      </c>
      <c r="H2048" s="8" t="e">
        <f>VLOOKUP($D2048,설문!$C$2:$G$444,5,FALSE)</f>
        <v>#N/A</v>
      </c>
    </row>
    <row r="2049" spans="1:8">
      <c r="A2049" s="6" t="s">
        <v>274</v>
      </c>
      <c r="B2049" s="7" t="s">
        <v>74</v>
      </c>
      <c r="C2049" s="7" t="s">
        <v>609</v>
      </c>
      <c r="D2049" s="7" t="s">
        <v>6581</v>
      </c>
      <c r="E2049" s="6" t="s">
        <v>6582</v>
      </c>
      <c r="F2049" s="8" t="e">
        <f>VLOOKUP($D2049,설문!$C$2:$G$444,3,FALSE)</f>
        <v>#N/A</v>
      </c>
      <c r="G2049" s="8" t="e">
        <f>VLOOKUP($D2049,설문!$C$2:$G$444,4,FALSE)</f>
        <v>#N/A</v>
      </c>
      <c r="H2049" s="8" t="e">
        <f>VLOOKUP($D2049,설문!$C$2:$G$444,5,FALSE)</f>
        <v>#N/A</v>
      </c>
    </row>
    <row r="2050" spans="1:8">
      <c r="A2050" s="6" t="s">
        <v>274</v>
      </c>
      <c r="B2050" s="7" t="s">
        <v>74</v>
      </c>
      <c r="C2050" s="7" t="s">
        <v>609</v>
      </c>
      <c r="D2050" s="7" t="s">
        <v>6583</v>
      </c>
      <c r="E2050" s="6" t="s">
        <v>6584</v>
      </c>
      <c r="F2050" s="8" t="e">
        <f>VLOOKUP($D2050,설문!$C$2:$G$444,3,FALSE)</f>
        <v>#N/A</v>
      </c>
      <c r="G2050" s="8" t="e">
        <f>VLOOKUP($D2050,설문!$C$2:$G$444,4,FALSE)</f>
        <v>#N/A</v>
      </c>
      <c r="H2050" s="8" t="e">
        <f>VLOOKUP($D2050,설문!$C$2:$G$444,5,FALSE)</f>
        <v>#N/A</v>
      </c>
    </row>
    <row r="2051" spans="1:8">
      <c r="A2051" s="6" t="s">
        <v>274</v>
      </c>
      <c r="B2051" s="7" t="s">
        <v>74</v>
      </c>
      <c r="C2051" s="7" t="s">
        <v>609</v>
      </c>
      <c r="D2051" s="7" t="s">
        <v>6585</v>
      </c>
      <c r="E2051" s="6" t="s">
        <v>6586</v>
      </c>
      <c r="F2051" s="8" t="e">
        <f>VLOOKUP($D2051,설문!$C$2:$G$444,3,FALSE)</f>
        <v>#N/A</v>
      </c>
      <c r="G2051" s="8" t="e">
        <f>VLOOKUP($D2051,설문!$C$2:$G$444,4,FALSE)</f>
        <v>#N/A</v>
      </c>
      <c r="H2051" s="8" t="e">
        <f>VLOOKUP($D2051,설문!$C$2:$G$444,5,FALSE)</f>
        <v>#N/A</v>
      </c>
    </row>
    <row r="2052" spans="1:8">
      <c r="A2052" s="6" t="s">
        <v>274</v>
      </c>
      <c r="B2052" s="7" t="s">
        <v>6587</v>
      </c>
      <c r="C2052" s="7" t="s">
        <v>6560</v>
      </c>
      <c r="D2052" s="7" t="s">
        <v>6588</v>
      </c>
      <c r="E2052" s="6" t="s">
        <v>5968</v>
      </c>
      <c r="F2052" s="8" t="e">
        <f>VLOOKUP($D2052,설문!$C$2:$G$444,3,FALSE)</f>
        <v>#N/A</v>
      </c>
      <c r="G2052" s="8" t="e">
        <f>VLOOKUP($D2052,설문!$C$2:$G$444,4,FALSE)</f>
        <v>#N/A</v>
      </c>
      <c r="H2052" s="8" t="e">
        <f>VLOOKUP($D2052,설문!$C$2:$G$444,5,FALSE)</f>
        <v>#N/A</v>
      </c>
    </row>
    <row r="2053" spans="1:8">
      <c r="A2053" s="6" t="s">
        <v>274</v>
      </c>
      <c r="B2053" s="7" t="s">
        <v>725</v>
      </c>
      <c r="C2053" s="7" t="s">
        <v>725</v>
      </c>
      <c r="D2053" s="7" t="s">
        <v>6589</v>
      </c>
      <c r="E2053" s="6" t="s">
        <v>6590</v>
      </c>
      <c r="F2053" s="8" t="e">
        <f>VLOOKUP($D2053,설문!$C$2:$G$444,3,FALSE)</f>
        <v>#N/A</v>
      </c>
      <c r="G2053" s="8" t="e">
        <f>VLOOKUP($D2053,설문!$C$2:$G$444,4,FALSE)</f>
        <v>#N/A</v>
      </c>
      <c r="H2053" s="8" t="e">
        <f>VLOOKUP($D2053,설문!$C$2:$G$444,5,FALSE)</f>
        <v>#N/A</v>
      </c>
    </row>
    <row r="2054" spans="1:8">
      <c r="A2054" s="6" t="s">
        <v>274</v>
      </c>
      <c r="B2054" s="7" t="s">
        <v>725</v>
      </c>
      <c r="C2054" s="7" t="s">
        <v>725</v>
      </c>
      <c r="D2054" s="7" t="s">
        <v>6591</v>
      </c>
      <c r="E2054" s="6" t="s">
        <v>2117</v>
      </c>
      <c r="F2054" s="8" t="e">
        <f>VLOOKUP($D2054,설문!$C$2:$G$444,3,FALSE)</f>
        <v>#N/A</v>
      </c>
      <c r="G2054" s="8" t="e">
        <f>VLOOKUP($D2054,설문!$C$2:$G$444,4,FALSE)</f>
        <v>#N/A</v>
      </c>
      <c r="H2054" s="8" t="e">
        <f>VLOOKUP($D2054,설문!$C$2:$G$444,5,FALSE)</f>
        <v>#N/A</v>
      </c>
    </row>
    <row r="2055" spans="1:8">
      <c r="A2055" s="6" t="s">
        <v>274</v>
      </c>
      <c r="B2055" s="7" t="s">
        <v>149</v>
      </c>
      <c r="C2055" s="7" t="s">
        <v>149</v>
      </c>
      <c r="D2055" s="7" t="s">
        <v>6592</v>
      </c>
      <c r="E2055" s="6" t="s">
        <v>6593</v>
      </c>
      <c r="F2055" s="8" t="e">
        <f>VLOOKUP($D2055,설문!$C$2:$G$444,3,FALSE)</f>
        <v>#N/A</v>
      </c>
      <c r="G2055" s="8" t="e">
        <f>VLOOKUP($D2055,설문!$C$2:$G$444,4,FALSE)</f>
        <v>#N/A</v>
      </c>
      <c r="H2055" s="8" t="e">
        <f>VLOOKUP($D2055,설문!$C$2:$G$444,5,FALSE)</f>
        <v>#N/A</v>
      </c>
    </row>
    <row r="2056" spans="1:8">
      <c r="A2056" s="6" t="s">
        <v>274</v>
      </c>
      <c r="B2056" s="7" t="s">
        <v>149</v>
      </c>
      <c r="C2056" s="7" t="s">
        <v>149</v>
      </c>
      <c r="D2056" s="7" t="s">
        <v>6594</v>
      </c>
      <c r="E2056" s="6" t="s">
        <v>1966</v>
      </c>
      <c r="F2056" s="8" t="e">
        <f>VLOOKUP($D2056,설문!$C$2:$G$444,3,FALSE)</f>
        <v>#N/A</v>
      </c>
      <c r="G2056" s="8" t="e">
        <f>VLOOKUP($D2056,설문!$C$2:$G$444,4,FALSE)</f>
        <v>#N/A</v>
      </c>
      <c r="H2056" s="8" t="e">
        <f>VLOOKUP($D2056,설문!$C$2:$G$444,5,FALSE)</f>
        <v>#N/A</v>
      </c>
    </row>
    <row r="2057" spans="1:8">
      <c r="A2057" s="6" t="s">
        <v>274</v>
      </c>
      <c r="B2057" s="7" t="s">
        <v>149</v>
      </c>
      <c r="C2057" s="7" t="s">
        <v>149</v>
      </c>
      <c r="D2057" s="7" t="s">
        <v>6595</v>
      </c>
      <c r="E2057" s="6" t="s">
        <v>4295</v>
      </c>
      <c r="F2057" s="8" t="str">
        <f>VLOOKUP($D2057,설문!$C$2:$G$444,3,FALSE)</f>
        <v>백오피스</v>
      </c>
      <c r="G2057" s="8" t="str">
        <f>VLOOKUP($D2057,설문!$C$2:$G$444,4,FALSE)</f>
        <v>금융회사</v>
      </c>
      <c r="H2057" s="8" t="str">
        <f>VLOOKUP($D2057,설문!$C$2:$G$444,5,FALSE)</f>
        <v>국고채/통안채,회사채,소액채권,RP</v>
      </c>
    </row>
    <row r="2058" spans="1:8">
      <c r="A2058" s="6" t="s">
        <v>274</v>
      </c>
      <c r="B2058" s="7" t="s">
        <v>149</v>
      </c>
      <c r="C2058" s="7" t="s">
        <v>149</v>
      </c>
      <c r="D2058" s="7" t="s">
        <v>6596</v>
      </c>
      <c r="E2058" s="6" t="s">
        <v>6597</v>
      </c>
      <c r="F2058" s="8" t="str">
        <f>VLOOKUP($D2058,설문!$C$2:$G$444,3,FALSE)</f>
        <v>딜러,브로커</v>
      </c>
      <c r="G2058" s="8" t="str">
        <f>VLOOKUP($D2058,설문!$C$2:$G$444,4,FALSE)</f>
        <v>금융회사</v>
      </c>
      <c r="H2058" s="8" t="str">
        <f>VLOOKUP($D2058,설문!$C$2:$G$444,5,FALSE)</f>
        <v>국고채/통안채</v>
      </c>
    </row>
    <row r="2059" spans="1:8">
      <c r="A2059" s="6" t="s">
        <v>274</v>
      </c>
      <c r="B2059" s="7" t="s">
        <v>149</v>
      </c>
      <c r="C2059" s="7" t="s">
        <v>149</v>
      </c>
      <c r="D2059" s="7" t="s">
        <v>6598</v>
      </c>
      <c r="E2059" s="6" t="s">
        <v>6599</v>
      </c>
      <c r="F2059" s="8" t="e">
        <f>VLOOKUP($D2059,설문!$C$2:$G$444,3,FALSE)</f>
        <v>#N/A</v>
      </c>
      <c r="G2059" s="8" t="e">
        <f>VLOOKUP($D2059,설문!$C$2:$G$444,4,FALSE)</f>
        <v>#N/A</v>
      </c>
      <c r="H2059" s="8" t="e">
        <f>VLOOKUP($D2059,설문!$C$2:$G$444,5,FALSE)</f>
        <v>#N/A</v>
      </c>
    </row>
    <row r="2060" spans="1:8">
      <c r="A2060" s="6" t="s">
        <v>5948</v>
      </c>
      <c r="B2060" s="7" t="s">
        <v>898</v>
      </c>
      <c r="C2060" s="7" t="s">
        <v>9</v>
      </c>
      <c r="D2060" s="7" t="s">
        <v>5949</v>
      </c>
      <c r="E2060" s="6" t="s">
        <v>2833</v>
      </c>
      <c r="F2060" s="8" t="e">
        <f>VLOOKUP($D2060,설문!$C$2:$G$444,3,FALSE)</f>
        <v>#N/A</v>
      </c>
      <c r="G2060" s="8" t="e">
        <f>VLOOKUP($D2060,설문!$C$2:$G$444,4,FALSE)</f>
        <v>#N/A</v>
      </c>
      <c r="H2060" s="8" t="e">
        <f>VLOOKUP($D2060,설문!$C$2:$G$444,5,FALSE)</f>
        <v>#N/A</v>
      </c>
    </row>
    <row r="2061" spans="1:8">
      <c r="A2061" s="6" t="s">
        <v>5948</v>
      </c>
      <c r="B2061" s="7" t="s">
        <v>898</v>
      </c>
      <c r="C2061" s="7" t="s">
        <v>898</v>
      </c>
      <c r="D2061" s="7" t="s">
        <v>5950</v>
      </c>
      <c r="E2061" s="6" t="s">
        <v>5951</v>
      </c>
      <c r="F2061" s="8" t="e">
        <f>VLOOKUP($D2061,설문!$C$2:$G$444,3,FALSE)</f>
        <v>#N/A</v>
      </c>
      <c r="G2061" s="8" t="e">
        <f>VLOOKUP($D2061,설문!$C$2:$G$444,4,FALSE)</f>
        <v>#N/A</v>
      </c>
      <c r="H2061" s="8" t="e">
        <f>VLOOKUP($D2061,설문!$C$2:$G$444,5,FALSE)</f>
        <v>#N/A</v>
      </c>
    </row>
    <row r="2062" spans="1:8">
      <c r="A2062" s="6" t="s">
        <v>205</v>
      </c>
      <c r="B2062" s="7" t="s">
        <v>206</v>
      </c>
      <c r="C2062" s="7" t="s">
        <v>206</v>
      </c>
      <c r="D2062" s="7" t="s">
        <v>207</v>
      </c>
      <c r="E2062" s="6" t="s">
        <v>208</v>
      </c>
      <c r="F2062" s="8" t="e">
        <f>VLOOKUP($D2062,설문!$C$2:$G$444,3,FALSE)</f>
        <v>#N/A</v>
      </c>
      <c r="G2062" s="8" t="e">
        <f>VLOOKUP($D2062,설문!$C$2:$G$444,4,FALSE)</f>
        <v>#N/A</v>
      </c>
      <c r="H2062" s="8" t="e">
        <f>VLOOKUP($D2062,설문!$C$2:$G$444,5,FALSE)</f>
        <v>#N/A</v>
      </c>
    </row>
    <row r="2063" spans="1:8">
      <c r="A2063" s="6" t="s">
        <v>205</v>
      </c>
      <c r="B2063" s="7" t="s">
        <v>260</v>
      </c>
      <c r="C2063" s="7" t="s">
        <v>261</v>
      </c>
      <c r="D2063" s="7" t="s">
        <v>262</v>
      </c>
      <c r="E2063" s="6" t="s">
        <v>263</v>
      </c>
      <c r="F2063" s="8" t="str">
        <f>VLOOKUP($D2063,설문!$C$2:$G$444,3,FALSE)</f>
        <v>트레이더</v>
      </c>
      <c r="G2063" s="8" t="str">
        <f>VLOOKUP($D2063,설문!$C$2:$G$444,4,FALSE)</f>
        <v>금융회사</v>
      </c>
      <c r="H2063" s="8" t="str">
        <f>VLOOKUP($D2063,설문!$C$2:$G$444,5,FALSE)</f>
        <v>국내주식/지수,국내주식/지수관련파생,ETF/ETN</v>
      </c>
    </row>
    <row r="2064" spans="1:8">
      <c r="A2064" s="6" t="s">
        <v>205</v>
      </c>
      <c r="B2064" s="7" t="s">
        <v>513</v>
      </c>
      <c r="C2064" s="7" t="s">
        <v>513</v>
      </c>
      <c r="D2064" s="7" t="s">
        <v>514</v>
      </c>
      <c r="E2064" s="6" t="s">
        <v>515</v>
      </c>
      <c r="F2064" s="8" t="e">
        <f>VLOOKUP($D2064,설문!$C$2:$G$444,3,FALSE)</f>
        <v>#N/A</v>
      </c>
      <c r="G2064" s="8" t="e">
        <f>VLOOKUP($D2064,설문!$C$2:$G$444,4,FALSE)</f>
        <v>#N/A</v>
      </c>
      <c r="H2064" s="8" t="e">
        <f>VLOOKUP($D2064,설문!$C$2:$G$444,5,FALSE)</f>
        <v>#N/A</v>
      </c>
    </row>
    <row r="2065" spans="1:8">
      <c r="A2065" s="6" t="s">
        <v>205</v>
      </c>
      <c r="B2065" s="7" t="s">
        <v>513</v>
      </c>
      <c r="C2065" s="7" t="s">
        <v>513</v>
      </c>
      <c r="D2065" s="7" t="s">
        <v>516</v>
      </c>
      <c r="E2065" s="6" t="s">
        <v>517</v>
      </c>
      <c r="F2065" s="8" t="e">
        <f>VLOOKUP($D2065,설문!$C$2:$G$444,3,FALSE)</f>
        <v>#N/A</v>
      </c>
      <c r="G2065" s="8" t="e">
        <f>VLOOKUP($D2065,설문!$C$2:$G$444,4,FALSE)</f>
        <v>#N/A</v>
      </c>
      <c r="H2065" s="8" t="e">
        <f>VLOOKUP($D2065,설문!$C$2:$G$444,5,FALSE)</f>
        <v>#N/A</v>
      </c>
    </row>
    <row r="2066" spans="1:8">
      <c r="A2066" s="6" t="s">
        <v>205</v>
      </c>
      <c r="B2066" s="7" t="s">
        <v>513</v>
      </c>
      <c r="C2066" s="7" t="s">
        <v>513</v>
      </c>
      <c r="D2066" s="7" t="s">
        <v>518</v>
      </c>
      <c r="E2066" s="6" t="s">
        <v>519</v>
      </c>
      <c r="F2066" s="8" t="str">
        <f>VLOOKUP($D2066,설문!$C$2:$G$444,3,FALSE)</f>
        <v>브로커</v>
      </c>
      <c r="G2066" s="8" t="str">
        <f>VLOOKUP($D2066,설문!$C$2:$G$444,4,FALSE)</f>
        <v>금융회사,금융 유관기관</v>
      </c>
      <c r="H2066" s="8" t="str">
        <f>VLOOKUP($D2066,설문!$C$2:$G$444,5,FALSE)</f>
        <v>국고채/통안채,회사채,원화 구조화채권</v>
      </c>
    </row>
    <row r="2067" spans="1:8">
      <c r="A2067" s="6" t="s">
        <v>205</v>
      </c>
      <c r="B2067" s="7" t="s">
        <v>513</v>
      </c>
      <c r="C2067" s="7" t="s">
        <v>513</v>
      </c>
      <c r="D2067" s="7" t="s">
        <v>520</v>
      </c>
      <c r="E2067" s="6" t="s">
        <v>521</v>
      </c>
      <c r="F2067" s="8" t="e">
        <f>VLOOKUP($D2067,설문!$C$2:$G$444,3,FALSE)</f>
        <v>#N/A</v>
      </c>
      <c r="G2067" s="8" t="e">
        <f>VLOOKUP($D2067,설문!$C$2:$G$444,4,FALSE)</f>
        <v>#N/A</v>
      </c>
      <c r="H2067" s="8" t="e">
        <f>VLOOKUP($D2067,설문!$C$2:$G$444,5,FALSE)</f>
        <v>#N/A</v>
      </c>
    </row>
    <row r="2068" spans="1:8">
      <c r="A2068" s="6" t="s">
        <v>205</v>
      </c>
      <c r="B2068" s="7" t="s">
        <v>260</v>
      </c>
      <c r="C2068" s="7" t="s">
        <v>261</v>
      </c>
      <c r="D2068" s="7" t="s">
        <v>695</v>
      </c>
      <c r="E2068" s="6" t="s">
        <v>696</v>
      </c>
      <c r="F2068" s="8" t="e">
        <f>VLOOKUP($D2068,설문!$C$2:$G$444,3,FALSE)</f>
        <v>#N/A</v>
      </c>
      <c r="G2068" s="8" t="e">
        <f>VLOOKUP($D2068,설문!$C$2:$G$444,4,FALSE)</f>
        <v>#N/A</v>
      </c>
      <c r="H2068" s="8" t="e">
        <f>VLOOKUP($D2068,설문!$C$2:$G$444,5,FALSE)</f>
        <v>#N/A</v>
      </c>
    </row>
    <row r="2069" spans="1:8">
      <c r="A2069" s="6" t="s">
        <v>205</v>
      </c>
      <c r="B2069" s="7" t="s">
        <v>493</v>
      </c>
      <c r="C2069" s="7" t="s">
        <v>493</v>
      </c>
      <c r="D2069" s="7" t="s">
        <v>1263</v>
      </c>
      <c r="E2069" s="6" t="s">
        <v>1264</v>
      </c>
      <c r="F2069" s="8" t="e">
        <f>VLOOKUP($D2069,설문!$C$2:$G$444,3,FALSE)</f>
        <v>#N/A</v>
      </c>
      <c r="G2069" s="8" t="e">
        <f>VLOOKUP($D2069,설문!$C$2:$G$444,4,FALSE)</f>
        <v>#N/A</v>
      </c>
      <c r="H2069" s="8" t="e">
        <f>VLOOKUP($D2069,설문!$C$2:$G$444,5,FALSE)</f>
        <v>#N/A</v>
      </c>
    </row>
    <row r="2070" spans="1:8">
      <c r="A2070" s="6" t="s">
        <v>205</v>
      </c>
      <c r="B2070" s="7" t="s">
        <v>260</v>
      </c>
      <c r="C2070" s="7" t="s">
        <v>260</v>
      </c>
      <c r="D2070" s="7" t="s">
        <v>1338</v>
      </c>
      <c r="E2070" s="6" t="s">
        <v>1339</v>
      </c>
      <c r="F2070" s="8" t="e">
        <f>VLOOKUP($D2070,설문!$C$2:$G$444,3,FALSE)</f>
        <v>#N/A</v>
      </c>
      <c r="G2070" s="8" t="e">
        <f>VLOOKUP($D2070,설문!$C$2:$G$444,4,FALSE)</f>
        <v>#N/A</v>
      </c>
      <c r="H2070" s="8" t="e">
        <f>VLOOKUP($D2070,설문!$C$2:$G$444,5,FALSE)</f>
        <v>#N/A</v>
      </c>
    </row>
    <row r="2071" spans="1:8">
      <c r="A2071" s="6" t="s">
        <v>205</v>
      </c>
      <c r="B2071" s="7" t="s">
        <v>227</v>
      </c>
      <c r="C2071" s="7" t="s">
        <v>227</v>
      </c>
      <c r="D2071" s="7" t="s">
        <v>1381</v>
      </c>
      <c r="E2071" s="6" t="s">
        <v>1382</v>
      </c>
      <c r="F2071" s="8" t="e">
        <f>VLOOKUP($D2071,설문!$C$2:$G$444,3,FALSE)</f>
        <v>#N/A</v>
      </c>
      <c r="G2071" s="8" t="e">
        <f>VLOOKUP($D2071,설문!$C$2:$G$444,4,FALSE)</f>
        <v>#N/A</v>
      </c>
      <c r="H2071" s="8" t="e">
        <f>VLOOKUP($D2071,설문!$C$2:$G$444,5,FALSE)</f>
        <v>#N/A</v>
      </c>
    </row>
    <row r="2072" spans="1:8">
      <c r="A2072" s="6" t="s">
        <v>205</v>
      </c>
      <c r="B2072" s="7" t="s">
        <v>260</v>
      </c>
      <c r="C2072" s="7" t="s">
        <v>260</v>
      </c>
      <c r="D2072" s="7" t="s">
        <v>1557</v>
      </c>
      <c r="E2072" s="6" t="s">
        <v>1558</v>
      </c>
      <c r="F2072" s="8" t="str">
        <f>VLOOKUP($D2072,설문!$C$2:$G$444,3,FALSE)</f>
        <v>트레이더</v>
      </c>
      <c r="G2072" s="8" t="str">
        <f>VLOOKUP($D2072,설문!$C$2:$G$444,4,FALSE)</f>
        <v>금융회사</v>
      </c>
      <c r="H2072" s="8" t="str">
        <f>VLOOKUP($D2072,설문!$C$2:$G$444,5,FALSE)</f>
        <v>국내주식/지수,국내주식/지수관련파생,ETF/ETN,ELW</v>
      </c>
    </row>
    <row r="2073" spans="1:8">
      <c r="A2073" s="6" t="s">
        <v>205</v>
      </c>
      <c r="B2073" s="7" t="s">
        <v>1654</v>
      </c>
      <c r="C2073" s="7" t="s">
        <v>1654</v>
      </c>
      <c r="D2073" s="7" t="s">
        <v>1655</v>
      </c>
      <c r="E2073" s="6" t="s">
        <v>1656</v>
      </c>
      <c r="F2073" s="8" t="e">
        <f>VLOOKUP($D2073,설문!$C$2:$G$444,3,FALSE)</f>
        <v>#N/A</v>
      </c>
      <c r="G2073" s="8" t="e">
        <f>VLOOKUP($D2073,설문!$C$2:$G$444,4,FALSE)</f>
        <v>#N/A</v>
      </c>
      <c r="H2073" s="8" t="e">
        <f>VLOOKUP($D2073,설문!$C$2:$G$444,5,FALSE)</f>
        <v>#N/A</v>
      </c>
    </row>
    <row r="2074" spans="1:8">
      <c r="A2074" s="6" t="s">
        <v>205</v>
      </c>
      <c r="B2074" s="7" t="s">
        <v>898</v>
      </c>
      <c r="C2074" s="7" t="s">
        <v>898</v>
      </c>
      <c r="D2074" s="7" t="s">
        <v>1879</v>
      </c>
      <c r="E2074" s="6" t="s">
        <v>1880</v>
      </c>
      <c r="F2074" s="8" t="e">
        <f>VLOOKUP($D2074,설문!$C$2:$G$444,3,FALSE)</f>
        <v>#N/A</v>
      </c>
      <c r="G2074" s="8" t="e">
        <f>VLOOKUP($D2074,설문!$C$2:$G$444,4,FALSE)</f>
        <v>#N/A</v>
      </c>
      <c r="H2074" s="8" t="e">
        <f>VLOOKUP($D2074,설문!$C$2:$G$444,5,FALSE)</f>
        <v>#N/A</v>
      </c>
    </row>
    <row r="2075" spans="1:8">
      <c r="A2075" s="6" t="s">
        <v>205</v>
      </c>
      <c r="B2075" s="7" t="s">
        <v>898</v>
      </c>
      <c r="C2075" s="7" t="s">
        <v>898</v>
      </c>
      <c r="D2075" s="7" t="s">
        <v>1881</v>
      </c>
      <c r="E2075" s="6" t="s">
        <v>1882</v>
      </c>
      <c r="F2075" s="8" t="e">
        <f>VLOOKUP($D2075,설문!$C$2:$G$444,3,FALSE)</f>
        <v>#N/A</v>
      </c>
      <c r="G2075" s="8" t="e">
        <f>VLOOKUP($D2075,설문!$C$2:$G$444,4,FALSE)</f>
        <v>#N/A</v>
      </c>
      <c r="H2075" s="8" t="e">
        <f>VLOOKUP($D2075,설문!$C$2:$G$444,5,FALSE)</f>
        <v>#N/A</v>
      </c>
    </row>
    <row r="2076" spans="1:8">
      <c r="A2076" s="6" t="s">
        <v>205</v>
      </c>
      <c r="B2076" s="7" t="s">
        <v>6286</v>
      </c>
      <c r="C2076" s="7" t="s">
        <v>6286</v>
      </c>
      <c r="D2076" s="7" t="s">
        <v>6287</v>
      </c>
      <c r="E2076" s="6" t="s">
        <v>6288</v>
      </c>
      <c r="F2076" s="8" t="e">
        <f>VLOOKUP($D2076,설문!$C$2:$G$444,3,FALSE)</f>
        <v>#N/A</v>
      </c>
      <c r="G2076" s="8" t="e">
        <f>VLOOKUP($D2076,설문!$C$2:$G$444,4,FALSE)</f>
        <v>#N/A</v>
      </c>
      <c r="H2076" s="8" t="e">
        <f>VLOOKUP($D2076,설문!$C$2:$G$444,5,FALSE)</f>
        <v>#N/A</v>
      </c>
    </row>
    <row r="2077" spans="1:8">
      <c r="A2077" s="6" t="s">
        <v>205</v>
      </c>
      <c r="B2077" s="7" t="s">
        <v>898</v>
      </c>
      <c r="C2077" s="7" t="s">
        <v>898</v>
      </c>
      <c r="D2077" s="7" t="s">
        <v>6289</v>
      </c>
      <c r="E2077" s="6" t="s">
        <v>326</v>
      </c>
      <c r="F2077" s="8" t="str">
        <f>VLOOKUP($D2077,설문!$C$2:$G$444,3,FALSE)</f>
        <v>백오피스</v>
      </c>
      <c r="G2077" s="8" t="str">
        <f>VLOOKUP($D2077,설문!$C$2:$G$444,4,FALSE)</f>
        <v>금융회사</v>
      </c>
      <c r="H2077" s="8" t="str">
        <f>VLOOKUP($D2077,설문!$C$2:$G$444,5,FALSE)</f>
        <v>국고채/통안채,회사채</v>
      </c>
    </row>
    <row r="2078" spans="1:8">
      <c r="A2078" s="6" t="s">
        <v>205</v>
      </c>
      <c r="B2078" s="7" t="s">
        <v>3316</v>
      </c>
      <c r="C2078" s="7" t="s">
        <v>3316</v>
      </c>
      <c r="D2078" s="7" t="s">
        <v>6290</v>
      </c>
      <c r="E2078" s="6" t="s">
        <v>6291</v>
      </c>
      <c r="F2078" s="8" t="e">
        <f>VLOOKUP($D2078,설문!$C$2:$G$444,3,FALSE)</f>
        <v>#N/A</v>
      </c>
      <c r="G2078" s="8" t="e">
        <f>VLOOKUP($D2078,설문!$C$2:$G$444,4,FALSE)</f>
        <v>#N/A</v>
      </c>
      <c r="H2078" s="8" t="e">
        <f>VLOOKUP($D2078,설문!$C$2:$G$444,5,FALSE)</f>
        <v>#N/A</v>
      </c>
    </row>
    <row r="2079" spans="1:8">
      <c r="A2079" s="6" t="s">
        <v>205</v>
      </c>
      <c r="B2079" s="7" t="s">
        <v>1654</v>
      </c>
      <c r="C2079" s="7" t="s">
        <v>1654</v>
      </c>
      <c r="D2079" s="7" t="s">
        <v>6292</v>
      </c>
      <c r="E2079" s="6" t="s">
        <v>6293</v>
      </c>
      <c r="F2079" s="8" t="e">
        <f>VLOOKUP($D2079,설문!$C$2:$G$444,3,FALSE)</f>
        <v>#N/A</v>
      </c>
      <c r="G2079" s="8" t="e">
        <f>VLOOKUP($D2079,설문!$C$2:$G$444,4,FALSE)</f>
        <v>#N/A</v>
      </c>
      <c r="H2079" s="8" t="e">
        <f>VLOOKUP($D2079,설문!$C$2:$G$444,5,FALSE)</f>
        <v>#N/A</v>
      </c>
    </row>
    <row r="2080" spans="1:8">
      <c r="A2080" s="6" t="s">
        <v>205</v>
      </c>
      <c r="B2080" s="7" t="s">
        <v>6294</v>
      </c>
      <c r="C2080" s="7" t="s">
        <v>6294</v>
      </c>
      <c r="D2080" s="7" t="s">
        <v>6295</v>
      </c>
      <c r="E2080" s="6" t="s">
        <v>6296</v>
      </c>
      <c r="F2080" s="8" t="e">
        <f>VLOOKUP($D2080,설문!$C$2:$G$444,3,FALSE)</f>
        <v>#N/A</v>
      </c>
      <c r="G2080" s="8" t="e">
        <f>VLOOKUP($D2080,설문!$C$2:$G$444,4,FALSE)</f>
        <v>#N/A</v>
      </c>
      <c r="H2080" s="8" t="e">
        <f>VLOOKUP($D2080,설문!$C$2:$G$444,5,FALSE)</f>
        <v>#N/A</v>
      </c>
    </row>
    <row r="2081" spans="1:8">
      <c r="A2081" s="6" t="s">
        <v>205</v>
      </c>
      <c r="B2081" s="7" t="s">
        <v>6294</v>
      </c>
      <c r="C2081" s="7" t="s">
        <v>6294</v>
      </c>
      <c r="D2081" s="7" t="s">
        <v>6297</v>
      </c>
      <c r="E2081" s="6" t="s">
        <v>6298</v>
      </c>
      <c r="F2081" s="8" t="e">
        <f>VLOOKUP($D2081,설문!$C$2:$G$444,3,FALSE)</f>
        <v>#N/A</v>
      </c>
      <c r="G2081" s="8" t="e">
        <f>VLOOKUP($D2081,설문!$C$2:$G$444,4,FALSE)</f>
        <v>#N/A</v>
      </c>
      <c r="H2081" s="8" t="e">
        <f>VLOOKUP($D2081,설문!$C$2:$G$444,5,FALSE)</f>
        <v>#N/A</v>
      </c>
    </row>
    <row r="2082" spans="1:8">
      <c r="A2082" s="6" t="s">
        <v>205</v>
      </c>
      <c r="B2082" s="7" t="s">
        <v>6294</v>
      </c>
      <c r="C2082" s="7" t="s">
        <v>6294</v>
      </c>
      <c r="D2082" s="7" t="s">
        <v>6299</v>
      </c>
      <c r="E2082" s="6" t="s">
        <v>6300</v>
      </c>
      <c r="F2082" s="8" t="e">
        <f>VLOOKUP($D2082,설문!$C$2:$G$444,3,FALSE)</f>
        <v>#N/A</v>
      </c>
      <c r="G2082" s="8" t="e">
        <f>VLOOKUP($D2082,설문!$C$2:$G$444,4,FALSE)</f>
        <v>#N/A</v>
      </c>
      <c r="H2082" s="8" t="e">
        <f>VLOOKUP($D2082,설문!$C$2:$G$444,5,FALSE)</f>
        <v>#N/A</v>
      </c>
    </row>
    <row r="2083" spans="1:8">
      <c r="A2083" s="6" t="s">
        <v>205</v>
      </c>
      <c r="B2083" s="7" t="s">
        <v>1654</v>
      </c>
      <c r="C2083" s="7" t="s">
        <v>1654</v>
      </c>
      <c r="D2083" s="7" t="s">
        <v>6301</v>
      </c>
      <c r="E2083" s="6" t="s">
        <v>6302</v>
      </c>
      <c r="F2083" s="8" t="e">
        <f>VLOOKUP($D2083,설문!$C$2:$G$444,3,FALSE)</f>
        <v>#N/A</v>
      </c>
      <c r="G2083" s="8" t="e">
        <f>VLOOKUP($D2083,설문!$C$2:$G$444,4,FALSE)</f>
        <v>#N/A</v>
      </c>
      <c r="H2083" s="8" t="e">
        <f>VLOOKUP($D2083,설문!$C$2:$G$444,5,FALSE)</f>
        <v>#N/A</v>
      </c>
    </row>
    <row r="2084" spans="1:8">
      <c r="A2084" s="6" t="s">
        <v>205</v>
      </c>
      <c r="B2084" s="7" t="s">
        <v>6303</v>
      </c>
      <c r="C2084" s="7" t="s">
        <v>6303</v>
      </c>
      <c r="D2084" s="7" t="s">
        <v>6304</v>
      </c>
      <c r="E2084" s="6" t="s">
        <v>6177</v>
      </c>
      <c r="F2084" s="8" t="e">
        <f>VLOOKUP($D2084,설문!$C$2:$G$444,3,FALSE)</f>
        <v>#N/A</v>
      </c>
      <c r="G2084" s="8" t="e">
        <f>VLOOKUP($D2084,설문!$C$2:$G$444,4,FALSE)</f>
        <v>#N/A</v>
      </c>
      <c r="H2084" s="8" t="e">
        <f>VLOOKUP($D2084,설문!$C$2:$G$444,5,FALSE)</f>
        <v>#N/A</v>
      </c>
    </row>
    <row r="2085" spans="1:8">
      <c r="A2085" s="6" t="s">
        <v>205</v>
      </c>
      <c r="B2085" s="7" t="s">
        <v>6303</v>
      </c>
      <c r="C2085" s="7" t="s">
        <v>6303</v>
      </c>
      <c r="D2085" s="7" t="s">
        <v>6305</v>
      </c>
      <c r="E2085" s="6" t="s">
        <v>6306</v>
      </c>
      <c r="F2085" s="8" t="e">
        <f>VLOOKUP($D2085,설문!$C$2:$G$444,3,FALSE)</f>
        <v>#N/A</v>
      </c>
      <c r="G2085" s="8" t="e">
        <f>VLOOKUP($D2085,설문!$C$2:$G$444,4,FALSE)</f>
        <v>#N/A</v>
      </c>
      <c r="H2085" s="8" t="e">
        <f>VLOOKUP($D2085,설문!$C$2:$G$444,5,FALSE)</f>
        <v>#N/A</v>
      </c>
    </row>
    <row r="2086" spans="1:8">
      <c r="A2086" s="6" t="s">
        <v>205</v>
      </c>
      <c r="B2086" s="7" t="s">
        <v>6303</v>
      </c>
      <c r="C2086" s="7" t="s">
        <v>6303</v>
      </c>
      <c r="D2086" s="7" t="s">
        <v>6307</v>
      </c>
      <c r="E2086" s="6" t="s">
        <v>6308</v>
      </c>
      <c r="F2086" s="8" t="str">
        <f>VLOOKUP($D2086,설문!$C$2:$G$444,3,FALSE)</f>
        <v>트레이더</v>
      </c>
      <c r="G2086" s="8" t="str">
        <f>VLOOKUP($D2086,설문!$C$2:$G$444,4,FALSE)</f>
        <v>기타</v>
      </c>
      <c r="H2086" s="8" t="str">
        <f>VLOOKUP($D2086,설문!$C$2:$G$444,5,FALSE)</f>
        <v>국내주식/지수관련파생</v>
      </c>
    </row>
    <row r="2087" spans="1:8">
      <c r="A2087" s="6" t="s">
        <v>205</v>
      </c>
      <c r="B2087" s="7" t="s">
        <v>1654</v>
      </c>
      <c r="C2087" s="7" t="s">
        <v>1654</v>
      </c>
      <c r="D2087" s="7" t="s">
        <v>6309</v>
      </c>
      <c r="E2087" s="6" t="s">
        <v>6310</v>
      </c>
      <c r="F2087" s="8" t="e">
        <f>VLOOKUP($D2087,설문!$C$2:$G$444,3,FALSE)</f>
        <v>#N/A</v>
      </c>
      <c r="G2087" s="8" t="e">
        <f>VLOOKUP($D2087,설문!$C$2:$G$444,4,FALSE)</f>
        <v>#N/A</v>
      </c>
      <c r="H2087" s="8" t="e">
        <f>VLOOKUP($D2087,설문!$C$2:$G$444,5,FALSE)</f>
        <v>#N/A</v>
      </c>
    </row>
    <row r="2088" spans="1:8">
      <c r="A2088" s="6" t="s">
        <v>205</v>
      </c>
      <c r="B2088" s="7" t="s">
        <v>6303</v>
      </c>
      <c r="C2088" s="7" t="s">
        <v>6303</v>
      </c>
      <c r="D2088" s="7" t="s">
        <v>6311</v>
      </c>
      <c r="E2088" s="6" t="s">
        <v>6312</v>
      </c>
      <c r="F2088" s="8" t="e">
        <f>VLOOKUP($D2088,설문!$C$2:$G$444,3,FALSE)</f>
        <v>#N/A</v>
      </c>
      <c r="G2088" s="8" t="e">
        <f>VLOOKUP($D2088,설문!$C$2:$G$444,4,FALSE)</f>
        <v>#N/A</v>
      </c>
      <c r="H2088" s="8" t="e">
        <f>VLOOKUP($D2088,설문!$C$2:$G$444,5,FALSE)</f>
        <v>#N/A</v>
      </c>
    </row>
    <row r="2089" spans="1:8">
      <c r="A2089" s="6" t="s">
        <v>205</v>
      </c>
      <c r="B2089" s="7" t="s">
        <v>3316</v>
      </c>
      <c r="C2089" s="7" t="s">
        <v>3316</v>
      </c>
      <c r="D2089" s="7" t="s">
        <v>6313</v>
      </c>
      <c r="E2089" s="6" t="s">
        <v>4028</v>
      </c>
      <c r="F2089" s="8" t="e">
        <f>VLOOKUP($D2089,설문!$C$2:$G$444,3,FALSE)</f>
        <v>#N/A</v>
      </c>
      <c r="G2089" s="8" t="e">
        <f>VLOOKUP($D2089,설문!$C$2:$G$444,4,FALSE)</f>
        <v>#N/A</v>
      </c>
      <c r="H2089" s="8" t="e">
        <f>VLOOKUP($D2089,설문!$C$2:$G$444,5,FALSE)</f>
        <v>#N/A</v>
      </c>
    </row>
    <row r="2090" spans="1:8">
      <c r="A2090" s="6" t="s">
        <v>205</v>
      </c>
      <c r="B2090" s="7" t="s">
        <v>3316</v>
      </c>
      <c r="C2090" s="7" t="s">
        <v>3316</v>
      </c>
      <c r="D2090" s="7" t="s">
        <v>6314</v>
      </c>
      <c r="E2090" s="6" t="s">
        <v>5499</v>
      </c>
      <c r="F2090" s="8" t="e">
        <f>VLOOKUP($D2090,설문!$C$2:$G$444,3,FALSE)</f>
        <v>#N/A</v>
      </c>
      <c r="G2090" s="8" t="e">
        <f>VLOOKUP($D2090,설문!$C$2:$G$444,4,FALSE)</f>
        <v>#N/A</v>
      </c>
      <c r="H2090" s="8" t="e">
        <f>VLOOKUP($D2090,설문!$C$2:$G$444,5,FALSE)</f>
        <v>#N/A</v>
      </c>
    </row>
    <row r="2091" spans="1:8">
      <c r="A2091" s="6" t="s">
        <v>205</v>
      </c>
      <c r="B2091" s="7" t="s">
        <v>3586</v>
      </c>
      <c r="C2091" s="7" t="s">
        <v>3586</v>
      </c>
      <c r="D2091" s="7" t="s">
        <v>6315</v>
      </c>
      <c r="E2091" s="6" t="s">
        <v>6316</v>
      </c>
      <c r="F2091" s="8" t="e">
        <f>VLOOKUP($D2091,설문!$C$2:$G$444,3,FALSE)</f>
        <v>#N/A</v>
      </c>
      <c r="G2091" s="8" t="e">
        <f>VLOOKUP($D2091,설문!$C$2:$G$444,4,FALSE)</f>
        <v>#N/A</v>
      </c>
      <c r="H2091" s="8" t="e">
        <f>VLOOKUP($D2091,설문!$C$2:$G$444,5,FALSE)</f>
        <v>#N/A</v>
      </c>
    </row>
    <row r="2092" spans="1:8">
      <c r="A2092" s="6" t="s">
        <v>205</v>
      </c>
      <c r="B2092" s="7" t="s">
        <v>3586</v>
      </c>
      <c r="C2092" s="7" t="s">
        <v>3586</v>
      </c>
      <c r="D2092" s="7" t="s">
        <v>6317</v>
      </c>
      <c r="E2092" s="6" t="s">
        <v>6318</v>
      </c>
      <c r="F2092" s="8" t="e">
        <f>VLOOKUP($D2092,설문!$C$2:$G$444,3,FALSE)</f>
        <v>#N/A</v>
      </c>
      <c r="G2092" s="8" t="e">
        <f>VLOOKUP($D2092,설문!$C$2:$G$444,4,FALSE)</f>
        <v>#N/A</v>
      </c>
      <c r="H2092" s="8" t="e">
        <f>VLOOKUP($D2092,설문!$C$2:$G$444,5,FALSE)</f>
        <v>#N/A</v>
      </c>
    </row>
    <row r="2093" spans="1:8">
      <c r="A2093" s="6" t="s">
        <v>205</v>
      </c>
      <c r="B2093" s="7" t="s">
        <v>78</v>
      </c>
      <c r="C2093" s="7" t="s">
        <v>78</v>
      </c>
      <c r="D2093" s="7" t="s">
        <v>6319</v>
      </c>
      <c r="E2093" s="6" t="s">
        <v>6320</v>
      </c>
      <c r="F2093" s="8" t="e">
        <f>VLOOKUP($D2093,설문!$C$2:$G$444,3,FALSE)</f>
        <v>#N/A</v>
      </c>
      <c r="G2093" s="8" t="e">
        <f>VLOOKUP($D2093,설문!$C$2:$G$444,4,FALSE)</f>
        <v>#N/A</v>
      </c>
      <c r="H2093" s="8" t="e">
        <f>VLOOKUP($D2093,설문!$C$2:$G$444,5,FALSE)</f>
        <v>#N/A</v>
      </c>
    </row>
    <row r="2094" spans="1:8">
      <c r="A2094" s="6" t="s">
        <v>205</v>
      </c>
      <c r="B2094" s="7" t="s">
        <v>1057</v>
      </c>
      <c r="C2094" s="7" t="s">
        <v>1057</v>
      </c>
      <c r="D2094" s="7" t="s">
        <v>6321</v>
      </c>
      <c r="E2094" s="6" t="s">
        <v>6322</v>
      </c>
      <c r="F2094" s="8" t="e">
        <f>VLOOKUP($D2094,설문!$C$2:$G$444,3,FALSE)</f>
        <v>#N/A</v>
      </c>
      <c r="G2094" s="8" t="e">
        <f>VLOOKUP($D2094,설문!$C$2:$G$444,4,FALSE)</f>
        <v>#N/A</v>
      </c>
      <c r="H2094" s="8" t="e">
        <f>VLOOKUP($D2094,설문!$C$2:$G$444,5,FALSE)</f>
        <v>#N/A</v>
      </c>
    </row>
    <row r="2095" spans="1:8">
      <c r="A2095" s="6" t="s">
        <v>205</v>
      </c>
      <c r="B2095" s="7" t="s">
        <v>264</v>
      </c>
      <c r="C2095" s="7" t="s">
        <v>264</v>
      </c>
      <c r="D2095" s="7" t="s">
        <v>6323</v>
      </c>
      <c r="E2095" s="6" t="s">
        <v>6324</v>
      </c>
      <c r="F2095" s="8" t="str">
        <f>VLOOKUP($D2095,설문!$C$2:$G$444,3,FALSE)</f>
        <v>리스크관리(미들)</v>
      </c>
      <c r="G2095" s="8" t="str">
        <f>VLOOKUP($D2095,설문!$C$2:$G$444,4,FALSE)</f>
        <v>금융회사,개인고객</v>
      </c>
      <c r="H2095" s="8" t="str">
        <f>VLOOKUP($D2095,설문!$C$2:$G$444,5,FALSE)</f>
        <v>국고채/통안채,회사채,소액채권,RP,단기자금,국채선물</v>
      </c>
    </row>
    <row r="2096" spans="1:8">
      <c r="A2096" s="6" t="s">
        <v>205</v>
      </c>
      <c r="B2096" s="7" t="s">
        <v>6325</v>
      </c>
      <c r="C2096" s="7" t="s">
        <v>6325</v>
      </c>
      <c r="D2096" s="7" t="s">
        <v>6326</v>
      </c>
      <c r="E2096" s="6" t="s">
        <v>6327</v>
      </c>
      <c r="F2096" s="8" t="str">
        <f>VLOOKUP($D2096,설문!$C$2:$G$444,3,FALSE)</f>
        <v>시스템개발</v>
      </c>
      <c r="G2096" s="8" t="str">
        <f>VLOOKUP($D2096,설문!$C$2:$G$444,4,FALSE)</f>
        <v>금융회사,금융 유관기관,일반기업고객,개인고객</v>
      </c>
      <c r="H2096" s="8" t="str">
        <f>VLOOKUP($D2096,설문!$C$2:$G$444,5,FALSE)</f>
        <v>국내주식/지수,국내주식/지수관련파생,ETF/ETN,ELW,ELS/DLS</v>
      </c>
    </row>
    <row r="2097" spans="1:8">
      <c r="A2097" s="6" t="s">
        <v>205</v>
      </c>
      <c r="B2097" s="7" t="s">
        <v>6328</v>
      </c>
      <c r="C2097" s="7" t="s">
        <v>6328</v>
      </c>
      <c r="D2097" s="7" t="s">
        <v>6329</v>
      </c>
      <c r="E2097" s="6" t="s">
        <v>6330</v>
      </c>
      <c r="F2097" s="8" t="e">
        <f>VLOOKUP($D2097,설문!$C$2:$G$444,3,FALSE)</f>
        <v>#N/A</v>
      </c>
      <c r="G2097" s="8" t="e">
        <f>VLOOKUP($D2097,설문!$C$2:$G$444,4,FALSE)</f>
        <v>#N/A</v>
      </c>
      <c r="H2097" s="8" t="e">
        <f>VLOOKUP($D2097,설문!$C$2:$G$444,5,FALSE)</f>
        <v>#N/A</v>
      </c>
    </row>
    <row r="2098" spans="1:8">
      <c r="A2098" s="6" t="s">
        <v>205</v>
      </c>
      <c r="B2098" s="7" t="s">
        <v>6331</v>
      </c>
      <c r="C2098" s="7" t="s">
        <v>6331</v>
      </c>
      <c r="D2098" s="7" t="s">
        <v>6332</v>
      </c>
      <c r="E2098" s="6" t="s">
        <v>6333</v>
      </c>
      <c r="F2098" s="8" t="e">
        <f>VLOOKUP($D2098,설문!$C$2:$G$444,3,FALSE)</f>
        <v>#N/A</v>
      </c>
      <c r="G2098" s="8" t="e">
        <f>VLOOKUP($D2098,설문!$C$2:$G$444,4,FALSE)</f>
        <v>#N/A</v>
      </c>
      <c r="H2098" s="8" t="e">
        <f>VLOOKUP($D2098,설문!$C$2:$G$444,5,FALSE)</f>
        <v>#N/A</v>
      </c>
    </row>
    <row r="2099" spans="1:8">
      <c r="A2099" s="6" t="s">
        <v>205</v>
      </c>
      <c r="B2099" s="7" t="s">
        <v>493</v>
      </c>
      <c r="C2099" s="7" t="s">
        <v>493</v>
      </c>
      <c r="D2099" s="7" t="s">
        <v>6334</v>
      </c>
      <c r="E2099" s="6" t="s">
        <v>6335</v>
      </c>
      <c r="F2099" s="8" t="e">
        <f>VLOOKUP($D2099,설문!$C$2:$G$444,3,FALSE)</f>
        <v>#N/A</v>
      </c>
      <c r="G2099" s="8" t="e">
        <f>VLOOKUP($D2099,설문!$C$2:$G$444,4,FALSE)</f>
        <v>#N/A</v>
      </c>
      <c r="H2099" s="8" t="e">
        <f>VLOOKUP($D2099,설문!$C$2:$G$444,5,FALSE)</f>
        <v>#N/A</v>
      </c>
    </row>
    <row r="2100" spans="1:8">
      <c r="A2100" s="6" t="s">
        <v>805</v>
      </c>
      <c r="B2100" s="7" t="s">
        <v>806</v>
      </c>
      <c r="C2100" s="7" t="s">
        <v>806</v>
      </c>
      <c r="D2100" s="7" t="s">
        <v>807</v>
      </c>
      <c r="E2100" s="6" t="s">
        <v>808</v>
      </c>
      <c r="F2100" s="8" t="str">
        <f>VLOOKUP($D2100,설문!$C$2:$G$444,3,FALSE)</f>
        <v>펀드매니저,퀀트,분석 및 전략</v>
      </c>
      <c r="G2100" s="8" t="str">
        <f>VLOOKUP($D2100,설문!$C$2:$G$444,4,FALSE)</f>
        <v>금융회사,금융 유관기관,개인고객</v>
      </c>
      <c r="H2100" s="8" t="str">
        <f>VLOOKUP($D2100,설문!$C$2:$G$444,5,FALSE)</f>
        <v>국내주식/지수,국내주식/지수관련파생,ETF/ETN</v>
      </c>
    </row>
    <row r="2101" spans="1:8">
      <c r="A2101" s="6" t="s">
        <v>805</v>
      </c>
      <c r="B2101" s="7" t="s">
        <v>806</v>
      </c>
      <c r="C2101" s="7" t="s">
        <v>806</v>
      </c>
      <c r="D2101" s="7" t="s">
        <v>809</v>
      </c>
      <c r="E2101" s="6" t="s">
        <v>810</v>
      </c>
      <c r="F2101" s="8" t="e">
        <f>VLOOKUP($D2101,설문!$C$2:$G$444,3,FALSE)</f>
        <v>#N/A</v>
      </c>
      <c r="G2101" s="8" t="e">
        <f>VLOOKUP($D2101,설문!$C$2:$G$444,4,FALSE)</f>
        <v>#N/A</v>
      </c>
      <c r="H2101" s="8" t="e">
        <f>VLOOKUP($D2101,설문!$C$2:$G$444,5,FALSE)</f>
        <v>#N/A</v>
      </c>
    </row>
    <row r="2102" spans="1:8">
      <c r="A2102" s="6" t="s">
        <v>805</v>
      </c>
      <c r="B2102" s="7" t="s">
        <v>3128</v>
      </c>
      <c r="C2102" s="7" t="s">
        <v>3128</v>
      </c>
      <c r="D2102" s="7" t="s">
        <v>3129</v>
      </c>
      <c r="E2102" s="6" t="s">
        <v>3130</v>
      </c>
      <c r="F2102" s="8" t="e">
        <f>VLOOKUP($D2102,설문!$C$2:$G$444,3,FALSE)</f>
        <v>#N/A</v>
      </c>
      <c r="G2102" s="8" t="e">
        <f>VLOOKUP($D2102,설문!$C$2:$G$444,4,FALSE)</f>
        <v>#N/A</v>
      </c>
      <c r="H2102" s="8" t="e">
        <f>VLOOKUP($D2102,설문!$C$2:$G$444,5,FALSE)</f>
        <v>#N/A</v>
      </c>
    </row>
    <row r="2103" spans="1:8">
      <c r="A2103" s="6" t="s">
        <v>805</v>
      </c>
      <c r="B2103" s="7" t="s">
        <v>3075</v>
      </c>
      <c r="C2103" s="7" t="s">
        <v>78</v>
      </c>
      <c r="D2103" s="7" t="s">
        <v>3131</v>
      </c>
      <c r="E2103" s="6" t="s">
        <v>3132</v>
      </c>
      <c r="F2103" s="8" t="e">
        <f>VLOOKUP($D2103,설문!$C$2:$G$444,3,FALSE)</f>
        <v>#N/A</v>
      </c>
      <c r="G2103" s="8" t="e">
        <f>VLOOKUP($D2103,설문!$C$2:$G$444,4,FALSE)</f>
        <v>#N/A</v>
      </c>
      <c r="H2103" s="8" t="e">
        <f>VLOOKUP($D2103,설문!$C$2:$G$444,5,FALSE)</f>
        <v>#N/A</v>
      </c>
    </row>
    <row r="2104" spans="1:8">
      <c r="A2104" s="6" t="s">
        <v>805</v>
      </c>
      <c r="B2104" s="7" t="s">
        <v>78</v>
      </c>
      <c r="C2104" s="7" t="s">
        <v>78</v>
      </c>
      <c r="D2104" s="7" t="s">
        <v>3133</v>
      </c>
      <c r="E2104" s="6" t="s">
        <v>3134</v>
      </c>
      <c r="F2104" s="8" t="e">
        <f>VLOOKUP($D2104,설문!$C$2:$G$444,3,FALSE)</f>
        <v>#N/A</v>
      </c>
      <c r="G2104" s="8" t="e">
        <f>VLOOKUP($D2104,설문!$C$2:$G$444,4,FALSE)</f>
        <v>#N/A</v>
      </c>
      <c r="H2104" s="8" t="e">
        <f>VLOOKUP($D2104,설문!$C$2:$G$444,5,FALSE)</f>
        <v>#N/A</v>
      </c>
    </row>
    <row r="2105" spans="1:8">
      <c r="A2105" s="6" t="s">
        <v>805</v>
      </c>
      <c r="B2105" s="7" t="s">
        <v>134</v>
      </c>
      <c r="C2105" s="7" t="s">
        <v>134</v>
      </c>
      <c r="D2105" s="7" t="s">
        <v>3135</v>
      </c>
      <c r="E2105" s="6" t="s">
        <v>3136</v>
      </c>
      <c r="F2105" s="8" t="e">
        <f>VLOOKUP($D2105,설문!$C$2:$G$444,3,FALSE)</f>
        <v>#N/A</v>
      </c>
      <c r="G2105" s="8" t="e">
        <f>VLOOKUP($D2105,설문!$C$2:$G$444,4,FALSE)</f>
        <v>#N/A</v>
      </c>
      <c r="H2105" s="8" t="e">
        <f>VLOOKUP($D2105,설문!$C$2:$G$444,5,FALSE)</f>
        <v>#N/A</v>
      </c>
    </row>
    <row r="2106" spans="1:8">
      <c r="A2106" s="6" t="s">
        <v>5871</v>
      </c>
      <c r="B2106" s="7" t="s">
        <v>9</v>
      </c>
      <c r="C2106" s="7" t="s">
        <v>9</v>
      </c>
      <c r="D2106" s="7" t="s">
        <v>5872</v>
      </c>
      <c r="E2106" s="6" t="s">
        <v>5873</v>
      </c>
      <c r="F2106" s="8" t="e">
        <f>VLOOKUP($D2106,설문!$C$2:$G$444,3,FALSE)</f>
        <v>#N/A</v>
      </c>
      <c r="G2106" s="8" t="e">
        <f>VLOOKUP($D2106,설문!$C$2:$G$444,4,FALSE)</f>
        <v>#N/A</v>
      </c>
      <c r="H2106" s="8" t="e">
        <f>VLOOKUP($D2106,설문!$C$2:$G$444,5,FALSE)</f>
        <v>#N/A</v>
      </c>
    </row>
    <row r="2107" spans="1:8">
      <c r="A2107" s="6" t="s">
        <v>1485</v>
      </c>
      <c r="B2107" s="7" t="s">
        <v>9</v>
      </c>
      <c r="C2107" s="7" t="s">
        <v>9</v>
      </c>
      <c r="D2107" s="7" t="s">
        <v>1486</v>
      </c>
      <c r="E2107" s="6" t="s">
        <v>1487</v>
      </c>
      <c r="F2107" s="8" t="str">
        <f>VLOOKUP($D2107,설문!$C$2:$G$444,3,FALSE)</f>
        <v>트레이더</v>
      </c>
      <c r="G2107" s="8" t="str">
        <f>VLOOKUP($D2107,설문!$C$2:$G$444,4,FALSE)</f>
        <v>금융회사</v>
      </c>
      <c r="H2107" s="8" t="str">
        <f>VLOOKUP($D2107,설문!$C$2:$G$444,5,FALSE)</f>
        <v>국고채/통안채</v>
      </c>
    </row>
    <row r="2108" spans="1:8">
      <c r="A2108" s="6" t="s">
        <v>1228</v>
      </c>
      <c r="B2108" s="7" t="s">
        <v>9</v>
      </c>
      <c r="C2108" s="7" t="s">
        <v>9</v>
      </c>
      <c r="D2108" s="7" t="s">
        <v>1229</v>
      </c>
      <c r="E2108" s="6" t="s">
        <v>1230</v>
      </c>
      <c r="F2108" s="8" t="e">
        <f>VLOOKUP($D2108,설문!$C$2:$G$444,3,FALSE)</f>
        <v>#N/A</v>
      </c>
      <c r="G2108" s="8" t="e">
        <f>VLOOKUP($D2108,설문!$C$2:$G$444,4,FALSE)</f>
        <v>#N/A</v>
      </c>
      <c r="H2108" s="8" t="e">
        <f>VLOOKUP($D2108,설문!$C$2:$G$444,5,FALSE)</f>
        <v>#N/A</v>
      </c>
    </row>
    <row r="2109" spans="1:8">
      <c r="A2109" s="6" t="s">
        <v>1228</v>
      </c>
      <c r="B2109" s="7" t="s">
        <v>9</v>
      </c>
      <c r="C2109" s="7" t="s">
        <v>9</v>
      </c>
      <c r="D2109" s="7" t="s">
        <v>1231</v>
      </c>
      <c r="E2109" s="6" t="s">
        <v>1232</v>
      </c>
      <c r="F2109" s="8" t="e">
        <f>VLOOKUP($D2109,설문!$C$2:$G$444,3,FALSE)</f>
        <v>#N/A</v>
      </c>
      <c r="G2109" s="8" t="e">
        <f>VLOOKUP($D2109,설문!$C$2:$G$444,4,FALSE)</f>
        <v>#N/A</v>
      </c>
      <c r="H2109" s="8" t="e">
        <f>VLOOKUP($D2109,설문!$C$2:$G$444,5,FALSE)</f>
        <v>#N/A</v>
      </c>
    </row>
    <row r="2110" spans="1:8">
      <c r="A2110" s="6" t="s">
        <v>394</v>
      </c>
      <c r="B2110" s="7" t="s">
        <v>9</v>
      </c>
      <c r="C2110" s="7" t="s">
        <v>395</v>
      </c>
      <c r="D2110" s="7" t="s">
        <v>396</v>
      </c>
      <c r="E2110" s="6" t="s">
        <v>397</v>
      </c>
      <c r="F2110" s="8" t="e">
        <f>VLOOKUP($D2110,설문!$C$2:$G$444,3,FALSE)</f>
        <v>#N/A</v>
      </c>
      <c r="G2110" s="8" t="e">
        <f>VLOOKUP($D2110,설문!$C$2:$G$444,4,FALSE)</f>
        <v>#N/A</v>
      </c>
      <c r="H2110" s="8" t="e">
        <f>VLOOKUP($D2110,설문!$C$2:$G$444,5,FALSE)</f>
        <v>#N/A</v>
      </c>
    </row>
    <row r="2111" spans="1:8">
      <c r="A2111" s="6" t="s">
        <v>394</v>
      </c>
      <c r="B2111" s="7" t="s">
        <v>3905</v>
      </c>
      <c r="C2111" s="7" t="s">
        <v>3905</v>
      </c>
      <c r="D2111" s="7" t="s">
        <v>5346</v>
      </c>
      <c r="E2111" s="6" t="s">
        <v>62</v>
      </c>
      <c r="F2111" s="8" t="e">
        <f>VLOOKUP($D2111,설문!$C$2:$G$444,3,FALSE)</f>
        <v>#N/A</v>
      </c>
      <c r="G2111" s="8" t="e">
        <f>VLOOKUP($D2111,설문!$C$2:$G$444,4,FALSE)</f>
        <v>#N/A</v>
      </c>
      <c r="H2111" s="8" t="e">
        <f>VLOOKUP($D2111,설문!$C$2:$G$444,5,FALSE)</f>
        <v>#N/A</v>
      </c>
    </row>
    <row r="2112" spans="1:8">
      <c r="A2112" s="6" t="s">
        <v>394</v>
      </c>
      <c r="B2112" s="7" t="s">
        <v>5347</v>
      </c>
      <c r="C2112" s="7" t="s">
        <v>5347</v>
      </c>
      <c r="D2112" s="7" t="s">
        <v>5348</v>
      </c>
      <c r="E2112" s="6" t="s">
        <v>62</v>
      </c>
      <c r="F2112" s="8" t="e">
        <f>VLOOKUP($D2112,설문!$C$2:$G$444,3,FALSE)</f>
        <v>#N/A</v>
      </c>
      <c r="G2112" s="8" t="e">
        <f>VLOOKUP($D2112,설문!$C$2:$G$444,4,FALSE)</f>
        <v>#N/A</v>
      </c>
      <c r="H2112" s="8" t="e">
        <f>VLOOKUP($D2112,설문!$C$2:$G$444,5,FALSE)</f>
        <v>#N/A</v>
      </c>
    </row>
    <row r="2113" spans="1:8">
      <c r="A2113" s="6" t="s">
        <v>394</v>
      </c>
      <c r="B2113" s="7" t="s">
        <v>5347</v>
      </c>
      <c r="C2113" s="7" t="s">
        <v>5347</v>
      </c>
      <c r="D2113" s="7" t="s">
        <v>5349</v>
      </c>
      <c r="E2113" s="6" t="s">
        <v>62</v>
      </c>
      <c r="F2113" s="8" t="e">
        <f>VLOOKUP($D2113,설문!$C$2:$G$444,3,FALSE)</f>
        <v>#N/A</v>
      </c>
      <c r="G2113" s="8" t="e">
        <f>VLOOKUP($D2113,설문!$C$2:$G$444,4,FALSE)</f>
        <v>#N/A</v>
      </c>
      <c r="H2113" s="8" t="e">
        <f>VLOOKUP($D2113,설문!$C$2:$G$444,5,FALSE)</f>
        <v>#N/A</v>
      </c>
    </row>
    <row r="2114" spans="1:8">
      <c r="A2114" s="6" t="s">
        <v>394</v>
      </c>
      <c r="B2114" s="7" t="s">
        <v>5347</v>
      </c>
      <c r="C2114" s="7" t="s">
        <v>5347</v>
      </c>
      <c r="D2114" s="7" t="s">
        <v>5350</v>
      </c>
      <c r="E2114" s="6" t="s">
        <v>62</v>
      </c>
      <c r="F2114" s="8" t="e">
        <f>VLOOKUP($D2114,설문!$C$2:$G$444,3,FALSE)</f>
        <v>#N/A</v>
      </c>
      <c r="G2114" s="8" t="e">
        <f>VLOOKUP($D2114,설문!$C$2:$G$444,4,FALSE)</f>
        <v>#N/A</v>
      </c>
      <c r="H2114" s="8" t="e">
        <f>VLOOKUP($D2114,설문!$C$2:$G$444,5,FALSE)</f>
        <v>#N/A</v>
      </c>
    </row>
    <row r="2115" spans="1:8">
      <c r="A2115" s="6" t="s">
        <v>394</v>
      </c>
      <c r="B2115" s="7" t="s">
        <v>5347</v>
      </c>
      <c r="C2115" s="7" t="s">
        <v>5347</v>
      </c>
      <c r="D2115" s="7" t="s">
        <v>5351</v>
      </c>
      <c r="E2115" s="6" t="s">
        <v>62</v>
      </c>
      <c r="F2115" s="8" t="e">
        <f>VLOOKUP($D2115,설문!$C$2:$G$444,3,FALSE)</f>
        <v>#N/A</v>
      </c>
      <c r="G2115" s="8" t="e">
        <f>VLOOKUP($D2115,설문!$C$2:$G$444,4,FALSE)</f>
        <v>#N/A</v>
      </c>
      <c r="H2115" s="8" t="e">
        <f>VLOOKUP($D2115,설문!$C$2:$G$444,5,FALSE)</f>
        <v>#N/A</v>
      </c>
    </row>
    <row r="2116" spans="1:8">
      <c r="A2116" s="6" t="s">
        <v>394</v>
      </c>
      <c r="B2116" s="7" t="s">
        <v>5126</v>
      </c>
      <c r="C2116" s="7" t="s">
        <v>9</v>
      </c>
      <c r="D2116" s="7" t="s">
        <v>5352</v>
      </c>
      <c r="E2116" s="6" t="s">
        <v>5353</v>
      </c>
      <c r="F2116" s="8" t="e">
        <f>VLOOKUP($D2116,설문!$C$2:$G$444,3,FALSE)</f>
        <v>#N/A</v>
      </c>
      <c r="G2116" s="8" t="e">
        <f>VLOOKUP($D2116,설문!$C$2:$G$444,4,FALSE)</f>
        <v>#N/A</v>
      </c>
      <c r="H2116" s="8" t="e">
        <f>VLOOKUP($D2116,설문!$C$2:$G$444,5,FALSE)</f>
        <v>#N/A</v>
      </c>
    </row>
    <row r="2117" spans="1:8">
      <c r="A2117" s="6" t="s">
        <v>394</v>
      </c>
      <c r="B2117" s="7" t="s">
        <v>5126</v>
      </c>
      <c r="C2117" s="7" t="s">
        <v>0</v>
      </c>
      <c r="D2117" s="7" t="s">
        <v>5354</v>
      </c>
      <c r="E2117" s="6" t="s">
        <v>2331</v>
      </c>
      <c r="F2117" s="8" t="e">
        <f>VLOOKUP($D2117,설문!$C$2:$G$444,3,FALSE)</f>
        <v>#N/A</v>
      </c>
      <c r="G2117" s="8" t="e">
        <f>VLOOKUP($D2117,설문!$C$2:$G$444,4,FALSE)</f>
        <v>#N/A</v>
      </c>
      <c r="H2117" s="8" t="e">
        <f>VLOOKUP($D2117,설문!$C$2:$G$444,5,FALSE)</f>
        <v>#N/A</v>
      </c>
    </row>
    <row r="2118" spans="1:8">
      <c r="A2118" s="6" t="s">
        <v>394</v>
      </c>
      <c r="B2118" s="7" t="s">
        <v>739</v>
      </c>
      <c r="C2118" s="7" t="s">
        <v>739</v>
      </c>
      <c r="D2118" s="7" t="s">
        <v>5355</v>
      </c>
      <c r="E2118" s="6" t="s">
        <v>2331</v>
      </c>
      <c r="F2118" s="8" t="e">
        <f>VLOOKUP($D2118,설문!$C$2:$G$444,3,FALSE)</f>
        <v>#N/A</v>
      </c>
      <c r="G2118" s="8" t="e">
        <f>VLOOKUP($D2118,설문!$C$2:$G$444,4,FALSE)</f>
        <v>#N/A</v>
      </c>
      <c r="H2118" s="8" t="e">
        <f>VLOOKUP($D2118,설문!$C$2:$G$444,5,FALSE)</f>
        <v>#N/A</v>
      </c>
    </row>
    <row r="2119" spans="1:8">
      <c r="A2119" s="6" t="s">
        <v>394</v>
      </c>
      <c r="B2119" s="7" t="s">
        <v>4818</v>
      </c>
      <c r="C2119" s="7" t="s">
        <v>4818</v>
      </c>
      <c r="D2119" s="7" t="s">
        <v>5356</v>
      </c>
      <c r="E2119" s="6" t="s">
        <v>2331</v>
      </c>
      <c r="F2119" s="8" t="e">
        <f>VLOOKUP($D2119,설문!$C$2:$G$444,3,FALSE)</f>
        <v>#N/A</v>
      </c>
      <c r="G2119" s="8" t="e">
        <f>VLOOKUP($D2119,설문!$C$2:$G$444,4,FALSE)</f>
        <v>#N/A</v>
      </c>
      <c r="H2119" s="8" t="e">
        <f>VLOOKUP($D2119,설문!$C$2:$G$444,5,FALSE)</f>
        <v>#N/A</v>
      </c>
    </row>
    <row r="2120" spans="1:8">
      <c r="A2120" s="6" t="s">
        <v>394</v>
      </c>
      <c r="B2120" s="7" t="s">
        <v>5357</v>
      </c>
      <c r="C2120" s="7" t="s">
        <v>5358</v>
      </c>
      <c r="D2120" s="7" t="s">
        <v>5359</v>
      </c>
      <c r="E2120" s="6" t="s">
        <v>62</v>
      </c>
      <c r="F2120" s="8" t="e">
        <f>VLOOKUP($D2120,설문!$C$2:$G$444,3,FALSE)</f>
        <v>#N/A</v>
      </c>
      <c r="G2120" s="8" t="e">
        <f>VLOOKUP($D2120,설문!$C$2:$G$444,4,FALSE)</f>
        <v>#N/A</v>
      </c>
      <c r="H2120" s="8" t="e">
        <f>VLOOKUP($D2120,설문!$C$2:$G$444,5,FALSE)</f>
        <v>#N/A</v>
      </c>
    </row>
    <row r="2121" spans="1:8">
      <c r="A2121" s="6" t="s">
        <v>394</v>
      </c>
      <c r="B2121" s="7" t="s">
        <v>5360</v>
      </c>
      <c r="C2121" s="7" t="s">
        <v>9</v>
      </c>
      <c r="D2121" s="7" t="s">
        <v>5361</v>
      </c>
      <c r="E2121" s="6" t="s">
        <v>5362</v>
      </c>
      <c r="F2121" s="8" t="e">
        <f>VLOOKUP($D2121,설문!$C$2:$G$444,3,FALSE)</f>
        <v>#N/A</v>
      </c>
      <c r="G2121" s="8" t="e">
        <f>VLOOKUP($D2121,설문!$C$2:$G$444,4,FALSE)</f>
        <v>#N/A</v>
      </c>
      <c r="H2121" s="8" t="e">
        <f>VLOOKUP($D2121,설문!$C$2:$G$444,5,FALSE)</f>
        <v>#N/A</v>
      </c>
    </row>
    <row r="2122" spans="1:8">
      <c r="A2122" s="6" t="s">
        <v>394</v>
      </c>
      <c r="B2122" s="7" t="s">
        <v>5360</v>
      </c>
      <c r="C2122" s="7" t="s">
        <v>9</v>
      </c>
      <c r="D2122" s="7" t="s">
        <v>5363</v>
      </c>
      <c r="E2122" s="6" t="s">
        <v>656</v>
      </c>
      <c r="F2122" s="8" t="e">
        <f>VLOOKUP($D2122,설문!$C$2:$G$444,3,FALSE)</f>
        <v>#N/A</v>
      </c>
      <c r="G2122" s="8" t="e">
        <f>VLOOKUP($D2122,설문!$C$2:$G$444,4,FALSE)</f>
        <v>#N/A</v>
      </c>
      <c r="H2122" s="8" t="e">
        <f>VLOOKUP($D2122,설문!$C$2:$G$444,5,FALSE)</f>
        <v>#N/A</v>
      </c>
    </row>
    <row r="2123" spans="1:8">
      <c r="A2123" s="6" t="s">
        <v>394</v>
      </c>
      <c r="B2123" s="7" t="s">
        <v>5360</v>
      </c>
      <c r="C2123" s="7" t="s">
        <v>5364</v>
      </c>
      <c r="D2123" s="7" t="s">
        <v>5365</v>
      </c>
      <c r="E2123" s="6" t="s">
        <v>5366</v>
      </c>
      <c r="F2123" s="8" t="e">
        <f>VLOOKUP($D2123,설문!$C$2:$G$444,3,FALSE)</f>
        <v>#N/A</v>
      </c>
      <c r="G2123" s="8" t="e">
        <f>VLOOKUP($D2123,설문!$C$2:$G$444,4,FALSE)</f>
        <v>#N/A</v>
      </c>
      <c r="H2123" s="8" t="e">
        <f>VLOOKUP($D2123,설문!$C$2:$G$444,5,FALSE)</f>
        <v>#N/A</v>
      </c>
    </row>
    <row r="2124" spans="1:8">
      <c r="A2124" s="6" t="s">
        <v>394</v>
      </c>
      <c r="B2124" s="7" t="s">
        <v>5360</v>
      </c>
      <c r="C2124" s="7" t="s">
        <v>5364</v>
      </c>
      <c r="D2124" s="7" t="s">
        <v>5367</v>
      </c>
      <c r="E2124" s="6" t="s">
        <v>5368</v>
      </c>
      <c r="F2124" s="8" t="e">
        <f>VLOOKUP($D2124,설문!$C$2:$G$444,3,FALSE)</f>
        <v>#N/A</v>
      </c>
      <c r="G2124" s="8" t="e">
        <f>VLOOKUP($D2124,설문!$C$2:$G$444,4,FALSE)</f>
        <v>#N/A</v>
      </c>
      <c r="H2124" s="8" t="e">
        <f>VLOOKUP($D2124,설문!$C$2:$G$444,5,FALSE)</f>
        <v>#N/A</v>
      </c>
    </row>
    <row r="2125" spans="1:8">
      <c r="A2125" s="6" t="s">
        <v>394</v>
      </c>
      <c r="B2125" s="7" t="s">
        <v>5360</v>
      </c>
      <c r="C2125" s="7" t="s">
        <v>5364</v>
      </c>
      <c r="D2125" s="7" t="s">
        <v>5369</v>
      </c>
      <c r="E2125" s="6" t="s">
        <v>5370</v>
      </c>
      <c r="F2125" s="8" t="str">
        <f>VLOOKUP($D2125,설문!$C$2:$G$444,3,FALSE)</f>
        <v>트레이더</v>
      </c>
      <c r="G2125" s="8" t="str">
        <f>VLOOKUP($D2125,설문!$C$2:$G$444,4,FALSE)</f>
        <v>금융회사</v>
      </c>
      <c r="H2125" s="8" t="str">
        <f>VLOOKUP($D2125,설문!$C$2:$G$444,5,FALSE)</f>
        <v>국내주식/지수</v>
      </c>
    </row>
    <row r="2126" spans="1:8">
      <c r="A2126" s="6" t="s">
        <v>394</v>
      </c>
      <c r="B2126" s="7" t="s">
        <v>5360</v>
      </c>
      <c r="C2126" s="7" t="s">
        <v>5364</v>
      </c>
      <c r="D2126" s="7" t="s">
        <v>5371</v>
      </c>
      <c r="E2126" s="6" t="s">
        <v>5372</v>
      </c>
      <c r="F2126" s="8" t="e">
        <f>VLOOKUP($D2126,설문!$C$2:$G$444,3,FALSE)</f>
        <v>#N/A</v>
      </c>
      <c r="G2126" s="8" t="e">
        <f>VLOOKUP($D2126,설문!$C$2:$G$444,4,FALSE)</f>
        <v>#N/A</v>
      </c>
      <c r="H2126" s="8" t="e">
        <f>VLOOKUP($D2126,설문!$C$2:$G$444,5,FALSE)</f>
        <v>#N/A</v>
      </c>
    </row>
    <row r="2127" spans="1:8">
      <c r="A2127" s="6" t="s">
        <v>394</v>
      </c>
      <c r="B2127" s="7" t="s">
        <v>5360</v>
      </c>
      <c r="C2127" s="7" t="s">
        <v>5364</v>
      </c>
      <c r="D2127" s="7" t="s">
        <v>5373</v>
      </c>
      <c r="E2127" s="6" t="s">
        <v>5244</v>
      </c>
      <c r="F2127" s="8" t="e">
        <f>VLOOKUP($D2127,설문!$C$2:$G$444,3,FALSE)</f>
        <v>#N/A</v>
      </c>
      <c r="G2127" s="8" t="e">
        <f>VLOOKUP($D2127,설문!$C$2:$G$444,4,FALSE)</f>
        <v>#N/A</v>
      </c>
      <c r="H2127" s="8" t="e">
        <f>VLOOKUP($D2127,설문!$C$2:$G$444,5,FALSE)</f>
        <v>#N/A</v>
      </c>
    </row>
    <row r="2128" spans="1:8">
      <c r="A2128" s="6" t="s">
        <v>394</v>
      </c>
      <c r="B2128" s="7" t="s">
        <v>5374</v>
      </c>
      <c r="C2128" s="7" t="s">
        <v>202</v>
      </c>
      <c r="D2128" s="7" t="s">
        <v>5375</v>
      </c>
      <c r="E2128" s="6" t="s">
        <v>5376</v>
      </c>
      <c r="F2128" s="8" t="e">
        <f>VLOOKUP($D2128,설문!$C$2:$G$444,3,FALSE)</f>
        <v>#N/A</v>
      </c>
      <c r="G2128" s="8" t="e">
        <f>VLOOKUP($D2128,설문!$C$2:$G$444,4,FALSE)</f>
        <v>#N/A</v>
      </c>
      <c r="H2128" s="8" t="e">
        <f>VLOOKUP($D2128,설문!$C$2:$G$444,5,FALSE)</f>
        <v>#N/A</v>
      </c>
    </row>
    <row r="2129" spans="1:8">
      <c r="A2129" s="6" t="s">
        <v>394</v>
      </c>
      <c r="B2129" s="7" t="s">
        <v>5374</v>
      </c>
      <c r="C2129" s="7" t="s">
        <v>5364</v>
      </c>
      <c r="D2129" s="7" t="s">
        <v>5377</v>
      </c>
      <c r="E2129" s="6" t="s">
        <v>883</v>
      </c>
      <c r="F2129" s="8" t="e">
        <f>VLOOKUP($D2129,설문!$C$2:$G$444,3,FALSE)</f>
        <v>#N/A</v>
      </c>
      <c r="G2129" s="8" t="e">
        <f>VLOOKUP($D2129,설문!$C$2:$G$444,4,FALSE)</f>
        <v>#N/A</v>
      </c>
      <c r="H2129" s="8" t="e">
        <f>VLOOKUP($D2129,설문!$C$2:$G$444,5,FALSE)</f>
        <v>#N/A</v>
      </c>
    </row>
    <row r="2130" spans="1:8">
      <c r="A2130" s="6" t="s">
        <v>3867</v>
      </c>
      <c r="B2130" s="7" t="s">
        <v>3868</v>
      </c>
      <c r="C2130" s="7" t="s">
        <v>3869</v>
      </c>
      <c r="D2130" s="7" t="s">
        <v>3870</v>
      </c>
      <c r="E2130" s="6" t="s">
        <v>3871</v>
      </c>
      <c r="F2130" s="8" t="e">
        <f>VLOOKUP($D2130,설문!$C$2:$G$444,3,FALSE)</f>
        <v>#N/A</v>
      </c>
      <c r="G2130" s="8" t="e">
        <f>VLOOKUP($D2130,설문!$C$2:$G$444,4,FALSE)</f>
        <v>#N/A</v>
      </c>
      <c r="H2130" s="8" t="e">
        <f>VLOOKUP($D2130,설문!$C$2:$G$444,5,FALSE)</f>
        <v>#N/A</v>
      </c>
    </row>
    <row r="2131" spans="1:8">
      <c r="A2131" s="6" t="s">
        <v>3867</v>
      </c>
      <c r="B2131" s="7" t="s">
        <v>3868</v>
      </c>
      <c r="C2131" s="7" t="s">
        <v>3869</v>
      </c>
      <c r="D2131" s="7" t="s">
        <v>3872</v>
      </c>
      <c r="E2131" s="6" t="s">
        <v>3873</v>
      </c>
      <c r="F2131" s="8" t="e">
        <f>VLOOKUP($D2131,설문!$C$2:$G$444,3,FALSE)</f>
        <v>#N/A</v>
      </c>
      <c r="G2131" s="8" t="e">
        <f>VLOOKUP($D2131,설문!$C$2:$G$444,4,FALSE)</f>
        <v>#N/A</v>
      </c>
      <c r="H2131" s="8" t="e">
        <f>VLOOKUP($D2131,설문!$C$2:$G$444,5,FALSE)</f>
        <v>#N/A</v>
      </c>
    </row>
    <row r="2132" spans="1:8">
      <c r="A2132" s="6" t="s">
        <v>3867</v>
      </c>
      <c r="B2132" s="7" t="s">
        <v>201</v>
      </c>
      <c r="C2132" s="7" t="s">
        <v>3874</v>
      </c>
      <c r="D2132" s="7" t="s">
        <v>3875</v>
      </c>
      <c r="E2132" s="6" t="s">
        <v>62</v>
      </c>
      <c r="F2132" s="8" t="e">
        <f>VLOOKUP($D2132,설문!$C$2:$G$444,3,FALSE)</f>
        <v>#N/A</v>
      </c>
      <c r="G2132" s="8" t="e">
        <f>VLOOKUP($D2132,설문!$C$2:$G$444,4,FALSE)</f>
        <v>#N/A</v>
      </c>
      <c r="H2132" s="8" t="e">
        <f>VLOOKUP($D2132,설문!$C$2:$G$444,5,FALSE)</f>
        <v>#N/A</v>
      </c>
    </row>
    <row r="2133" spans="1:8">
      <c r="A2133" s="6" t="s">
        <v>3867</v>
      </c>
      <c r="B2133" s="7" t="s">
        <v>201</v>
      </c>
      <c r="C2133" s="7" t="s">
        <v>3874</v>
      </c>
      <c r="D2133" s="7" t="s">
        <v>3876</v>
      </c>
      <c r="E2133" s="6" t="s">
        <v>62</v>
      </c>
      <c r="F2133" s="8" t="e">
        <f>VLOOKUP($D2133,설문!$C$2:$G$444,3,FALSE)</f>
        <v>#N/A</v>
      </c>
      <c r="G2133" s="8" t="e">
        <f>VLOOKUP($D2133,설문!$C$2:$G$444,4,FALSE)</f>
        <v>#N/A</v>
      </c>
      <c r="H2133" s="8" t="e">
        <f>VLOOKUP($D2133,설문!$C$2:$G$444,5,FALSE)</f>
        <v>#N/A</v>
      </c>
    </row>
    <row r="2134" spans="1:8">
      <c r="A2134" s="6" t="s">
        <v>3867</v>
      </c>
      <c r="B2134" s="7" t="s">
        <v>201</v>
      </c>
      <c r="C2134" s="7" t="s">
        <v>3874</v>
      </c>
      <c r="D2134" s="7" t="s">
        <v>3877</v>
      </c>
      <c r="E2134" s="6" t="s">
        <v>62</v>
      </c>
      <c r="F2134" s="8" t="e">
        <f>VLOOKUP($D2134,설문!$C$2:$G$444,3,FALSE)</f>
        <v>#N/A</v>
      </c>
      <c r="G2134" s="8" t="e">
        <f>VLOOKUP($D2134,설문!$C$2:$G$444,4,FALSE)</f>
        <v>#N/A</v>
      </c>
      <c r="H2134" s="8" t="e">
        <f>VLOOKUP($D2134,설문!$C$2:$G$444,5,FALSE)</f>
        <v>#N/A</v>
      </c>
    </row>
    <row r="2135" spans="1:8">
      <c r="A2135" s="6" t="s">
        <v>3867</v>
      </c>
      <c r="B2135" s="7" t="s">
        <v>201</v>
      </c>
      <c r="C2135" s="7" t="s">
        <v>3874</v>
      </c>
      <c r="D2135" s="7" t="s">
        <v>3878</v>
      </c>
      <c r="E2135" s="6" t="s">
        <v>62</v>
      </c>
      <c r="F2135" s="8" t="e">
        <f>VLOOKUP($D2135,설문!$C$2:$G$444,3,FALSE)</f>
        <v>#N/A</v>
      </c>
      <c r="G2135" s="8" t="e">
        <f>VLOOKUP($D2135,설문!$C$2:$G$444,4,FALSE)</f>
        <v>#N/A</v>
      </c>
      <c r="H2135" s="8" t="e">
        <f>VLOOKUP($D2135,설문!$C$2:$G$444,5,FALSE)</f>
        <v>#N/A</v>
      </c>
    </row>
    <row r="2136" spans="1:8">
      <c r="A2136" s="6" t="s">
        <v>3867</v>
      </c>
      <c r="B2136" s="7" t="s">
        <v>201</v>
      </c>
      <c r="C2136" s="7" t="s">
        <v>3874</v>
      </c>
      <c r="D2136" s="7" t="s">
        <v>3879</v>
      </c>
      <c r="E2136" s="6" t="s">
        <v>62</v>
      </c>
      <c r="F2136" s="8" t="e">
        <f>VLOOKUP($D2136,설문!$C$2:$G$444,3,FALSE)</f>
        <v>#N/A</v>
      </c>
      <c r="G2136" s="8" t="e">
        <f>VLOOKUP($D2136,설문!$C$2:$G$444,4,FALSE)</f>
        <v>#N/A</v>
      </c>
      <c r="H2136" s="8" t="e">
        <f>VLOOKUP($D2136,설문!$C$2:$G$444,5,FALSE)</f>
        <v>#N/A</v>
      </c>
    </row>
    <row r="2137" spans="1:8">
      <c r="A2137" s="6" t="s">
        <v>3867</v>
      </c>
      <c r="B2137" s="7" t="s">
        <v>3880</v>
      </c>
      <c r="C2137" s="7" t="s">
        <v>3869</v>
      </c>
      <c r="D2137" s="7" t="s">
        <v>3881</v>
      </c>
      <c r="E2137" s="6" t="s">
        <v>62</v>
      </c>
      <c r="F2137" s="8" t="e">
        <f>VLOOKUP($D2137,설문!$C$2:$G$444,3,FALSE)</f>
        <v>#N/A</v>
      </c>
      <c r="G2137" s="8" t="e">
        <f>VLOOKUP($D2137,설문!$C$2:$G$444,4,FALSE)</f>
        <v>#N/A</v>
      </c>
      <c r="H2137" s="8" t="e">
        <f>VLOOKUP($D2137,설문!$C$2:$G$444,5,FALSE)</f>
        <v>#N/A</v>
      </c>
    </row>
    <row r="2138" spans="1:8">
      <c r="A2138" s="6" t="s">
        <v>3867</v>
      </c>
      <c r="B2138" s="7" t="s">
        <v>3880</v>
      </c>
      <c r="C2138" s="7" t="s">
        <v>3869</v>
      </c>
      <c r="D2138" s="7" t="s">
        <v>3882</v>
      </c>
      <c r="E2138" s="6" t="s">
        <v>62</v>
      </c>
      <c r="F2138" s="8" t="e">
        <f>VLOOKUP($D2138,설문!$C$2:$G$444,3,FALSE)</f>
        <v>#N/A</v>
      </c>
      <c r="G2138" s="8" t="e">
        <f>VLOOKUP($D2138,설문!$C$2:$G$444,4,FALSE)</f>
        <v>#N/A</v>
      </c>
      <c r="H2138" s="8" t="e">
        <f>VLOOKUP($D2138,설문!$C$2:$G$444,5,FALSE)</f>
        <v>#N/A</v>
      </c>
    </row>
    <row r="2139" spans="1:8">
      <c r="A2139" s="6" t="s">
        <v>3867</v>
      </c>
      <c r="B2139" s="7" t="s">
        <v>3880</v>
      </c>
      <c r="C2139" s="7" t="s">
        <v>3869</v>
      </c>
      <c r="D2139" s="7" t="s">
        <v>3883</v>
      </c>
      <c r="E2139" s="6" t="s">
        <v>62</v>
      </c>
      <c r="F2139" s="8" t="e">
        <f>VLOOKUP($D2139,설문!$C$2:$G$444,3,FALSE)</f>
        <v>#N/A</v>
      </c>
      <c r="G2139" s="8" t="e">
        <f>VLOOKUP($D2139,설문!$C$2:$G$444,4,FALSE)</f>
        <v>#N/A</v>
      </c>
      <c r="H2139" s="8" t="e">
        <f>VLOOKUP($D2139,설문!$C$2:$G$444,5,FALSE)</f>
        <v>#N/A</v>
      </c>
    </row>
    <row r="2140" spans="1:8">
      <c r="A2140" s="6" t="s">
        <v>3867</v>
      </c>
      <c r="B2140" s="7" t="s">
        <v>3884</v>
      </c>
      <c r="C2140" s="7" t="s">
        <v>3869</v>
      </c>
      <c r="D2140" s="7" t="s">
        <v>3885</v>
      </c>
      <c r="E2140" s="6" t="s">
        <v>62</v>
      </c>
      <c r="F2140" s="8" t="e">
        <f>VLOOKUP($D2140,설문!$C$2:$G$444,3,FALSE)</f>
        <v>#N/A</v>
      </c>
      <c r="G2140" s="8" t="e">
        <f>VLOOKUP($D2140,설문!$C$2:$G$444,4,FALSE)</f>
        <v>#N/A</v>
      </c>
      <c r="H2140" s="8" t="e">
        <f>VLOOKUP($D2140,설문!$C$2:$G$444,5,FALSE)</f>
        <v>#N/A</v>
      </c>
    </row>
    <row r="2141" spans="1:8">
      <c r="A2141" s="6" t="s">
        <v>3867</v>
      </c>
      <c r="B2141" s="7" t="s">
        <v>3886</v>
      </c>
      <c r="C2141" s="7" t="s">
        <v>3869</v>
      </c>
      <c r="D2141" s="7" t="s">
        <v>3887</v>
      </c>
      <c r="E2141" s="6" t="s">
        <v>62</v>
      </c>
      <c r="F2141" s="8" t="e">
        <f>VLOOKUP($D2141,설문!$C$2:$G$444,3,FALSE)</f>
        <v>#N/A</v>
      </c>
      <c r="G2141" s="8" t="e">
        <f>VLOOKUP($D2141,설문!$C$2:$G$444,4,FALSE)</f>
        <v>#N/A</v>
      </c>
      <c r="H2141" s="8" t="e">
        <f>VLOOKUP($D2141,설문!$C$2:$G$444,5,FALSE)</f>
        <v>#N/A</v>
      </c>
    </row>
    <row r="2142" spans="1:8">
      <c r="A2142" s="6" t="s">
        <v>3867</v>
      </c>
      <c r="B2142" s="7" t="s">
        <v>1386</v>
      </c>
      <c r="C2142" s="7" t="s">
        <v>9</v>
      </c>
      <c r="D2142" s="7" t="s">
        <v>3888</v>
      </c>
      <c r="E2142" s="6" t="s">
        <v>3889</v>
      </c>
      <c r="F2142" s="8" t="e">
        <f>VLOOKUP($D2142,설문!$C$2:$G$444,3,FALSE)</f>
        <v>#N/A</v>
      </c>
      <c r="G2142" s="8" t="e">
        <f>VLOOKUP($D2142,설문!$C$2:$G$444,4,FALSE)</f>
        <v>#N/A</v>
      </c>
      <c r="H2142" s="8" t="e">
        <f>VLOOKUP($D2142,설문!$C$2:$G$444,5,FALSE)</f>
        <v>#N/A</v>
      </c>
    </row>
    <row r="2143" spans="1:8">
      <c r="A2143" s="6" t="s">
        <v>3949</v>
      </c>
      <c r="B2143" s="7" t="s">
        <v>3950</v>
      </c>
      <c r="C2143" s="7" t="s">
        <v>86</v>
      </c>
      <c r="D2143" s="7" t="s">
        <v>3951</v>
      </c>
      <c r="E2143" s="6" t="s">
        <v>3952</v>
      </c>
      <c r="F2143" s="8" t="str">
        <f>VLOOKUP($D2143,설문!$C$2:$G$444,3,FALSE)</f>
        <v>트레이더</v>
      </c>
      <c r="G2143" s="8" t="str">
        <f>VLOOKUP($D2143,설문!$C$2:$G$444,4,FALSE)</f>
        <v>금융회사</v>
      </c>
      <c r="H2143" s="8" t="str">
        <f>VLOOKUP($D2143,설문!$C$2:$G$444,5,FALSE)</f>
        <v>국고채/통안채,단기자금,IB(발행, M&amp;A 등)</v>
      </c>
    </row>
    <row r="2144" spans="1:8">
      <c r="A2144" s="6" t="s">
        <v>1343</v>
      </c>
      <c r="B2144" s="7" t="s">
        <v>9</v>
      </c>
      <c r="C2144" s="7" t="s">
        <v>9</v>
      </c>
      <c r="D2144" s="7" t="s">
        <v>1344</v>
      </c>
      <c r="E2144" s="6" t="s">
        <v>1345</v>
      </c>
      <c r="F2144" s="8" t="e">
        <f>VLOOKUP($D2144,설문!$C$2:$G$444,3,FALSE)</f>
        <v>#N/A</v>
      </c>
      <c r="G2144" s="8" t="e">
        <f>VLOOKUP($D2144,설문!$C$2:$G$444,4,FALSE)</f>
        <v>#N/A</v>
      </c>
      <c r="H2144" s="8" t="e">
        <f>VLOOKUP($D2144,설문!$C$2:$G$444,5,FALSE)</f>
        <v>#N/A</v>
      </c>
    </row>
    <row r="2145" spans="1:8">
      <c r="A2145" s="6" t="s">
        <v>1507</v>
      </c>
      <c r="B2145" s="7" t="s">
        <v>9</v>
      </c>
      <c r="C2145" s="7" t="s">
        <v>9</v>
      </c>
      <c r="D2145" s="7" t="s">
        <v>1508</v>
      </c>
      <c r="E2145" s="6" t="s">
        <v>1509</v>
      </c>
      <c r="F2145" s="8" t="e">
        <f>VLOOKUP($D2145,설문!$C$2:$G$444,3,FALSE)</f>
        <v>#N/A</v>
      </c>
      <c r="G2145" s="8" t="e">
        <f>VLOOKUP($D2145,설문!$C$2:$G$444,4,FALSE)</f>
        <v>#N/A</v>
      </c>
      <c r="H2145" s="8" t="e">
        <f>VLOOKUP($D2145,설문!$C$2:$G$444,5,FALSE)</f>
        <v>#N/A</v>
      </c>
    </row>
    <row r="2146" spans="1:8">
      <c r="A2146" s="6" t="s">
        <v>1274</v>
      </c>
      <c r="B2146" s="7" t="s">
        <v>1275</v>
      </c>
      <c r="C2146" s="7" t="s">
        <v>1275</v>
      </c>
      <c r="D2146" s="7" t="s">
        <v>1276</v>
      </c>
      <c r="E2146" s="6" t="s">
        <v>1277</v>
      </c>
      <c r="F2146" s="8" t="e">
        <f>VLOOKUP($D2146,설문!$C$2:$G$444,3,FALSE)</f>
        <v>#N/A</v>
      </c>
      <c r="G2146" s="8" t="e">
        <f>VLOOKUP($D2146,설문!$C$2:$G$444,4,FALSE)</f>
        <v>#N/A</v>
      </c>
      <c r="H2146" s="8" t="e">
        <f>VLOOKUP($D2146,설문!$C$2:$G$444,5,FALSE)</f>
        <v>#N/A</v>
      </c>
    </row>
    <row r="2147" spans="1:8">
      <c r="A2147" s="6" t="s">
        <v>605</v>
      </c>
      <c r="B2147" s="7" t="s">
        <v>606</v>
      </c>
      <c r="C2147" s="7" t="s">
        <v>9</v>
      </c>
      <c r="D2147" s="7" t="s">
        <v>607</v>
      </c>
      <c r="E2147" s="6" t="s">
        <v>608</v>
      </c>
      <c r="F2147" s="8" t="e">
        <f>VLOOKUP($D2147,설문!$C$2:$G$444,3,FALSE)</f>
        <v>#N/A</v>
      </c>
      <c r="G2147" s="8" t="e">
        <f>VLOOKUP($D2147,설문!$C$2:$G$444,4,FALSE)</f>
        <v>#N/A</v>
      </c>
      <c r="H2147" s="8" t="e">
        <f>VLOOKUP($D2147,설문!$C$2:$G$444,5,FALSE)</f>
        <v>#N/A</v>
      </c>
    </row>
    <row r="2148" spans="1:8">
      <c r="A2148" s="6" t="s">
        <v>605</v>
      </c>
      <c r="B2148" s="7" t="s">
        <v>606</v>
      </c>
      <c r="C2148" s="7" t="s">
        <v>606</v>
      </c>
      <c r="D2148" s="7" t="s">
        <v>981</v>
      </c>
      <c r="E2148" s="6" t="s">
        <v>982</v>
      </c>
      <c r="F2148" s="8" t="e">
        <f>VLOOKUP($D2148,설문!$C$2:$G$444,3,FALSE)</f>
        <v>#N/A</v>
      </c>
      <c r="G2148" s="8" t="e">
        <f>VLOOKUP($D2148,설문!$C$2:$G$444,4,FALSE)</f>
        <v>#N/A</v>
      </c>
      <c r="H2148" s="8" t="e">
        <f>VLOOKUP($D2148,설문!$C$2:$G$444,5,FALSE)</f>
        <v>#N/A</v>
      </c>
    </row>
    <row r="2149" spans="1:8">
      <c r="A2149" s="6" t="s">
        <v>605</v>
      </c>
      <c r="B2149" s="7" t="s">
        <v>1009</v>
      </c>
      <c r="C2149" s="7" t="s">
        <v>1009</v>
      </c>
      <c r="D2149" s="7" t="s">
        <v>1010</v>
      </c>
      <c r="E2149" s="6" t="s">
        <v>1011</v>
      </c>
      <c r="F2149" s="8" t="e">
        <f>VLOOKUP($D2149,설문!$C$2:$G$444,3,FALSE)</f>
        <v>#N/A</v>
      </c>
      <c r="G2149" s="8" t="e">
        <f>VLOOKUP($D2149,설문!$C$2:$G$444,4,FALSE)</f>
        <v>#N/A</v>
      </c>
      <c r="H2149" s="8" t="e">
        <f>VLOOKUP($D2149,설문!$C$2:$G$444,5,FALSE)</f>
        <v>#N/A</v>
      </c>
    </row>
    <row r="2150" spans="1:8">
      <c r="A2150" s="6" t="s">
        <v>605</v>
      </c>
      <c r="B2150" s="7" t="s">
        <v>606</v>
      </c>
      <c r="C2150" s="7" t="s">
        <v>606</v>
      </c>
      <c r="D2150" s="7" t="s">
        <v>1195</v>
      </c>
      <c r="E2150" s="6" t="s">
        <v>1196</v>
      </c>
      <c r="F2150" s="8" t="e">
        <f>VLOOKUP($D2150,설문!$C$2:$G$444,3,FALSE)</f>
        <v>#N/A</v>
      </c>
      <c r="G2150" s="8" t="e">
        <f>VLOOKUP($D2150,설문!$C$2:$G$444,4,FALSE)</f>
        <v>#N/A</v>
      </c>
      <c r="H2150" s="8" t="e">
        <f>VLOOKUP($D2150,설문!$C$2:$G$444,5,FALSE)</f>
        <v>#N/A</v>
      </c>
    </row>
    <row r="2151" spans="1:8">
      <c r="A2151" s="6" t="s">
        <v>605</v>
      </c>
      <c r="B2151" s="7" t="s">
        <v>606</v>
      </c>
      <c r="C2151" s="7" t="s">
        <v>606</v>
      </c>
      <c r="D2151" s="7" t="s">
        <v>1443</v>
      </c>
      <c r="E2151" s="6" t="s">
        <v>1444</v>
      </c>
      <c r="F2151" s="8" t="e">
        <f>VLOOKUP($D2151,설문!$C$2:$G$444,3,FALSE)</f>
        <v>#N/A</v>
      </c>
      <c r="G2151" s="8" t="e">
        <f>VLOOKUP($D2151,설문!$C$2:$G$444,4,FALSE)</f>
        <v>#N/A</v>
      </c>
      <c r="H2151" s="8" t="e">
        <f>VLOOKUP($D2151,설문!$C$2:$G$444,5,FALSE)</f>
        <v>#N/A</v>
      </c>
    </row>
    <row r="2152" spans="1:8">
      <c r="A2152" s="6" t="s">
        <v>605</v>
      </c>
      <c r="B2152" s="7" t="s">
        <v>606</v>
      </c>
      <c r="C2152" s="7" t="s">
        <v>606</v>
      </c>
      <c r="D2152" s="7" t="s">
        <v>1445</v>
      </c>
      <c r="E2152" s="6" t="s">
        <v>1446</v>
      </c>
      <c r="F2152" s="8" t="e">
        <f>VLOOKUP($D2152,설문!$C$2:$G$444,3,FALSE)</f>
        <v>#N/A</v>
      </c>
      <c r="G2152" s="8" t="e">
        <f>VLOOKUP($D2152,설문!$C$2:$G$444,4,FALSE)</f>
        <v>#N/A</v>
      </c>
      <c r="H2152" s="8" t="e">
        <f>VLOOKUP($D2152,설문!$C$2:$G$444,5,FALSE)</f>
        <v>#N/A</v>
      </c>
    </row>
    <row r="2153" spans="1:8">
      <c r="A2153" s="6" t="s">
        <v>605</v>
      </c>
      <c r="B2153" s="7" t="s">
        <v>606</v>
      </c>
      <c r="C2153" s="7" t="s">
        <v>606</v>
      </c>
      <c r="D2153" s="7" t="s">
        <v>1447</v>
      </c>
      <c r="E2153" s="6" t="s">
        <v>1448</v>
      </c>
      <c r="F2153" s="8" t="e">
        <f>VLOOKUP($D2153,설문!$C$2:$G$444,3,FALSE)</f>
        <v>#N/A</v>
      </c>
      <c r="G2153" s="8" t="e">
        <f>VLOOKUP($D2153,설문!$C$2:$G$444,4,FALSE)</f>
        <v>#N/A</v>
      </c>
      <c r="H2153" s="8" t="e">
        <f>VLOOKUP($D2153,설문!$C$2:$G$444,5,FALSE)</f>
        <v>#N/A</v>
      </c>
    </row>
    <row r="2154" spans="1:8">
      <c r="A2154" s="6" t="s">
        <v>605</v>
      </c>
      <c r="B2154" s="7" t="s">
        <v>1607</v>
      </c>
      <c r="C2154" s="7" t="s">
        <v>1608</v>
      </c>
      <c r="D2154" s="7" t="s">
        <v>1609</v>
      </c>
      <c r="E2154" s="6" t="s">
        <v>1610</v>
      </c>
      <c r="F2154" s="8" t="e">
        <f>VLOOKUP($D2154,설문!$C$2:$G$444,3,FALSE)</f>
        <v>#N/A</v>
      </c>
      <c r="G2154" s="8" t="e">
        <f>VLOOKUP($D2154,설문!$C$2:$G$444,4,FALSE)</f>
        <v>#N/A</v>
      </c>
      <c r="H2154" s="8" t="e">
        <f>VLOOKUP($D2154,설문!$C$2:$G$444,5,FALSE)</f>
        <v>#N/A</v>
      </c>
    </row>
    <row r="2155" spans="1:8">
      <c r="A2155" s="6" t="s">
        <v>605</v>
      </c>
      <c r="B2155" s="7" t="s">
        <v>1607</v>
      </c>
      <c r="C2155" s="7" t="s">
        <v>1608</v>
      </c>
      <c r="D2155" s="7" t="s">
        <v>1611</v>
      </c>
      <c r="E2155" s="6" t="s">
        <v>1612</v>
      </c>
      <c r="F2155" s="8" t="e">
        <f>VLOOKUP($D2155,설문!$C$2:$G$444,3,FALSE)</f>
        <v>#N/A</v>
      </c>
      <c r="G2155" s="8" t="e">
        <f>VLOOKUP($D2155,설문!$C$2:$G$444,4,FALSE)</f>
        <v>#N/A</v>
      </c>
      <c r="H2155" s="8" t="e">
        <f>VLOOKUP($D2155,설문!$C$2:$G$444,5,FALSE)</f>
        <v>#N/A</v>
      </c>
    </row>
    <row r="2156" spans="1:8">
      <c r="A2156" s="6" t="s">
        <v>605</v>
      </c>
      <c r="B2156" s="7" t="s">
        <v>4301</v>
      </c>
      <c r="C2156" s="7" t="s">
        <v>4302</v>
      </c>
      <c r="D2156" s="7" t="s">
        <v>4303</v>
      </c>
      <c r="E2156" s="6" t="s">
        <v>4304</v>
      </c>
      <c r="F2156" s="8" t="e">
        <f>VLOOKUP($D2156,설문!$C$2:$G$444,3,FALSE)</f>
        <v>#N/A</v>
      </c>
      <c r="G2156" s="8" t="e">
        <f>VLOOKUP($D2156,설문!$C$2:$G$444,4,FALSE)</f>
        <v>#N/A</v>
      </c>
      <c r="H2156" s="8" t="e">
        <f>VLOOKUP($D2156,설문!$C$2:$G$444,5,FALSE)</f>
        <v>#N/A</v>
      </c>
    </row>
    <row r="2157" spans="1:8">
      <c r="A2157" s="6" t="s">
        <v>605</v>
      </c>
      <c r="B2157" s="7" t="s">
        <v>4305</v>
      </c>
      <c r="C2157" s="7" t="s">
        <v>4306</v>
      </c>
      <c r="D2157" s="7" t="s">
        <v>4307</v>
      </c>
      <c r="E2157" s="6" t="s">
        <v>4308</v>
      </c>
      <c r="F2157" s="8" t="e">
        <f>VLOOKUP($D2157,설문!$C$2:$G$444,3,FALSE)</f>
        <v>#N/A</v>
      </c>
      <c r="G2157" s="8" t="e">
        <f>VLOOKUP($D2157,설문!$C$2:$G$444,4,FALSE)</f>
        <v>#N/A</v>
      </c>
      <c r="H2157" s="8" t="e">
        <f>VLOOKUP($D2157,설문!$C$2:$G$444,5,FALSE)</f>
        <v>#N/A</v>
      </c>
    </row>
    <row r="2158" spans="1:8">
      <c r="A2158" s="6" t="s">
        <v>605</v>
      </c>
      <c r="B2158" s="7" t="s">
        <v>4309</v>
      </c>
      <c r="C2158" s="7" t="s">
        <v>4310</v>
      </c>
      <c r="D2158" s="7" t="s">
        <v>4311</v>
      </c>
      <c r="E2158" s="6" t="s">
        <v>4312</v>
      </c>
      <c r="F2158" s="8" t="str">
        <f>VLOOKUP($D2158,설문!$C$2:$G$444,3,FALSE)</f>
        <v>리스크관리(미들)</v>
      </c>
      <c r="G2158" s="8" t="str">
        <f>VLOOKUP($D2158,설문!$C$2:$G$444,4,FALSE)</f>
        <v>금융회사,일반기업고객</v>
      </c>
      <c r="H2158" s="8" t="str">
        <f>VLOOKUP($D2158,설문!$C$2:$G$444,5,FALSE)</f>
        <v>원화 이자율스왑,외화 이자율스왑,FX Spot &amp; FX Swap,CRS &amp; FX Option</v>
      </c>
    </row>
    <row r="2159" spans="1:8">
      <c r="A2159" s="6" t="s">
        <v>605</v>
      </c>
      <c r="B2159" s="7" t="s">
        <v>4309</v>
      </c>
      <c r="C2159" s="7" t="s">
        <v>4313</v>
      </c>
      <c r="D2159" s="7" t="s">
        <v>4314</v>
      </c>
      <c r="E2159" s="6" t="s">
        <v>4315</v>
      </c>
      <c r="F2159" s="8" t="e">
        <f>VLOOKUP($D2159,설문!$C$2:$G$444,3,FALSE)</f>
        <v>#N/A</v>
      </c>
      <c r="G2159" s="8" t="e">
        <f>VLOOKUP($D2159,설문!$C$2:$G$444,4,FALSE)</f>
        <v>#N/A</v>
      </c>
      <c r="H2159" s="8" t="e">
        <f>VLOOKUP($D2159,설문!$C$2:$G$444,5,FALSE)</f>
        <v>#N/A</v>
      </c>
    </row>
    <row r="2160" spans="1:8">
      <c r="A2160" s="6" t="s">
        <v>605</v>
      </c>
      <c r="B2160" s="7" t="s">
        <v>4309</v>
      </c>
      <c r="C2160" s="7" t="s">
        <v>4313</v>
      </c>
      <c r="D2160" s="7" t="s">
        <v>4316</v>
      </c>
      <c r="E2160" s="6" t="s">
        <v>4317</v>
      </c>
      <c r="F2160" s="8" t="e">
        <f>VLOOKUP($D2160,설문!$C$2:$G$444,3,FALSE)</f>
        <v>#N/A</v>
      </c>
      <c r="G2160" s="8" t="e">
        <f>VLOOKUP($D2160,설문!$C$2:$G$444,4,FALSE)</f>
        <v>#N/A</v>
      </c>
      <c r="H2160" s="8" t="e">
        <f>VLOOKUP($D2160,설문!$C$2:$G$444,5,FALSE)</f>
        <v>#N/A</v>
      </c>
    </row>
    <row r="2161" spans="1:8">
      <c r="A2161" s="6" t="s">
        <v>605</v>
      </c>
      <c r="B2161" s="7" t="s">
        <v>4309</v>
      </c>
      <c r="C2161" s="7" t="s">
        <v>4313</v>
      </c>
      <c r="D2161" s="7" t="s">
        <v>4318</v>
      </c>
      <c r="E2161" s="6" t="s">
        <v>4319</v>
      </c>
      <c r="F2161" s="8" t="e">
        <f>VLOOKUP($D2161,설문!$C$2:$G$444,3,FALSE)</f>
        <v>#N/A</v>
      </c>
      <c r="G2161" s="8" t="e">
        <f>VLOOKUP($D2161,설문!$C$2:$G$444,4,FALSE)</f>
        <v>#N/A</v>
      </c>
      <c r="H2161" s="8" t="e">
        <f>VLOOKUP($D2161,설문!$C$2:$G$444,5,FALSE)</f>
        <v>#N/A</v>
      </c>
    </row>
    <row r="2162" spans="1:8">
      <c r="A2162" s="6" t="s">
        <v>605</v>
      </c>
      <c r="B2162" s="7" t="s">
        <v>4309</v>
      </c>
      <c r="C2162" s="7" t="s">
        <v>4313</v>
      </c>
      <c r="D2162" s="7" t="s">
        <v>4320</v>
      </c>
      <c r="E2162" s="6" t="s">
        <v>4321</v>
      </c>
      <c r="F2162" s="8" t="e">
        <f>VLOOKUP($D2162,설문!$C$2:$G$444,3,FALSE)</f>
        <v>#N/A</v>
      </c>
      <c r="G2162" s="8" t="e">
        <f>VLOOKUP($D2162,설문!$C$2:$G$444,4,FALSE)</f>
        <v>#N/A</v>
      </c>
      <c r="H2162" s="8" t="e">
        <f>VLOOKUP($D2162,설문!$C$2:$G$444,5,FALSE)</f>
        <v>#N/A</v>
      </c>
    </row>
    <row r="2163" spans="1:8">
      <c r="A2163" s="6" t="s">
        <v>605</v>
      </c>
      <c r="B2163" s="7" t="s">
        <v>4309</v>
      </c>
      <c r="C2163" s="7" t="s">
        <v>4313</v>
      </c>
      <c r="D2163" s="7" t="s">
        <v>4322</v>
      </c>
      <c r="E2163" s="6" t="s">
        <v>4323</v>
      </c>
      <c r="F2163" s="8" t="e">
        <f>VLOOKUP($D2163,설문!$C$2:$G$444,3,FALSE)</f>
        <v>#N/A</v>
      </c>
      <c r="G2163" s="8" t="e">
        <f>VLOOKUP($D2163,설문!$C$2:$G$444,4,FALSE)</f>
        <v>#N/A</v>
      </c>
      <c r="H2163" s="8" t="e">
        <f>VLOOKUP($D2163,설문!$C$2:$G$444,5,FALSE)</f>
        <v>#N/A</v>
      </c>
    </row>
    <row r="2164" spans="1:8">
      <c r="A2164" s="6" t="s">
        <v>605</v>
      </c>
      <c r="B2164" s="7" t="s">
        <v>4309</v>
      </c>
      <c r="C2164" s="7" t="s">
        <v>4313</v>
      </c>
      <c r="D2164" s="7" t="s">
        <v>4324</v>
      </c>
      <c r="E2164" s="6" t="s">
        <v>4325</v>
      </c>
      <c r="F2164" s="8" t="e">
        <f>VLOOKUP($D2164,설문!$C$2:$G$444,3,FALSE)</f>
        <v>#N/A</v>
      </c>
      <c r="G2164" s="8" t="e">
        <f>VLOOKUP($D2164,설문!$C$2:$G$444,4,FALSE)</f>
        <v>#N/A</v>
      </c>
      <c r="H2164" s="8" t="e">
        <f>VLOOKUP($D2164,설문!$C$2:$G$444,5,FALSE)</f>
        <v>#N/A</v>
      </c>
    </row>
    <row r="2165" spans="1:8">
      <c r="A2165" s="6" t="s">
        <v>605</v>
      </c>
      <c r="B2165" s="7" t="s">
        <v>4309</v>
      </c>
      <c r="C2165" s="7" t="s">
        <v>4313</v>
      </c>
      <c r="D2165" s="7" t="s">
        <v>4326</v>
      </c>
      <c r="E2165" s="6" t="s">
        <v>4327</v>
      </c>
      <c r="F2165" s="8" t="e">
        <f>VLOOKUP($D2165,설문!$C$2:$G$444,3,FALSE)</f>
        <v>#N/A</v>
      </c>
      <c r="G2165" s="8" t="e">
        <f>VLOOKUP($D2165,설문!$C$2:$G$444,4,FALSE)</f>
        <v>#N/A</v>
      </c>
      <c r="H2165" s="8" t="e">
        <f>VLOOKUP($D2165,설문!$C$2:$G$444,5,FALSE)</f>
        <v>#N/A</v>
      </c>
    </row>
    <row r="2166" spans="1:8">
      <c r="A2166" s="6" t="s">
        <v>605</v>
      </c>
      <c r="B2166" s="7" t="s">
        <v>4309</v>
      </c>
      <c r="C2166" s="7" t="s">
        <v>4328</v>
      </c>
      <c r="D2166" s="7" t="s">
        <v>4329</v>
      </c>
      <c r="E2166" s="6" t="s">
        <v>4330</v>
      </c>
      <c r="F2166" s="8" t="str">
        <f>VLOOKUP($D2166,설문!$C$2:$G$444,3,FALSE)</f>
        <v>리스크관리(미들)</v>
      </c>
      <c r="G2166" s="8" t="str">
        <f>VLOOKUP($D2166,설문!$C$2:$G$444,4,FALSE)</f>
        <v>금융회사</v>
      </c>
      <c r="H2166" s="8" t="str">
        <f>VLOOKUP($D2166,설문!$C$2:$G$444,5,FALSE)</f>
        <v>국내주식/지수,국고채/통안채,회사채,RP,원화 구조화채권,국내주식/지수관련파생,외화 구조화채권,원화 이자율스왑,외화 이자율스왑,해외주식/지수,해외주식/지수관련파생</v>
      </c>
    </row>
    <row r="2167" spans="1:8">
      <c r="A2167" s="6" t="s">
        <v>605</v>
      </c>
      <c r="B2167" s="7" t="s">
        <v>606</v>
      </c>
      <c r="C2167" s="7" t="s">
        <v>606</v>
      </c>
      <c r="D2167" s="7" t="s">
        <v>4331</v>
      </c>
      <c r="E2167" s="6" t="s">
        <v>4332</v>
      </c>
      <c r="F2167" s="8" t="e">
        <f>VLOOKUP($D2167,설문!$C$2:$G$444,3,FALSE)</f>
        <v>#N/A</v>
      </c>
      <c r="G2167" s="8" t="e">
        <f>VLOOKUP($D2167,설문!$C$2:$G$444,4,FALSE)</f>
        <v>#N/A</v>
      </c>
      <c r="H2167" s="8" t="e">
        <f>VLOOKUP($D2167,설문!$C$2:$G$444,5,FALSE)</f>
        <v>#N/A</v>
      </c>
    </row>
    <row r="2168" spans="1:8">
      <c r="A2168" s="6" t="s">
        <v>605</v>
      </c>
      <c r="B2168" s="7" t="s">
        <v>606</v>
      </c>
      <c r="C2168" s="7" t="s">
        <v>606</v>
      </c>
      <c r="D2168" s="7" t="s">
        <v>4333</v>
      </c>
      <c r="E2168" s="6" t="s">
        <v>4334</v>
      </c>
      <c r="F2168" s="8" t="e">
        <f>VLOOKUP($D2168,설문!$C$2:$G$444,3,FALSE)</f>
        <v>#N/A</v>
      </c>
      <c r="G2168" s="8" t="e">
        <f>VLOOKUP($D2168,설문!$C$2:$G$444,4,FALSE)</f>
        <v>#N/A</v>
      </c>
      <c r="H2168" s="8" t="e">
        <f>VLOOKUP($D2168,설문!$C$2:$G$444,5,FALSE)</f>
        <v>#N/A</v>
      </c>
    </row>
    <row r="2169" spans="1:8">
      <c r="A2169" s="6" t="s">
        <v>605</v>
      </c>
      <c r="B2169" s="7" t="s">
        <v>606</v>
      </c>
      <c r="C2169" s="7" t="s">
        <v>606</v>
      </c>
      <c r="D2169" s="7" t="s">
        <v>4335</v>
      </c>
      <c r="E2169" s="6" t="s">
        <v>4336</v>
      </c>
      <c r="F2169" s="8" t="e">
        <f>VLOOKUP($D2169,설문!$C$2:$G$444,3,FALSE)</f>
        <v>#N/A</v>
      </c>
      <c r="G2169" s="8" t="e">
        <f>VLOOKUP($D2169,설문!$C$2:$G$444,4,FALSE)</f>
        <v>#N/A</v>
      </c>
      <c r="H2169" s="8" t="e">
        <f>VLOOKUP($D2169,설문!$C$2:$G$444,5,FALSE)</f>
        <v>#N/A</v>
      </c>
    </row>
    <row r="2170" spans="1:8">
      <c r="A2170" s="6" t="s">
        <v>605</v>
      </c>
      <c r="B2170" s="7" t="s">
        <v>606</v>
      </c>
      <c r="C2170" s="7" t="s">
        <v>606</v>
      </c>
      <c r="D2170" s="7" t="s">
        <v>4337</v>
      </c>
      <c r="E2170" s="6" t="s">
        <v>4338</v>
      </c>
      <c r="F2170" s="8" t="e">
        <f>VLOOKUP($D2170,설문!$C$2:$G$444,3,FALSE)</f>
        <v>#N/A</v>
      </c>
      <c r="G2170" s="8" t="e">
        <f>VLOOKUP($D2170,설문!$C$2:$G$444,4,FALSE)</f>
        <v>#N/A</v>
      </c>
      <c r="H2170" s="8" t="e">
        <f>VLOOKUP($D2170,설문!$C$2:$G$444,5,FALSE)</f>
        <v>#N/A</v>
      </c>
    </row>
    <row r="2171" spans="1:8">
      <c r="A2171" s="6" t="s">
        <v>605</v>
      </c>
      <c r="B2171" s="7" t="s">
        <v>606</v>
      </c>
      <c r="C2171" s="7" t="s">
        <v>606</v>
      </c>
      <c r="D2171" s="7" t="s">
        <v>4339</v>
      </c>
      <c r="E2171" s="6" t="s">
        <v>4340</v>
      </c>
      <c r="F2171" s="8" t="e">
        <f>VLOOKUP($D2171,설문!$C$2:$G$444,3,FALSE)</f>
        <v>#N/A</v>
      </c>
      <c r="G2171" s="8" t="e">
        <f>VLOOKUP($D2171,설문!$C$2:$G$444,4,FALSE)</f>
        <v>#N/A</v>
      </c>
      <c r="H2171" s="8" t="e">
        <f>VLOOKUP($D2171,설문!$C$2:$G$444,5,FALSE)</f>
        <v>#N/A</v>
      </c>
    </row>
    <row r="2172" spans="1:8">
      <c r="A2172" s="6" t="s">
        <v>605</v>
      </c>
      <c r="B2172" s="7" t="s">
        <v>606</v>
      </c>
      <c r="C2172" s="7" t="s">
        <v>606</v>
      </c>
      <c r="D2172" s="7" t="s">
        <v>4341</v>
      </c>
      <c r="E2172" s="6" t="s">
        <v>4342</v>
      </c>
      <c r="F2172" s="8" t="e">
        <f>VLOOKUP($D2172,설문!$C$2:$G$444,3,FALSE)</f>
        <v>#N/A</v>
      </c>
      <c r="G2172" s="8" t="e">
        <f>VLOOKUP($D2172,설문!$C$2:$G$444,4,FALSE)</f>
        <v>#N/A</v>
      </c>
      <c r="H2172" s="8" t="e">
        <f>VLOOKUP($D2172,설문!$C$2:$G$444,5,FALSE)</f>
        <v>#N/A</v>
      </c>
    </row>
    <row r="2173" spans="1:8">
      <c r="A2173" s="6" t="s">
        <v>605</v>
      </c>
      <c r="B2173" s="7" t="s">
        <v>606</v>
      </c>
      <c r="C2173" s="7" t="s">
        <v>606</v>
      </c>
      <c r="D2173" s="7" t="s">
        <v>4343</v>
      </c>
      <c r="E2173" s="6" t="s">
        <v>4344</v>
      </c>
      <c r="F2173" s="8" t="e">
        <f>VLOOKUP($D2173,설문!$C$2:$G$444,3,FALSE)</f>
        <v>#N/A</v>
      </c>
      <c r="G2173" s="8" t="e">
        <f>VLOOKUP($D2173,설문!$C$2:$G$444,4,FALSE)</f>
        <v>#N/A</v>
      </c>
      <c r="H2173" s="8" t="e">
        <f>VLOOKUP($D2173,설문!$C$2:$G$444,5,FALSE)</f>
        <v>#N/A</v>
      </c>
    </row>
    <row r="2174" spans="1:8">
      <c r="A2174" s="6" t="s">
        <v>605</v>
      </c>
      <c r="B2174" s="7" t="s">
        <v>606</v>
      </c>
      <c r="C2174" s="7" t="s">
        <v>606</v>
      </c>
      <c r="D2174" s="7" t="s">
        <v>4345</v>
      </c>
      <c r="E2174" s="6" t="s">
        <v>4346</v>
      </c>
      <c r="F2174" s="8" t="e">
        <f>VLOOKUP($D2174,설문!$C$2:$G$444,3,FALSE)</f>
        <v>#N/A</v>
      </c>
      <c r="G2174" s="8" t="e">
        <f>VLOOKUP($D2174,설문!$C$2:$G$444,4,FALSE)</f>
        <v>#N/A</v>
      </c>
      <c r="H2174" s="8" t="e">
        <f>VLOOKUP($D2174,설문!$C$2:$G$444,5,FALSE)</f>
        <v>#N/A</v>
      </c>
    </row>
    <row r="2175" spans="1:8">
      <c r="A2175" s="6" t="s">
        <v>605</v>
      </c>
      <c r="B2175" s="7" t="s">
        <v>606</v>
      </c>
      <c r="C2175" s="7" t="s">
        <v>606</v>
      </c>
      <c r="D2175" s="7" t="s">
        <v>4347</v>
      </c>
      <c r="E2175" s="6" t="s">
        <v>4338</v>
      </c>
      <c r="F2175" s="8" t="e">
        <f>VLOOKUP($D2175,설문!$C$2:$G$444,3,FALSE)</f>
        <v>#N/A</v>
      </c>
      <c r="G2175" s="8" t="e">
        <f>VLOOKUP($D2175,설문!$C$2:$G$444,4,FALSE)</f>
        <v>#N/A</v>
      </c>
      <c r="H2175" s="8" t="e">
        <f>VLOOKUP($D2175,설문!$C$2:$G$444,5,FALSE)</f>
        <v>#N/A</v>
      </c>
    </row>
    <row r="2176" spans="1:8">
      <c r="A2176" s="6" t="s">
        <v>605</v>
      </c>
      <c r="B2176" s="7" t="s">
        <v>606</v>
      </c>
      <c r="C2176" s="7" t="s">
        <v>606</v>
      </c>
      <c r="D2176" s="7" t="s">
        <v>4348</v>
      </c>
      <c r="E2176" s="6" t="s">
        <v>4349</v>
      </c>
      <c r="F2176" s="8" t="e">
        <f>VLOOKUP($D2176,설문!$C$2:$G$444,3,FALSE)</f>
        <v>#N/A</v>
      </c>
      <c r="G2176" s="8" t="e">
        <f>VLOOKUP($D2176,설문!$C$2:$G$444,4,FALSE)</f>
        <v>#N/A</v>
      </c>
      <c r="H2176" s="8" t="e">
        <f>VLOOKUP($D2176,설문!$C$2:$G$444,5,FALSE)</f>
        <v>#N/A</v>
      </c>
    </row>
    <row r="2177" spans="1:8">
      <c r="A2177" s="6" t="s">
        <v>605</v>
      </c>
      <c r="B2177" s="7" t="s">
        <v>606</v>
      </c>
      <c r="C2177" s="7" t="s">
        <v>606</v>
      </c>
      <c r="D2177" s="7" t="s">
        <v>4350</v>
      </c>
      <c r="E2177" s="6" t="s">
        <v>4351</v>
      </c>
      <c r="F2177" s="8" t="e">
        <f>VLOOKUP($D2177,설문!$C$2:$G$444,3,FALSE)</f>
        <v>#N/A</v>
      </c>
      <c r="G2177" s="8" t="e">
        <f>VLOOKUP($D2177,설문!$C$2:$G$444,4,FALSE)</f>
        <v>#N/A</v>
      </c>
      <c r="H2177" s="8" t="e">
        <f>VLOOKUP($D2177,설문!$C$2:$G$444,5,FALSE)</f>
        <v>#N/A</v>
      </c>
    </row>
    <row r="2178" spans="1:8">
      <c r="A2178" s="6" t="s">
        <v>605</v>
      </c>
      <c r="B2178" s="7" t="s">
        <v>606</v>
      </c>
      <c r="C2178" s="7" t="s">
        <v>606</v>
      </c>
      <c r="D2178" s="7" t="s">
        <v>4352</v>
      </c>
      <c r="E2178" s="6" t="s">
        <v>4353</v>
      </c>
      <c r="F2178" s="8" t="e">
        <f>VLOOKUP($D2178,설문!$C$2:$G$444,3,FALSE)</f>
        <v>#N/A</v>
      </c>
      <c r="G2178" s="8" t="e">
        <f>VLOOKUP($D2178,설문!$C$2:$G$444,4,FALSE)</f>
        <v>#N/A</v>
      </c>
      <c r="H2178" s="8" t="e">
        <f>VLOOKUP($D2178,설문!$C$2:$G$444,5,FALSE)</f>
        <v>#N/A</v>
      </c>
    </row>
    <row r="2179" spans="1:8">
      <c r="A2179" s="6" t="s">
        <v>605</v>
      </c>
      <c r="B2179" s="7" t="s">
        <v>606</v>
      </c>
      <c r="C2179" s="7" t="s">
        <v>606</v>
      </c>
      <c r="D2179" s="7" t="s">
        <v>4354</v>
      </c>
      <c r="E2179" s="6" t="s">
        <v>4355</v>
      </c>
      <c r="F2179" s="8" t="e">
        <f>VLOOKUP($D2179,설문!$C$2:$G$444,3,FALSE)</f>
        <v>#N/A</v>
      </c>
      <c r="G2179" s="8" t="e">
        <f>VLOOKUP($D2179,설문!$C$2:$G$444,4,FALSE)</f>
        <v>#N/A</v>
      </c>
      <c r="H2179" s="8" t="e">
        <f>VLOOKUP($D2179,설문!$C$2:$G$444,5,FALSE)</f>
        <v>#N/A</v>
      </c>
    </row>
    <row r="2180" spans="1:8">
      <c r="A2180" s="6" t="s">
        <v>605</v>
      </c>
      <c r="B2180" s="7" t="s">
        <v>606</v>
      </c>
      <c r="C2180" s="7" t="s">
        <v>606</v>
      </c>
      <c r="D2180" s="7" t="s">
        <v>4356</v>
      </c>
      <c r="E2180" s="6" t="s">
        <v>1930</v>
      </c>
      <c r="F2180" s="8" t="e">
        <f>VLOOKUP($D2180,설문!$C$2:$G$444,3,FALSE)</f>
        <v>#N/A</v>
      </c>
      <c r="G2180" s="8" t="e">
        <f>VLOOKUP($D2180,설문!$C$2:$G$444,4,FALSE)</f>
        <v>#N/A</v>
      </c>
      <c r="H2180" s="8" t="e">
        <f>VLOOKUP($D2180,설문!$C$2:$G$444,5,FALSE)</f>
        <v>#N/A</v>
      </c>
    </row>
    <row r="2181" spans="1:8">
      <c r="A2181" s="6" t="s">
        <v>605</v>
      </c>
      <c r="B2181" s="7" t="s">
        <v>483</v>
      </c>
      <c r="C2181" s="7" t="s">
        <v>3748</v>
      </c>
      <c r="D2181" s="7" t="s">
        <v>4357</v>
      </c>
      <c r="E2181" s="6" t="s">
        <v>4358</v>
      </c>
      <c r="F2181" s="8" t="e">
        <f>VLOOKUP($D2181,설문!$C$2:$G$444,3,FALSE)</f>
        <v>#N/A</v>
      </c>
      <c r="G2181" s="8" t="e">
        <f>VLOOKUP($D2181,설문!$C$2:$G$444,4,FALSE)</f>
        <v>#N/A</v>
      </c>
      <c r="H2181" s="8" t="e">
        <f>VLOOKUP($D2181,설문!$C$2:$G$444,5,FALSE)</f>
        <v>#N/A</v>
      </c>
    </row>
    <row r="2182" spans="1:8">
      <c r="A2182" s="6" t="s">
        <v>605</v>
      </c>
      <c r="B2182" s="7" t="s">
        <v>483</v>
      </c>
      <c r="C2182" s="7" t="s">
        <v>483</v>
      </c>
      <c r="D2182" s="7" t="s">
        <v>4359</v>
      </c>
      <c r="E2182" s="6" t="s">
        <v>4360</v>
      </c>
      <c r="F2182" s="8" t="str">
        <f>VLOOKUP($D2182,설문!$C$2:$G$444,3,FALSE)</f>
        <v>분석 및 전략</v>
      </c>
      <c r="G2182" s="8" t="str">
        <f>VLOOKUP($D2182,설문!$C$2:$G$444,4,FALSE)</f>
        <v>금융회사</v>
      </c>
      <c r="H2182" s="8" t="str">
        <f>VLOOKUP($D2182,설문!$C$2:$G$444,5,FALSE)</f>
        <v>국고채/통안채,RP,단기자금</v>
      </c>
    </row>
    <row r="2183" spans="1:8">
      <c r="A2183" s="6" t="s">
        <v>605</v>
      </c>
      <c r="B2183" s="7" t="s">
        <v>483</v>
      </c>
      <c r="C2183" s="7" t="s">
        <v>483</v>
      </c>
      <c r="D2183" s="7" t="s">
        <v>4361</v>
      </c>
      <c r="E2183" s="6" t="s">
        <v>4362</v>
      </c>
      <c r="F2183" s="8" t="e">
        <f>VLOOKUP($D2183,설문!$C$2:$G$444,3,FALSE)</f>
        <v>#N/A</v>
      </c>
      <c r="G2183" s="8" t="e">
        <f>VLOOKUP($D2183,설문!$C$2:$G$444,4,FALSE)</f>
        <v>#N/A</v>
      </c>
      <c r="H2183" s="8" t="e">
        <f>VLOOKUP($D2183,설문!$C$2:$G$444,5,FALSE)</f>
        <v>#N/A</v>
      </c>
    </row>
    <row r="2184" spans="1:8">
      <c r="A2184" s="6" t="s">
        <v>605</v>
      </c>
      <c r="B2184" s="7" t="s">
        <v>4363</v>
      </c>
      <c r="C2184" s="7" t="s">
        <v>4364</v>
      </c>
      <c r="D2184" s="7" t="s">
        <v>4365</v>
      </c>
      <c r="E2184" s="6" t="s">
        <v>4366</v>
      </c>
      <c r="F2184" s="8" t="e">
        <f>VLOOKUP($D2184,설문!$C$2:$G$444,3,FALSE)</f>
        <v>#N/A</v>
      </c>
      <c r="G2184" s="8" t="e">
        <f>VLOOKUP($D2184,설문!$C$2:$G$444,4,FALSE)</f>
        <v>#N/A</v>
      </c>
      <c r="H2184" s="8" t="e">
        <f>VLOOKUP($D2184,설문!$C$2:$G$444,5,FALSE)</f>
        <v>#N/A</v>
      </c>
    </row>
    <row r="2185" spans="1:8">
      <c r="A2185" s="6" t="s">
        <v>605</v>
      </c>
      <c r="B2185" s="7" t="s">
        <v>4363</v>
      </c>
      <c r="C2185" s="7" t="s">
        <v>4364</v>
      </c>
      <c r="D2185" s="7" t="s">
        <v>4367</v>
      </c>
      <c r="E2185" s="6" t="s">
        <v>2875</v>
      </c>
      <c r="F2185" s="8" t="str">
        <f>VLOOKUP($D2185,설문!$C$2:$G$444,3,FALSE)</f>
        <v>퀀트</v>
      </c>
      <c r="G2185" s="8" t="str">
        <f>VLOOKUP($D2185,설문!$C$2:$G$444,4,FALSE)</f>
        <v>금융회사</v>
      </c>
      <c r="H2185" s="8" t="str">
        <f>VLOOKUP($D2185,설문!$C$2:$G$444,5,FALSE)</f>
        <v>국고채/통안채,원화 구조화채권,외화 구조화채권,원화 이자율스왑,외화 이자율스왑,FRA/이자율옵션</v>
      </c>
    </row>
    <row r="2186" spans="1:8">
      <c r="A2186" s="6" t="s">
        <v>605</v>
      </c>
      <c r="B2186" s="7" t="s">
        <v>4363</v>
      </c>
      <c r="C2186" s="7" t="s">
        <v>4364</v>
      </c>
      <c r="D2186" s="7" t="s">
        <v>4368</v>
      </c>
      <c r="E2186" s="6" t="s">
        <v>4369</v>
      </c>
      <c r="F2186" s="8" t="e">
        <f>VLOOKUP($D2186,설문!$C$2:$G$444,3,FALSE)</f>
        <v>#N/A</v>
      </c>
      <c r="G2186" s="8" t="e">
        <f>VLOOKUP($D2186,설문!$C$2:$G$444,4,FALSE)</f>
        <v>#N/A</v>
      </c>
      <c r="H2186" s="8" t="e">
        <f>VLOOKUP($D2186,설문!$C$2:$G$444,5,FALSE)</f>
        <v>#N/A</v>
      </c>
    </row>
    <row r="2187" spans="1:8">
      <c r="A2187" s="6" t="s">
        <v>605</v>
      </c>
      <c r="B2187" s="7" t="s">
        <v>4363</v>
      </c>
      <c r="C2187" s="7" t="s">
        <v>4364</v>
      </c>
      <c r="D2187" s="7" t="s">
        <v>4370</v>
      </c>
      <c r="E2187" s="6" t="s">
        <v>4371</v>
      </c>
      <c r="F2187" s="8" t="str">
        <f>VLOOKUP($D2187,설문!$C$2:$G$444,3,FALSE)</f>
        <v>트레이더</v>
      </c>
      <c r="G2187" s="8" t="str">
        <f>VLOOKUP($D2187,설문!$C$2:$G$444,4,FALSE)</f>
        <v>금융회사,일반기업고객</v>
      </c>
      <c r="H2187" s="8" t="str">
        <f>VLOOKUP($D2187,설문!$C$2:$G$444,5,FALSE)</f>
        <v>국고채/통안채,국채선물,원화 이자율스왑,외화 이자율스왑,FX Spot &amp; FX Swap</v>
      </c>
    </row>
    <row r="2188" spans="1:8">
      <c r="A2188" s="6" t="s">
        <v>605</v>
      </c>
      <c r="B2188" s="7" t="s">
        <v>4372</v>
      </c>
      <c r="C2188" s="7" t="s">
        <v>1319</v>
      </c>
      <c r="D2188" s="7" t="s">
        <v>4373</v>
      </c>
      <c r="E2188" s="6" t="s">
        <v>4374</v>
      </c>
      <c r="F2188" s="8" t="e">
        <f>VLOOKUP($D2188,설문!$C$2:$G$444,3,FALSE)</f>
        <v>#N/A</v>
      </c>
      <c r="G2188" s="8" t="e">
        <f>VLOOKUP($D2188,설문!$C$2:$G$444,4,FALSE)</f>
        <v>#N/A</v>
      </c>
      <c r="H2188" s="8" t="e">
        <f>VLOOKUP($D2188,설문!$C$2:$G$444,5,FALSE)</f>
        <v>#N/A</v>
      </c>
    </row>
    <row r="2189" spans="1:8">
      <c r="A2189" s="6" t="s">
        <v>605</v>
      </c>
      <c r="B2189" s="7" t="s">
        <v>1319</v>
      </c>
      <c r="C2189" s="7" t="s">
        <v>1319</v>
      </c>
      <c r="D2189" s="7" t="s">
        <v>4375</v>
      </c>
      <c r="E2189" s="6" t="s">
        <v>4376</v>
      </c>
      <c r="F2189" s="8" t="e">
        <f>VLOOKUP($D2189,설문!$C$2:$G$444,3,FALSE)</f>
        <v>#N/A</v>
      </c>
      <c r="G2189" s="8" t="e">
        <f>VLOOKUP($D2189,설문!$C$2:$G$444,4,FALSE)</f>
        <v>#N/A</v>
      </c>
      <c r="H2189" s="8" t="e">
        <f>VLOOKUP($D2189,설문!$C$2:$G$444,5,FALSE)</f>
        <v>#N/A</v>
      </c>
    </row>
    <row r="2190" spans="1:8">
      <c r="A2190" s="6" t="s">
        <v>605</v>
      </c>
      <c r="B2190" s="7" t="s">
        <v>1319</v>
      </c>
      <c r="C2190" s="7" t="s">
        <v>1319</v>
      </c>
      <c r="D2190" s="7" t="s">
        <v>4377</v>
      </c>
      <c r="E2190" s="6" t="s">
        <v>4378</v>
      </c>
      <c r="F2190" s="8" t="e">
        <f>VLOOKUP($D2190,설문!$C$2:$G$444,3,FALSE)</f>
        <v>#N/A</v>
      </c>
      <c r="G2190" s="8" t="e">
        <f>VLOOKUP($D2190,설문!$C$2:$G$444,4,FALSE)</f>
        <v>#N/A</v>
      </c>
      <c r="H2190" s="8" t="e">
        <f>VLOOKUP($D2190,설문!$C$2:$G$444,5,FALSE)</f>
        <v>#N/A</v>
      </c>
    </row>
    <row r="2191" spans="1:8">
      <c r="A2191" s="6" t="s">
        <v>605</v>
      </c>
      <c r="B2191" s="7" t="s">
        <v>4328</v>
      </c>
      <c r="C2191" s="7" t="s">
        <v>4328</v>
      </c>
      <c r="D2191" s="7" t="s">
        <v>4379</v>
      </c>
      <c r="E2191" s="6" t="s">
        <v>4380</v>
      </c>
      <c r="F2191" s="8" t="str">
        <f>VLOOKUP($D2191,설문!$C$2:$G$444,3,FALSE)</f>
        <v>리스크관리(미들)</v>
      </c>
      <c r="G2191" s="8" t="str">
        <f>VLOOKUP($D2191,설문!$C$2:$G$444,4,FALSE)</f>
        <v>금융회사,기타</v>
      </c>
      <c r="H2191" s="8" t="str">
        <f>VLOOKUP($D2191,설문!$C$2:$G$444,5,FALSE)</f>
        <v>국내주식/지수,국내주식/지수관련파생,FX Spot &amp; FX Swap,CRS &amp; FX Option,해외주식/지수,해외주식/지수관련파생</v>
      </c>
    </row>
    <row r="2192" spans="1:8">
      <c r="A2192" s="6" t="s">
        <v>605</v>
      </c>
      <c r="B2192" s="7" t="s">
        <v>4328</v>
      </c>
      <c r="C2192" s="7" t="s">
        <v>4328</v>
      </c>
      <c r="D2192" s="7" t="s">
        <v>4381</v>
      </c>
      <c r="E2192" s="6" t="s">
        <v>4382</v>
      </c>
      <c r="F2192" s="8" t="e">
        <f>VLOOKUP($D2192,설문!$C$2:$G$444,3,FALSE)</f>
        <v>#N/A</v>
      </c>
      <c r="G2192" s="8" t="e">
        <f>VLOOKUP($D2192,설문!$C$2:$G$444,4,FALSE)</f>
        <v>#N/A</v>
      </c>
      <c r="H2192" s="8" t="e">
        <f>VLOOKUP($D2192,설문!$C$2:$G$444,5,FALSE)</f>
        <v>#N/A</v>
      </c>
    </row>
    <row r="2193" spans="1:8">
      <c r="A2193" s="6" t="s">
        <v>605</v>
      </c>
      <c r="B2193" s="7" t="s">
        <v>4328</v>
      </c>
      <c r="C2193" s="7" t="s">
        <v>4328</v>
      </c>
      <c r="D2193" s="7" t="s">
        <v>4383</v>
      </c>
      <c r="E2193" s="6" t="s">
        <v>4384</v>
      </c>
      <c r="F2193" s="8" t="e">
        <f>VLOOKUP($D2193,설문!$C$2:$G$444,3,FALSE)</f>
        <v>#N/A</v>
      </c>
      <c r="G2193" s="8" t="e">
        <f>VLOOKUP($D2193,설문!$C$2:$G$444,4,FALSE)</f>
        <v>#N/A</v>
      </c>
      <c r="H2193" s="8" t="e">
        <f>VLOOKUP($D2193,설문!$C$2:$G$444,5,FALSE)</f>
        <v>#N/A</v>
      </c>
    </row>
    <row r="2194" spans="1:8">
      <c r="A2194" s="6" t="s">
        <v>605</v>
      </c>
      <c r="B2194" s="7" t="s">
        <v>4328</v>
      </c>
      <c r="C2194" s="7" t="s">
        <v>4385</v>
      </c>
      <c r="D2194" s="7" t="s">
        <v>4386</v>
      </c>
      <c r="E2194" s="6" t="s">
        <v>4382</v>
      </c>
      <c r="F2194" s="8" t="e">
        <f>VLOOKUP($D2194,설문!$C$2:$G$444,3,FALSE)</f>
        <v>#N/A</v>
      </c>
      <c r="G2194" s="8" t="e">
        <f>VLOOKUP($D2194,설문!$C$2:$G$444,4,FALSE)</f>
        <v>#N/A</v>
      </c>
      <c r="H2194" s="8" t="e">
        <f>VLOOKUP($D2194,설문!$C$2:$G$444,5,FALSE)</f>
        <v>#N/A</v>
      </c>
    </row>
    <row r="2195" spans="1:8">
      <c r="A2195" s="6" t="s">
        <v>605</v>
      </c>
      <c r="B2195" s="7" t="s">
        <v>4387</v>
      </c>
      <c r="C2195" s="7" t="s">
        <v>4387</v>
      </c>
      <c r="D2195" s="7" t="s">
        <v>4388</v>
      </c>
      <c r="E2195" s="6" t="s">
        <v>4389</v>
      </c>
      <c r="F2195" s="8" t="e">
        <f>VLOOKUP($D2195,설문!$C$2:$G$444,3,FALSE)</f>
        <v>#N/A</v>
      </c>
      <c r="G2195" s="8" t="e">
        <f>VLOOKUP($D2195,설문!$C$2:$G$444,4,FALSE)</f>
        <v>#N/A</v>
      </c>
      <c r="H2195" s="8" t="e">
        <f>VLOOKUP($D2195,설문!$C$2:$G$444,5,FALSE)</f>
        <v>#N/A</v>
      </c>
    </row>
    <row r="2196" spans="1:8">
      <c r="A2196" s="6" t="s">
        <v>605</v>
      </c>
      <c r="B2196" s="7" t="s">
        <v>4387</v>
      </c>
      <c r="C2196" s="7" t="s">
        <v>4387</v>
      </c>
      <c r="D2196" s="7" t="s">
        <v>4390</v>
      </c>
      <c r="E2196" s="6" t="s">
        <v>4391</v>
      </c>
      <c r="F2196" s="8" t="str">
        <f>VLOOKUP($D2196,설문!$C$2:$G$444,3,FALSE)</f>
        <v>백오피스</v>
      </c>
      <c r="G2196" s="8" t="str">
        <f>VLOOKUP($D2196,설문!$C$2:$G$444,4,FALSE)</f>
        <v>금융회사</v>
      </c>
      <c r="H2196" s="8" t="str">
        <f>VLOOKUP($D2196,설문!$C$2:$G$444,5,FALSE)</f>
        <v>국내주식/지수,국고채/통안채,회사채,국내주식/지수관련파생,ETF/ETN</v>
      </c>
    </row>
    <row r="2197" spans="1:8">
      <c r="A2197" s="6" t="s">
        <v>605</v>
      </c>
      <c r="B2197" s="7" t="s">
        <v>1607</v>
      </c>
      <c r="C2197" s="7" t="s">
        <v>4392</v>
      </c>
      <c r="D2197" s="7" t="s">
        <v>4393</v>
      </c>
      <c r="E2197" s="6" t="s">
        <v>4394</v>
      </c>
      <c r="F2197" s="8" t="e">
        <f>VLOOKUP($D2197,설문!$C$2:$G$444,3,FALSE)</f>
        <v>#N/A</v>
      </c>
      <c r="G2197" s="8" t="e">
        <f>VLOOKUP($D2197,설문!$C$2:$G$444,4,FALSE)</f>
        <v>#N/A</v>
      </c>
      <c r="H2197" s="8" t="e">
        <f>VLOOKUP($D2197,설문!$C$2:$G$444,5,FALSE)</f>
        <v>#N/A</v>
      </c>
    </row>
    <row r="2198" spans="1:8">
      <c r="A2198" s="6" t="s">
        <v>605</v>
      </c>
      <c r="B2198" s="7" t="s">
        <v>1607</v>
      </c>
      <c r="C2198" s="7" t="s">
        <v>1607</v>
      </c>
      <c r="D2198" s="7" t="s">
        <v>4395</v>
      </c>
      <c r="E2198" s="6" t="s">
        <v>4396</v>
      </c>
      <c r="F2198" s="8" t="e">
        <f>VLOOKUP($D2198,설문!$C$2:$G$444,3,FALSE)</f>
        <v>#N/A</v>
      </c>
      <c r="G2198" s="8" t="e">
        <f>VLOOKUP($D2198,설문!$C$2:$G$444,4,FALSE)</f>
        <v>#N/A</v>
      </c>
      <c r="H2198" s="8" t="e">
        <f>VLOOKUP($D2198,설문!$C$2:$G$444,5,FALSE)</f>
        <v>#N/A</v>
      </c>
    </row>
    <row r="2199" spans="1:8">
      <c r="A2199" s="6" t="s">
        <v>1166</v>
      </c>
      <c r="B2199" s="7" t="s">
        <v>82</v>
      </c>
      <c r="C2199" s="7" t="s">
        <v>82</v>
      </c>
      <c r="D2199" s="7" t="s">
        <v>1167</v>
      </c>
      <c r="E2199" s="6" t="s">
        <v>1168</v>
      </c>
      <c r="F2199" s="8" t="str">
        <f>VLOOKUP($D2199,설문!$C$2:$G$444,3,FALSE)</f>
        <v>펀드매니저</v>
      </c>
      <c r="G2199" s="8" t="str">
        <f>VLOOKUP($D2199,설문!$C$2:$G$444,4,FALSE)</f>
        <v>금융회사</v>
      </c>
      <c r="H2199" s="8" t="str">
        <f>VLOOKUP($D2199,설문!$C$2:$G$444,5,FALSE)</f>
        <v>국내주식/지수,국내주식/지수관련파생,ETF/ETN</v>
      </c>
    </row>
    <row r="2200" spans="1:8">
      <c r="A2200" s="6" t="s">
        <v>1166</v>
      </c>
      <c r="B2200" s="7" t="s">
        <v>82</v>
      </c>
      <c r="C2200" s="7" t="s">
        <v>82</v>
      </c>
      <c r="D2200" s="7" t="s">
        <v>1734</v>
      </c>
      <c r="E2200" s="6" t="s">
        <v>1735</v>
      </c>
      <c r="F2200" s="8" t="e">
        <f>VLOOKUP($D2200,설문!$C$2:$G$444,3,FALSE)</f>
        <v>#N/A</v>
      </c>
      <c r="G2200" s="8" t="e">
        <f>VLOOKUP($D2200,설문!$C$2:$G$444,4,FALSE)</f>
        <v>#N/A</v>
      </c>
      <c r="H2200" s="8" t="e">
        <f>VLOOKUP($D2200,설문!$C$2:$G$444,5,FALSE)</f>
        <v>#N/A</v>
      </c>
    </row>
    <row r="2201" spans="1:8">
      <c r="A2201" s="6" t="s">
        <v>1166</v>
      </c>
      <c r="B2201" s="7" t="s">
        <v>82</v>
      </c>
      <c r="C2201" s="7" t="s">
        <v>82</v>
      </c>
      <c r="D2201" s="7" t="s">
        <v>4426</v>
      </c>
      <c r="E2201" s="6" t="s">
        <v>4427</v>
      </c>
      <c r="F2201" s="8" t="e">
        <f>VLOOKUP($D2201,설문!$C$2:$G$444,3,FALSE)</f>
        <v>#N/A</v>
      </c>
      <c r="G2201" s="8" t="e">
        <f>VLOOKUP($D2201,설문!$C$2:$G$444,4,FALSE)</f>
        <v>#N/A</v>
      </c>
      <c r="H2201" s="8" t="e">
        <f>VLOOKUP($D2201,설문!$C$2:$G$444,5,FALSE)</f>
        <v>#N/A</v>
      </c>
    </row>
    <row r="2202" spans="1:8">
      <c r="A2202" s="6" t="s">
        <v>1370</v>
      </c>
      <c r="B2202" s="7" t="s">
        <v>149</v>
      </c>
      <c r="C2202" s="7" t="s">
        <v>149</v>
      </c>
      <c r="D2202" s="7" t="s">
        <v>1371</v>
      </c>
      <c r="E2202" s="6" t="s">
        <v>1372</v>
      </c>
      <c r="F2202" s="8" t="e">
        <f>VLOOKUP($D2202,설문!$C$2:$G$444,3,FALSE)</f>
        <v>#N/A</v>
      </c>
      <c r="G2202" s="8" t="e">
        <f>VLOOKUP($D2202,설문!$C$2:$G$444,4,FALSE)</f>
        <v>#N/A</v>
      </c>
      <c r="H2202" s="8" t="e">
        <f>VLOOKUP($D2202,설문!$C$2:$G$444,5,FALSE)</f>
        <v>#N/A</v>
      </c>
    </row>
    <row r="2203" spans="1:8">
      <c r="A2203" s="6" t="s">
        <v>1370</v>
      </c>
      <c r="B2203" s="7" t="s">
        <v>149</v>
      </c>
      <c r="C2203" s="7" t="s">
        <v>149</v>
      </c>
      <c r="D2203" s="7" t="s">
        <v>1741</v>
      </c>
      <c r="E2203" s="6" t="s">
        <v>1742</v>
      </c>
      <c r="F2203" s="8" t="e">
        <f>VLOOKUP($D2203,설문!$C$2:$G$444,3,FALSE)</f>
        <v>#N/A</v>
      </c>
      <c r="G2203" s="8" t="e">
        <f>VLOOKUP($D2203,설문!$C$2:$G$444,4,FALSE)</f>
        <v>#N/A</v>
      </c>
      <c r="H2203" s="8" t="e">
        <f>VLOOKUP($D2203,설문!$C$2:$G$444,5,FALSE)</f>
        <v>#N/A</v>
      </c>
    </row>
    <row r="2204" spans="1:8">
      <c r="A2204" s="6" t="s">
        <v>1370</v>
      </c>
      <c r="B2204" s="7" t="s">
        <v>149</v>
      </c>
      <c r="C2204" s="7" t="s">
        <v>149</v>
      </c>
      <c r="D2204" s="7" t="s">
        <v>1747</v>
      </c>
      <c r="E2204" s="6" t="s">
        <v>1748</v>
      </c>
      <c r="F2204" s="8" t="e">
        <f>VLOOKUP($D2204,설문!$C$2:$G$444,3,FALSE)</f>
        <v>#N/A</v>
      </c>
      <c r="G2204" s="8" t="e">
        <f>VLOOKUP($D2204,설문!$C$2:$G$444,4,FALSE)</f>
        <v>#N/A</v>
      </c>
      <c r="H2204" s="8" t="e">
        <f>VLOOKUP($D2204,설문!$C$2:$G$444,5,FALSE)</f>
        <v>#N/A</v>
      </c>
    </row>
    <row r="2205" spans="1:8">
      <c r="A2205" s="6" t="s">
        <v>1370</v>
      </c>
      <c r="B2205" s="7" t="s">
        <v>149</v>
      </c>
      <c r="C2205" s="7" t="s">
        <v>149</v>
      </c>
      <c r="D2205" s="7" t="s">
        <v>1759</v>
      </c>
      <c r="E2205" s="6" t="s">
        <v>1760</v>
      </c>
      <c r="F2205" s="8" t="str">
        <f>VLOOKUP($D2205,설문!$C$2:$G$444,3,FALSE)</f>
        <v>브로커</v>
      </c>
      <c r="G2205" s="8" t="str">
        <f>VLOOKUP($D2205,설문!$C$2:$G$444,4,FALSE)</f>
        <v>금융회사</v>
      </c>
      <c r="H2205" s="8" t="str">
        <f>VLOOKUP($D2205,설문!$C$2:$G$444,5,FALSE)</f>
        <v>국고채/통안채</v>
      </c>
    </row>
    <row r="2206" spans="1:8">
      <c r="A2206" s="6" t="s">
        <v>1518</v>
      </c>
      <c r="B2206" s="7" t="s">
        <v>9</v>
      </c>
      <c r="C2206" s="7" t="s">
        <v>9</v>
      </c>
      <c r="D2206" s="7" t="s">
        <v>1519</v>
      </c>
      <c r="E2206" s="6" t="s">
        <v>62</v>
      </c>
      <c r="F2206" s="8" t="e">
        <f>VLOOKUP($D2206,설문!$C$2:$G$444,3,FALSE)</f>
        <v>#N/A</v>
      </c>
      <c r="G2206" s="8" t="e">
        <f>VLOOKUP($D2206,설문!$C$2:$G$444,4,FALSE)</f>
        <v>#N/A</v>
      </c>
      <c r="H2206" s="8" t="e">
        <f>VLOOKUP($D2206,설문!$C$2:$G$444,5,FALSE)</f>
        <v>#N/A</v>
      </c>
    </row>
    <row r="2207" spans="1:8">
      <c r="A2207" s="6" t="s">
        <v>1518</v>
      </c>
      <c r="B2207" s="7" t="s">
        <v>9</v>
      </c>
      <c r="C2207" s="7" t="s">
        <v>9</v>
      </c>
      <c r="D2207" s="7" t="s">
        <v>1929</v>
      </c>
      <c r="E2207" s="6" t="s">
        <v>1930</v>
      </c>
      <c r="F2207" s="8" t="e">
        <f>VLOOKUP($D2207,설문!$C$2:$G$444,3,FALSE)</f>
        <v>#N/A</v>
      </c>
      <c r="G2207" s="8" t="e">
        <f>VLOOKUP($D2207,설문!$C$2:$G$444,4,FALSE)</f>
        <v>#N/A</v>
      </c>
      <c r="H2207" s="8" t="e">
        <f>VLOOKUP($D2207,설문!$C$2:$G$444,5,FALSE)</f>
        <v>#N/A</v>
      </c>
    </row>
    <row r="2208" spans="1:8">
      <c r="A2208" s="6" t="s">
        <v>2125</v>
      </c>
      <c r="B2208" s="7" t="s">
        <v>9</v>
      </c>
      <c r="C2208" s="7" t="s">
        <v>78</v>
      </c>
      <c r="D2208" s="7" t="s">
        <v>2126</v>
      </c>
      <c r="E2208" s="6" t="s">
        <v>2127</v>
      </c>
      <c r="F2208" s="8" t="e">
        <f>VLOOKUP($D2208,설문!$C$2:$G$444,3,FALSE)</f>
        <v>#N/A</v>
      </c>
      <c r="G2208" s="8" t="e">
        <f>VLOOKUP($D2208,설문!$C$2:$G$444,4,FALSE)</f>
        <v>#N/A</v>
      </c>
      <c r="H2208" s="8" t="e">
        <f>VLOOKUP($D2208,설문!$C$2:$G$444,5,FALSE)</f>
        <v>#N/A</v>
      </c>
    </row>
    <row r="2209" spans="1:8">
      <c r="A2209" s="6" t="s">
        <v>385</v>
      </c>
      <c r="B2209" s="7" t="s">
        <v>386</v>
      </c>
      <c r="C2209" s="7" t="s">
        <v>387</v>
      </c>
      <c r="D2209" s="7" t="s">
        <v>388</v>
      </c>
      <c r="E2209" s="6" t="s">
        <v>389</v>
      </c>
      <c r="F2209" s="8" t="e">
        <f>VLOOKUP($D2209,설문!$C$2:$G$444,3,FALSE)</f>
        <v>#N/A</v>
      </c>
      <c r="G2209" s="8" t="e">
        <f>VLOOKUP($D2209,설문!$C$2:$G$444,4,FALSE)</f>
        <v>#N/A</v>
      </c>
      <c r="H2209" s="8" t="e">
        <f>VLOOKUP($D2209,설문!$C$2:$G$444,5,FALSE)</f>
        <v>#N/A</v>
      </c>
    </row>
    <row r="2210" spans="1:8">
      <c r="A2210" s="6" t="s">
        <v>385</v>
      </c>
      <c r="B2210" s="7" t="s">
        <v>2413</v>
      </c>
      <c r="C2210" s="7" t="s">
        <v>2413</v>
      </c>
      <c r="D2210" s="7" t="s">
        <v>2414</v>
      </c>
      <c r="E2210" s="6" t="s">
        <v>2415</v>
      </c>
      <c r="F2210" s="8" t="e">
        <f>VLOOKUP($D2210,설문!$C$2:$G$444,3,FALSE)</f>
        <v>#N/A</v>
      </c>
      <c r="G2210" s="8" t="e">
        <f>VLOOKUP($D2210,설문!$C$2:$G$444,4,FALSE)</f>
        <v>#N/A</v>
      </c>
      <c r="H2210" s="8" t="e">
        <f>VLOOKUP($D2210,설문!$C$2:$G$444,5,FALSE)</f>
        <v>#N/A</v>
      </c>
    </row>
    <row r="2211" spans="1:8">
      <c r="A2211" s="6" t="s">
        <v>385</v>
      </c>
      <c r="B2211" s="7" t="s">
        <v>2413</v>
      </c>
      <c r="C2211" s="7" t="s">
        <v>2416</v>
      </c>
      <c r="D2211" s="7" t="s">
        <v>2417</v>
      </c>
      <c r="E2211" s="6" t="s">
        <v>2418</v>
      </c>
      <c r="F2211" s="8" t="e">
        <f>VLOOKUP($D2211,설문!$C$2:$G$444,3,FALSE)</f>
        <v>#N/A</v>
      </c>
      <c r="G2211" s="8" t="e">
        <f>VLOOKUP($D2211,설문!$C$2:$G$444,4,FALSE)</f>
        <v>#N/A</v>
      </c>
      <c r="H2211" s="8" t="e">
        <f>VLOOKUP($D2211,설문!$C$2:$G$444,5,FALSE)</f>
        <v>#N/A</v>
      </c>
    </row>
    <row r="2212" spans="1:8">
      <c r="A2212" s="6" t="s">
        <v>385</v>
      </c>
      <c r="B2212" s="7" t="s">
        <v>2419</v>
      </c>
      <c r="C2212" s="7" t="s">
        <v>2419</v>
      </c>
      <c r="D2212" s="7" t="s">
        <v>2420</v>
      </c>
      <c r="E2212" s="6" t="s">
        <v>2421</v>
      </c>
      <c r="F2212" s="8" t="str">
        <f>VLOOKUP($D2212,설문!$C$2:$G$444,3,FALSE)</f>
        <v>분석 및 전략</v>
      </c>
      <c r="G2212" s="8" t="str">
        <f>VLOOKUP($D2212,설문!$C$2:$G$444,4,FALSE)</f>
        <v>기타</v>
      </c>
      <c r="H2212" s="8" t="str">
        <f>VLOOKUP($D2212,설문!$C$2:$G$444,5,FALSE)</f>
        <v>국내주식/지수,국고채/통안채,대체투자(부동산/인프라)</v>
      </c>
    </row>
    <row r="2213" spans="1:8">
      <c r="A2213" s="6" t="s">
        <v>385</v>
      </c>
      <c r="B2213" s="7" t="s">
        <v>2419</v>
      </c>
      <c r="C2213" s="7" t="s">
        <v>2422</v>
      </c>
      <c r="D2213" s="7" t="s">
        <v>2423</v>
      </c>
      <c r="E2213" s="6" t="s">
        <v>2424</v>
      </c>
      <c r="F2213" s="8" t="str">
        <f>VLOOKUP($D2213,설문!$C$2:$G$444,3,FALSE)</f>
        <v>펀드매니저</v>
      </c>
      <c r="G2213" s="8" t="str">
        <f>VLOOKUP($D2213,설문!$C$2:$G$444,4,FALSE)</f>
        <v>금융회사,금융 유관기관</v>
      </c>
      <c r="H2213" s="8" t="str">
        <f>VLOOKUP($D2213,설문!$C$2:$G$444,5,FALSE)</f>
        <v>국내주식/지수,국고채/통안채,원화 구조화채권,외화 구조화채권</v>
      </c>
    </row>
    <row r="2214" spans="1:8">
      <c r="A2214" s="6" t="s">
        <v>385</v>
      </c>
      <c r="B2214" s="7" t="s">
        <v>2413</v>
      </c>
      <c r="C2214" s="7" t="s">
        <v>386</v>
      </c>
      <c r="D2214" s="7" t="s">
        <v>2425</v>
      </c>
      <c r="E2214" s="6" t="s">
        <v>2426</v>
      </c>
      <c r="F2214" s="8" t="e">
        <f>VLOOKUP($D2214,설문!$C$2:$G$444,3,FALSE)</f>
        <v>#N/A</v>
      </c>
      <c r="G2214" s="8" t="e">
        <f>VLOOKUP($D2214,설문!$C$2:$G$444,4,FALSE)</f>
        <v>#N/A</v>
      </c>
      <c r="H2214" s="8" t="e">
        <f>VLOOKUP($D2214,설문!$C$2:$G$444,5,FALSE)</f>
        <v>#N/A</v>
      </c>
    </row>
    <row r="2215" spans="1:8">
      <c r="A2215" s="6" t="s">
        <v>284</v>
      </c>
      <c r="B2215" s="7" t="s">
        <v>285</v>
      </c>
      <c r="C2215" s="7" t="s">
        <v>286</v>
      </c>
      <c r="D2215" s="7" t="s">
        <v>287</v>
      </c>
      <c r="E2215" s="6" t="s">
        <v>288</v>
      </c>
      <c r="F2215" s="8" t="e">
        <f>VLOOKUP($D2215,설문!$C$2:$G$444,3,FALSE)</f>
        <v>#N/A</v>
      </c>
      <c r="G2215" s="8" t="e">
        <f>VLOOKUP($D2215,설문!$C$2:$G$444,4,FALSE)</f>
        <v>#N/A</v>
      </c>
      <c r="H2215" s="8" t="e">
        <f>VLOOKUP($D2215,설문!$C$2:$G$444,5,FALSE)</f>
        <v>#N/A</v>
      </c>
    </row>
    <row r="2216" spans="1:8">
      <c r="A2216" s="6" t="s">
        <v>284</v>
      </c>
      <c r="B2216" s="7" t="s">
        <v>285</v>
      </c>
      <c r="C2216" s="7" t="s">
        <v>286</v>
      </c>
      <c r="D2216" s="7" t="s">
        <v>392</v>
      </c>
      <c r="E2216" s="6" t="s">
        <v>393</v>
      </c>
      <c r="F2216" s="8" t="e">
        <f>VLOOKUP($D2216,설문!$C$2:$G$444,3,FALSE)</f>
        <v>#N/A</v>
      </c>
      <c r="G2216" s="8" t="e">
        <f>VLOOKUP($D2216,설문!$C$2:$G$444,4,FALSE)</f>
        <v>#N/A</v>
      </c>
      <c r="H2216" s="8" t="e">
        <f>VLOOKUP($D2216,설문!$C$2:$G$444,5,FALSE)</f>
        <v>#N/A</v>
      </c>
    </row>
    <row r="2217" spans="1:8">
      <c r="A2217" s="6" t="s">
        <v>284</v>
      </c>
      <c r="B2217" s="7" t="s">
        <v>285</v>
      </c>
      <c r="C2217" s="7" t="s">
        <v>286</v>
      </c>
      <c r="D2217" s="7" t="s">
        <v>455</v>
      </c>
      <c r="E2217" s="6" t="s">
        <v>456</v>
      </c>
      <c r="F2217" s="8" t="e">
        <f>VLOOKUP($D2217,설문!$C$2:$G$444,3,FALSE)</f>
        <v>#N/A</v>
      </c>
      <c r="G2217" s="8" t="e">
        <f>VLOOKUP($D2217,설문!$C$2:$G$444,4,FALSE)</f>
        <v>#N/A</v>
      </c>
      <c r="H2217" s="8" t="e">
        <f>VLOOKUP($D2217,설문!$C$2:$G$444,5,FALSE)</f>
        <v>#N/A</v>
      </c>
    </row>
    <row r="2218" spans="1:8">
      <c r="A2218" s="6" t="s">
        <v>284</v>
      </c>
      <c r="B2218" s="7" t="s">
        <v>285</v>
      </c>
      <c r="C2218" s="7" t="s">
        <v>286</v>
      </c>
      <c r="D2218" s="7" t="s">
        <v>576</v>
      </c>
      <c r="E2218" s="6" t="s">
        <v>577</v>
      </c>
      <c r="F2218" s="8" t="e">
        <f>VLOOKUP($D2218,설문!$C$2:$G$444,3,FALSE)</f>
        <v>#N/A</v>
      </c>
      <c r="G2218" s="8" t="e">
        <f>VLOOKUP($D2218,설문!$C$2:$G$444,4,FALSE)</f>
        <v>#N/A</v>
      </c>
      <c r="H2218" s="8" t="e">
        <f>VLOOKUP($D2218,설문!$C$2:$G$444,5,FALSE)</f>
        <v>#N/A</v>
      </c>
    </row>
    <row r="2219" spans="1:8">
      <c r="A2219" s="6" t="s">
        <v>284</v>
      </c>
      <c r="B2219" s="7" t="s">
        <v>657</v>
      </c>
      <c r="C2219" s="7" t="s">
        <v>657</v>
      </c>
      <c r="D2219" s="7" t="s">
        <v>658</v>
      </c>
      <c r="E2219" s="6" t="s">
        <v>659</v>
      </c>
      <c r="F2219" s="8" t="str">
        <f>VLOOKUP($D2219,설문!$C$2:$G$444,3,FALSE)</f>
        <v>펀드매니저</v>
      </c>
      <c r="G2219" s="8" t="str">
        <f>VLOOKUP($D2219,설문!$C$2:$G$444,4,FALSE)</f>
        <v>금융회사,금융 유관기관,일반기업고객,개인고객,기타</v>
      </c>
      <c r="H2219" s="8" t="str">
        <f>VLOOKUP($D2219,설문!$C$2:$G$444,5,FALSE)</f>
        <v>국내주식/지수,국고채/통안채,RP,국내주식/지수관련파생,FX Spot &amp; FX Swap,원자재파생,해외주식/지수,해외주식/지수관련파생,ETF/ETN</v>
      </c>
    </row>
    <row r="2220" spans="1:8">
      <c r="A2220" s="6" t="s">
        <v>284</v>
      </c>
      <c r="B2220" s="7" t="s">
        <v>706</v>
      </c>
      <c r="C2220" s="7" t="s">
        <v>706</v>
      </c>
      <c r="D2220" s="7" t="s">
        <v>707</v>
      </c>
      <c r="E2220" s="6" t="s">
        <v>708</v>
      </c>
      <c r="F2220" s="8" t="e">
        <f>VLOOKUP($D2220,설문!$C$2:$G$444,3,FALSE)</f>
        <v>#N/A</v>
      </c>
      <c r="G2220" s="8" t="e">
        <f>VLOOKUP($D2220,설문!$C$2:$G$444,4,FALSE)</f>
        <v>#N/A</v>
      </c>
      <c r="H2220" s="8" t="e">
        <f>VLOOKUP($D2220,설문!$C$2:$G$444,5,FALSE)</f>
        <v>#N/A</v>
      </c>
    </row>
    <row r="2221" spans="1:8">
      <c r="A2221" s="6" t="s">
        <v>284</v>
      </c>
      <c r="B2221" s="7" t="s">
        <v>657</v>
      </c>
      <c r="C2221" s="7" t="s">
        <v>657</v>
      </c>
      <c r="D2221" s="7" t="s">
        <v>927</v>
      </c>
      <c r="E2221" s="6" t="s">
        <v>928</v>
      </c>
      <c r="F2221" s="8" t="str">
        <f>VLOOKUP($D2221,설문!$C$2:$G$444,3,FALSE)</f>
        <v>펀드매니저</v>
      </c>
      <c r="G2221" s="8" t="str">
        <f>VLOOKUP($D2221,설문!$C$2:$G$444,4,FALSE)</f>
        <v>금융회사,개인고객</v>
      </c>
      <c r="H2221" s="8" t="str">
        <f>VLOOKUP($D2221,설문!$C$2:$G$444,5,FALSE)</f>
        <v>국내주식/지수관련파생,FRA/이자율옵션,ELS/DLS</v>
      </c>
    </row>
    <row r="2222" spans="1:8">
      <c r="A2222" s="6" t="s">
        <v>284</v>
      </c>
      <c r="B2222" s="7" t="s">
        <v>285</v>
      </c>
      <c r="C2222" s="7" t="s">
        <v>286</v>
      </c>
      <c r="D2222" s="7" t="s">
        <v>939</v>
      </c>
      <c r="E2222" s="6" t="s">
        <v>866</v>
      </c>
      <c r="F2222" s="8" t="e">
        <f>VLOOKUP($D2222,설문!$C$2:$G$444,3,FALSE)</f>
        <v>#N/A</v>
      </c>
      <c r="G2222" s="8" t="e">
        <f>VLOOKUP($D2222,설문!$C$2:$G$444,4,FALSE)</f>
        <v>#N/A</v>
      </c>
      <c r="H2222" s="8" t="e">
        <f>VLOOKUP($D2222,설문!$C$2:$G$444,5,FALSE)</f>
        <v>#N/A</v>
      </c>
    </row>
    <row r="2223" spans="1:8">
      <c r="A2223" s="6" t="s">
        <v>284</v>
      </c>
      <c r="B2223" s="7" t="s">
        <v>285</v>
      </c>
      <c r="C2223" s="7" t="s">
        <v>978</v>
      </c>
      <c r="D2223" s="7" t="s">
        <v>979</v>
      </c>
      <c r="E2223" s="6" t="s">
        <v>980</v>
      </c>
      <c r="F2223" s="8" t="str">
        <f>VLOOKUP($D2223,설문!$C$2:$G$444,3,FALSE)</f>
        <v>퀀트,분석 및 전략</v>
      </c>
      <c r="G2223" s="8" t="str">
        <f>VLOOKUP($D2223,설문!$C$2:$G$444,4,FALSE)</f>
        <v>금융회사</v>
      </c>
      <c r="H2223" s="8" t="str">
        <f>VLOOKUP($D2223,설문!$C$2:$G$444,5,FALSE)</f>
        <v>ETF/ETN</v>
      </c>
    </row>
    <row r="2224" spans="1:8">
      <c r="A2224" s="6" t="s">
        <v>284</v>
      </c>
      <c r="B2224" s="7" t="s">
        <v>285</v>
      </c>
      <c r="C2224" s="7" t="s">
        <v>286</v>
      </c>
      <c r="D2224" s="7" t="s">
        <v>1311</v>
      </c>
      <c r="E2224" s="6" t="s">
        <v>1312</v>
      </c>
      <c r="F2224" s="8" t="str">
        <f>VLOOKUP($D2224,설문!$C$2:$G$444,3,FALSE)</f>
        <v>펀드매니저</v>
      </c>
      <c r="G2224" s="8" t="str">
        <f>VLOOKUP($D2224,설문!$C$2:$G$444,4,FALSE)</f>
        <v>금융회사</v>
      </c>
      <c r="H2224" s="8" t="str">
        <f>VLOOKUP($D2224,설문!$C$2:$G$444,5,FALSE)</f>
        <v>국내주식/지수,국내주식/지수관련파생,ETF/ETN</v>
      </c>
    </row>
    <row r="2225" spans="1:8">
      <c r="A2225" s="6" t="s">
        <v>284</v>
      </c>
      <c r="B2225" s="7" t="s">
        <v>285</v>
      </c>
      <c r="C2225" s="7" t="s">
        <v>286</v>
      </c>
      <c r="D2225" s="7" t="s">
        <v>1555</v>
      </c>
      <c r="E2225" s="6" t="s">
        <v>1556</v>
      </c>
      <c r="F2225" s="8" t="e">
        <f>VLOOKUP($D2225,설문!$C$2:$G$444,3,FALSE)</f>
        <v>#N/A</v>
      </c>
      <c r="G2225" s="8" t="e">
        <f>VLOOKUP($D2225,설문!$C$2:$G$444,4,FALSE)</f>
        <v>#N/A</v>
      </c>
      <c r="H2225" s="8" t="e">
        <f>VLOOKUP($D2225,설문!$C$2:$G$444,5,FALSE)</f>
        <v>#N/A</v>
      </c>
    </row>
    <row r="2226" spans="1:8">
      <c r="A2226" s="6" t="s">
        <v>284</v>
      </c>
      <c r="B2226" s="7" t="s">
        <v>657</v>
      </c>
      <c r="C2226" s="7" t="s">
        <v>657</v>
      </c>
      <c r="D2226" s="7" t="s">
        <v>1593</v>
      </c>
      <c r="E2226" s="6" t="s">
        <v>1594</v>
      </c>
      <c r="F2226" s="8" t="e">
        <f>VLOOKUP($D2226,설문!$C$2:$G$444,3,FALSE)</f>
        <v>#N/A</v>
      </c>
      <c r="G2226" s="8" t="e">
        <f>VLOOKUP($D2226,설문!$C$2:$G$444,4,FALSE)</f>
        <v>#N/A</v>
      </c>
      <c r="H2226" s="8" t="e">
        <f>VLOOKUP($D2226,설문!$C$2:$G$444,5,FALSE)</f>
        <v>#N/A</v>
      </c>
    </row>
    <row r="2227" spans="1:8">
      <c r="A2227" s="6" t="s">
        <v>284</v>
      </c>
      <c r="B2227" s="7" t="s">
        <v>657</v>
      </c>
      <c r="C2227" s="7" t="s">
        <v>657</v>
      </c>
      <c r="D2227" s="7" t="s">
        <v>1684</v>
      </c>
      <c r="E2227" s="6" t="s">
        <v>1685</v>
      </c>
      <c r="F2227" s="8" t="e">
        <f>VLOOKUP($D2227,설문!$C$2:$G$444,3,FALSE)</f>
        <v>#N/A</v>
      </c>
      <c r="G2227" s="8" t="e">
        <f>VLOOKUP($D2227,설문!$C$2:$G$444,4,FALSE)</f>
        <v>#N/A</v>
      </c>
      <c r="H2227" s="8" t="e">
        <f>VLOOKUP($D2227,설문!$C$2:$G$444,5,FALSE)</f>
        <v>#N/A</v>
      </c>
    </row>
    <row r="2228" spans="1:8">
      <c r="A2228" s="6" t="s">
        <v>284</v>
      </c>
      <c r="B2228" s="7" t="s">
        <v>657</v>
      </c>
      <c r="C2228" s="7" t="s">
        <v>657</v>
      </c>
      <c r="D2228" s="7" t="s">
        <v>1699</v>
      </c>
      <c r="E2228" s="6" t="s">
        <v>1700</v>
      </c>
      <c r="F2228" s="8" t="e">
        <f>VLOOKUP($D2228,설문!$C$2:$G$444,3,FALSE)</f>
        <v>#N/A</v>
      </c>
      <c r="G2228" s="8" t="e">
        <f>VLOOKUP($D2228,설문!$C$2:$G$444,4,FALSE)</f>
        <v>#N/A</v>
      </c>
      <c r="H2228" s="8" t="e">
        <f>VLOOKUP($D2228,설문!$C$2:$G$444,5,FALSE)</f>
        <v>#N/A</v>
      </c>
    </row>
    <row r="2229" spans="1:8">
      <c r="A2229" s="6" t="s">
        <v>284</v>
      </c>
      <c r="B2229" s="7" t="s">
        <v>657</v>
      </c>
      <c r="C2229" s="7" t="s">
        <v>657</v>
      </c>
      <c r="D2229" s="7" t="s">
        <v>1701</v>
      </c>
      <c r="E2229" s="6" t="s">
        <v>1702</v>
      </c>
      <c r="F2229" s="8" t="str">
        <f>VLOOKUP($D2229,설문!$C$2:$G$444,3,FALSE)</f>
        <v>펀드매니저</v>
      </c>
      <c r="G2229" s="8" t="str">
        <f>VLOOKUP($D2229,설문!$C$2:$G$444,4,FALSE)</f>
        <v>금융회사,개인고객</v>
      </c>
      <c r="H2229" s="8" t="str">
        <f>VLOOKUP($D2229,설문!$C$2:$G$444,5,FALSE)</f>
        <v>국내주식/지수,국내주식/지수관련파생,ETF/ETN</v>
      </c>
    </row>
    <row r="2230" spans="1:8">
      <c r="A2230" s="6" t="s">
        <v>284</v>
      </c>
      <c r="B2230" s="7" t="s">
        <v>285</v>
      </c>
      <c r="C2230" s="7" t="s">
        <v>286</v>
      </c>
      <c r="D2230" s="7" t="s">
        <v>1703</v>
      </c>
      <c r="E2230" s="6" t="s">
        <v>1704</v>
      </c>
      <c r="F2230" s="8" t="e">
        <f>VLOOKUP($D2230,설문!$C$2:$G$444,3,FALSE)</f>
        <v>#N/A</v>
      </c>
      <c r="G2230" s="8" t="e">
        <f>VLOOKUP($D2230,설문!$C$2:$G$444,4,FALSE)</f>
        <v>#N/A</v>
      </c>
      <c r="H2230" s="8" t="e">
        <f>VLOOKUP($D2230,설문!$C$2:$G$444,5,FALSE)</f>
        <v>#N/A</v>
      </c>
    </row>
    <row r="2231" spans="1:8">
      <c r="A2231" s="6" t="s">
        <v>284</v>
      </c>
      <c r="B2231" s="7" t="s">
        <v>285</v>
      </c>
      <c r="C2231" s="7" t="s">
        <v>286</v>
      </c>
      <c r="D2231" s="7" t="s">
        <v>1814</v>
      </c>
      <c r="E2231" s="6" t="s">
        <v>1815</v>
      </c>
      <c r="F2231" s="8" t="str">
        <f>VLOOKUP($D2231,설문!$C$2:$G$444,3,FALSE)</f>
        <v>펀드매니저,퀀트,분석 및 전략</v>
      </c>
      <c r="G2231" s="8" t="str">
        <f>VLOOKUP($D2231,설문!$C$2:$G$444,4,FALSE)</f>
        <v>금융 유관기관,개인고객</v>
      </c>
      <c r="H2231" s="8" t="str">
        <f>VLOOKUP($D2231,설문!$C$2:$G$444,5,FALSE)</f>
        <v>국내주식/지수,FX Spot &amp; FX Swap,해외주식/지수,ETF/ETN</v>
      </c>
    </row>
    <row r="2232" spans="1:8">
      <c r="A2232" s="6" t="s">
        <v>284</v>
      </c>
      <c r="B2232" s="7" t="s">
        <v>1885</v>
      </c>
      <c r="C2232" s="7" t="s">
        <v>1886</v>
      </c>
      <c r="D2232" s="7" t="s">
        <v>1887</v>
      </c>
      <c r="E2232" s="6" t="s">
        <v>1888</v>
      </c>
      <c r="F2232" s="8" t="e">
        <f>VLOOKUP($D2232,설문!$C$2:$G$444,3,FALSE)</f>
        <v>#N/A</v>
      </c>
      <c r="G2232" s="8" t="e">
        <f>VLOOKUP($D2232,설문!$C$2:$G$444,4,FALSE)</f>
        <v>#N/A</v>
      </c>
      <c r="H2232" s="8" t="e">
        <f>VLOOKUP($D2232,설문!$C$2:$G$444,5,FALSE)</f>
        <v>#N/A</v>
      </c>
    </row>
    <row r="2233" spans="1:8">
      <c r="A2233" s="6" t="s">
        <v>284</v>
      </c>
      <c r="B2233" s="7" t="s">
        <v>1885</v>
      </c>
      <c r="C2233" s="7" t="s">
        <v>1886</v>
      </c>
      <c r="D2233" s="7" t="s">
        <v>1931</v>
      </c>
      <c r="E2233" s="6" t="s">
        <v>1932</v>
      </c>
      <c r="F2233" s="8" t="e">
        <f>VLOOKUP($D2233,설문!$C$2:$G$444,3,FALSE)</f>
        <v>#N/A</v>
      </c>
      <c r="G2233" s="8" t="e">
        <f>VLOOKUP($D2233,설문!$C$2:$G$444,4,FALSE)</f>
        <v>#N/A</v>
      </c>
      <c r="H2233" s="8" t="e">
        <f>VLOOKUP($D2233,설문!$C$2:$G$444,5,FALSE)</f>
        <v>#N/A</v>
      </c>
    </row>
    <row r="2234" spans="1:8">
      <c r="A2234" s="6" t="s">
        <v>284</v>
      </c>
      <c r="B2234" s="7" t="s">
        <v>285</v>
      </c>
      <c r="C2234" s="7" t="s">
        <v>286</v>
      </c>
      <c r="D2234" s="7" t="s">
        <v>1946</v>
      </c>
      <c r="E2234" s="6" t="s">
        <v>1947</v>
      </c>
      <c r="F2234" s="8" t="e">
        <f>VLOOKUP($D2234,설문!$C$2:$G$444,3,FALSE)</f>
        <v>#N/A</v>
      </c>
      <c r="G2234" s="8" t="e">
        <f>VLOOKUP($D2234,설문!$C$2:$G$444,4,FALSE)</f>
        <v>#N/A</v>
      </c>
      <c r="H2234" s="8" t="e">
        <f>VLOOKUP($D2234,설문!$C$2:$G$444,5,FALSE)</f>
        <v>#N/A</v>
      </c>
    </row>
    <row r="2235" spans="1:8">
      <c r="A2235" s="6" t="s">
        <v>284</v>
      </c>
      <c r="B2235" s="7" t="s">
        <v>1885</v>
      </c>
      <c r="C2235" s="7" t="s">
        <v>1886</v>
      </c>
      <c r="D2235" s="7" t="s">
        <v>3606</v>
      </c>
      <c r="E2235" s="6" t="s">
        <v>2214</v>
      </c>
      <c r="F2235" s="8" t="e">
        <f>VLOOKUP($D2235,설문!$C$2:$G$444,3,FALSE)</f>
        <v>#N/A</v>
      </c>
      <c r="G2235" s="8" t="e">
        <f>VLOOKUP($D2235,설문!$C$2:$G$444,4,FALSE)</f>
        <v>#N/A</v>
      </c>
      <c r="H2235" s="8" t="e">
        <f>VLOOKUP($D2235,설문!$C$2:$G$444,5,FALSE)</f>
        <v>#N/A</v>
      </c>
    </row>
    <row r="2236" spans="1:8">
      <c r="A2236" s="6" t="s">
        <v>284</v>
      </c>
      <c r="B2236" s="7" t="s">
        <v>1885</v>
      </c>
      <c r="C2236" s="7" t="s">
        <v>1886</v>
      </c>
      <c r="D2236" s="7" t="s">
        <v>3607</v>
      </c>
      <c r="E2236" s="6" t="s">
        <v>3608</v>
      </c>
      <c r="F2236" s="8" t="e">
        <f>VLOOKUP($D2236,설문!$C$2:$G$444,3,FALSE)</f>
        <v>#N/A</v>
      </c>
      <c r="G2236" s="8" t="e">
        <f>VLOOKUP($D2236,설문!$C$2:$G$444,4,FALSE)</f>
        <v>#N/A</v>
      </c>
      <c r="H2236" s="8" t="e">
        <f>VLOOKUP($D2236,설문!$C$2:$G$444,5,FALSE)</f>
        <v>#N/A</v>
      </c>
    </row>
    <row r="2237" spans="1:8">
      <c r="A2237" s="6" t="s">
        <v>284</v>
      </c>
      <c r="B2237" s="7" t="s">
        <v>1885</v>
      </c>
      <c r="C2237" s="7" t="s">
        <v>1886</v>
      </c>
      <c r="D2237" s="7" t="s">
        <v>3609</v>
      </c>
      <c r="E2237" s="6" t="s">
        <v>3610</v>
      </c>
      <c r="F2237" s="8" t="e">
        <f>VLOOKUP($D2237,설문!$C$2:$G$444,3,FALSE)</f>
        <v>#N/A</v>
      </c>
      <c r="G2237" s="8" t="e">
        <f>VLOOKUP($D2237,설문!$C$2:$G$444,4,FALSE)</f>
        <v>#N/A</v>
      </c>
      <c r="H2237" s="8" t="e">
        <f>VLOOKUP($D2237,설문!$C$2:$G$444,5,FALSE)</f>
        <v>#N/A</v>
      </c>
    </row>
    <row r="2238" spans="1:8">
      <c r="A2238" s="6" t="s">
        <v>284</v>
      </c>
      <c r="B2238" s="7" t="s">
        <v>1885</v>
      </c>
      <c r="C2238" s="7" t="s">
        <v>1886</v>
      </c>
      <c r="D2238" s="7" t="s">
        <v>3611</v>
      </c>
      <c r="E2238" s="6" t="s">
        <v>3195</v>
      </c>
      <c r="F2238" s="8" t="e">
        <f>VLOOKUP($D2238,설문!$C$2:$G$444,3,FALSE)</f>
        <v>#N/A</v>
      </c>
      <c r="G2238" s="8" t="e">
        <f>VLOOKUP($D2238,설문!$C$2:$G$444,4,FALSE)</f>
        <v>#N/A</v>
      </c>
      <c r="H2238" s="8" t="e">
        <f>VLOOKUP($D2238,설문!$C$2:$G$444,5,FALSE)</f>
        <v>#N/A</v>
      </c>
    </row>
    <row r="2239" spans="1:8">
      <c r="A2239" s="6" t="s">
        <v>284</v>
      </c>
      <c r="B2239" s="7" t="s">
        <v>1885</v>
      </c>
      <c r="C2239" s="7" t="s">
        <v>1886</v>
      </c>
      <c r="D2239" s="7" t="s">
        <v>3612</v>
      </c>
      <c r="E2239" s="6" t="s">
        <v>230</v>
      </c>
      <c r="F2239" s="8" t="e">
        <f>VLOOKUP($D2239,설문!$C$2:$G$444,3,FALSE)</f>
        <v>#N/A</v>
      </c>
      <c r="G2239" s="8" t="e">
        <f>VLOOKUP($D2239,설문!$C$2:$G$444,4,FALSE)</f>
        <v>#N/A</v>
      </c>
      <c r="H2239" s="8" t="e">
        <f>VLOOKUP($D2239,설문!$C$2:$G$444,5,FALSE)</f>
        <v>#N/A</v>
      </c>
    </row>
    <row r="2240" spans="1:8">
      <c r="A2240" s="6" t="s">
        <v>284</v>
      </c>
      <c r="B2240" s="7" t="s">
        <v>1885</v>
      </c>
      <c r="C2240" s="7" t="s">
        <v>1886</v>
      </c>
      <c r="D2240" s="7" t="s">
        <v>3613</v>
      </c>
      <c r="E2240" s="6" t="s">
        <v>273</v>
      </c>
      <c r="F2240" s="8" t="e">
        <f>VLOOKUP($D2240,설문!$C$2:$G$444,3,FALSE)</f>
        <v>#N/A</v>
      </c>
      <c r="G2240" s="8" t="e">
        <f>VLOOKUP($D2240,설문!$C$2:$G$444,4,FALSE)</f>
        <v>#N/A</v>
      </c>
      <c r="H2240" s="8" t="e">
        <f>VLOOKUP($D2240,설문!$C$2:$G$444,5,FALSE)</f>
        <v>#N/A</v>
      </c>
    </row>
    <row r="2241" spans="1:8">
      <c r="A2241" s="6" t="s">
        <v>284</v>
      </c>
      <c r="B2241" s="7" t="s">
        <v>134</v>
      </c>
      <c r="C2241" s="7" t="s">
        <v>134</v>
      </c>
      <c r="D2241" s="7" t="s">
        <v>3614</v>
      </c>
      <c r="E2241" s="6" t="s">
        <v>3615</v>
      </c>
      <c r="F2241" s="8" t="e">
        <f>VLOOKUP($D2241,설문!$C$2:$G$444,3,FALSE)</f>
        <v>#N/A</v>
      </c>
      <c r="G2241" s="8" t="e">
        <f>VLOOKUP($D2241,설문!$C$2:$G$444,4,FALSE)</f>
        <v>#N/A</v>
      </c>
      <c r="H2241" s="8" t="e">
        <f>VLOOKUP($D2241,설문!$C$2:$G$444,5,FALSE)</f>
        <v>#N/A</v>
      </c>
    </row>
    <row r="2242" spans="1:8">
      <c r="A2242" s="6" t="s">
        <v>284</v>
      </c>
      <c r="B2242" s="7" t="s">
        <v>657</v>
      </c>
      <c r="C2242" s="7" t="s">
        <v>657</v>
      </c>
      <c r="D2242" s="7" t="s">
        <v>3616</v>
      </c>
      <c r="E2242" s="6" t="s">
        <v>3617</v>
      </c>
      <c r="F2242" s="8" t="e">
        <f>VLOOKUP($D2242,설문!$C$2:$G$444,3,FALSE)</f>
        <v>#N/A</v>
      </c>
      <c r="G2242" s="8" t="e">
        <f>VLOOKUP($D2242,설문!$C$2:$G$444,4,FALSE)</f>
        <v>#N/A</v>
      </c>
      <c r="H2242" s="8" t="e">
        <f>VLOOKUP($D2242,설문!$C$2:$G$444,5,FALSE)</f>
        <v>#N/A</v>
      </c>
    </row>
    <row r="2243" spans="1:8">
      <c r="A2243" s="6" t="s">
        <v>284</v>
      </c>
      <c r="B2243" s="7" t="s">
        <v>285</v>
      </c>
      <c r="C2243" s="7" t="s">
        <v>286</v>
      </c>
      <c r="D2243" s="7" t="s">
        <v>3618</v>
      </c>
      <c r="E2243" s="6" t="s">
        <v>3619</v>
      </c>
      <c r="F2243" s="8" t="e">
        <f>VLOOKUP($D2243,설문!$C$2:$G$444,3,FALSE)</f>
        <v>#N/A</v>
      </c>
      <c r="G2243" s="8" t="e">
        <f>VLOOKUP($D2243,설문!$C$2:$G$444,4,FALSE)</f>
        <v>#N/A</v>
      </c>
      <c r="H2243" s="8" t="e">
        <f>VLOOKUP($D2243,설문!$C$2:$G$444,5,FALSE)</f>
        <v>#N/A</v>
      </c>
    </row>
    <row r="2244" spans="1:8">
      <c r="A2244" s="6" t="s">
        <v>284</v>
      </c>
      <c r="B2244" s="7" t="s">
        <v>285</v>
      </c>
      <c r="C2244" s="7" t="s">
        <v>286</v>
      </c>
      <c r="D2244" s="7" t="s">
        <v>3620</v>
      </c>
      <c r="E2244" s="6" t="s">
        <v>3621</v>
      </c>
      <c r="F2244" s="8" t="e">
        <f>VLOOKUP($D2244,설문!$C$2:$G$444,3,FALSE)</f>
        <v>#N/A</v>
      </c>
      <c r="G2244" s="8" t="e">
        <f>VLOOKUP($D2244,설문!$C$2:$G$444,4,FALSE)</f>
        <v>#N/A</v>
      </c>
      <c r="H2244" s="8" t="e">
        <f>VLOOKUP($D2244,설문!$C$2:$G$444,5,FALSE)</f>
        <v>#N/A</v>
      </c>
    </row>
    <row r="2245" spans="1:8">
      <c r="A2245" s="6" t="s">
        <v>284</v>
      </c>
      <c r="B2245" s="7" t="s">
        <v>657</v>
      </c>
      <c r="C2245" s="7" t="s">
        <v>657</v>
      </c>
      <c r="D2245" s="7" t="s">
        <v>3622</v>
      </c>
      <c r="E2245" s="6" t="s">
        <v>3623</v>
      </c>
      <c r="F2245" s="8" t="str">
        <f>VLOOKUP($D2245,설문!$C$2:$G$444,3,FALSE)</f>
        <v>펀드매니저</v>
      </c>
      <c r="G2245" s="8" t="str">
        <f>VLOOKUP($D2245,설문!$C$2:$G$444,4,FALSE)</f>
        <v>금융회사,금융 유관기관,일반기업고객,개인고객</v>
      </c>
      <c r="H2245" s="8" t="str">
        <f>VLOOKUP($D2245,설문!$C$2:$G$444,5,FALSE)</f>
        <v>국내주식/지수,국내주식/지수관련파생,ELS/DLS</v>
      </c>
    </row>
    <row r="2246" spans="1:8">
      <c r="A2246" s="6" t="s">
        <v>284</v>
      </c>
      <c r="B2246" s="7" t="s">
        <v>285</v>
      </c>
      <c r="C2246" s="7" t="s">
        <v>286</v>
      </c>
      <c r="D2246" s="7" t="s">
        <v>3624</v>
      </c>
      <c r="E2246" s="6" t="s">
        <v>3625</v>
      </c>
      <c r="F2246" s="8" t="e">
        <f>VLOOKUP($D2246,설문!$C$2:$G$444,3,FALSE)</f>
        <v>#N/A</v>
      </c>
      <c r="G2246" s="8" t="e">
        <f>VLOOKUP($D2246,설문!$C$2:$G$444,4,FALSE)</f>
        <v>#N/A</v>
      </c>
      <c r="H2246" s="8" t="e">
        <f>VLOOKUP($D2246,설문!$C$2:$G$444,5,FALSE)</f>
        <v>#N/A</v>
      </c>
    </row>
    <row r="2247" spans="1:8">
      <c r="A2247" s="6" t="s">
        <v>284</v>
      </c>
      <c r="B2247" s="7" t="s">
        <v>285</v>
      </c>
      <c r="C2247" s="7" t="s">
        <v>286</v>
      </c>
      <c r="D2247" s="7" t="s">
        <v>3626</v>
      </c>
      <c r="E2247" s="6" t="s">
        <v>3627</v>
      </c>
      <c r="F2247" s="8" t="e">
        <f>VLOOKUP($D2247,설문!$C$2:$G$444,3,FALSE)</f>
        <v>#N/A</v>
      </c>
      <c r="G2247" s="8" t="e">
        <f>VLOOKUP($D2247,설문!$C$2:$G$444,4,FALSE)</f>
        <v>#N/A</v>
      </c>
      <c r="H2247" s="8" t="e">
        <f>VLOOKUP($D2247,설문!$C$2:$G$444,5,FALSE)</f>
        <v>#N/A</v>
      </c>
    </row>
    <row r="2248" spans="1:8">
      <c r="A2248" s="6" t="s">
        <v>284</v>
      </c>
      <c r="B2248" s="7" t="s">
        <v>285</v>
      </c>
      <c r="C2248" s="7" t="s">
        <v>286</v>
      </c>
      <c r="D2248" s="7" t="s">
        <v>3628</v>
      </c>
      <c r="E2248" s="6" t="s">
        <v>3629</v>
      </c>
      <c r="F2248" s="8" t="e">
        <f>VLOOKUP($D2248,설문!$C$2:$G$444,3,FALSE)</f>
        <v>#N/A</v>
      </c>
      <c r="G2248" s="8" t="e">
        <f>VLOOKUP($D2248,설문!$C$2:$G$444,4,FALSE)</f>
        <v>#N/A</v>
      </c>
      <c r="H2248" s="8" t="e">
        <f>VLOOKUP($D2248,설문!$C$2:$G$444,5,FALSE)</f>
        <v>#N/A</v>
      </c>
    </row>
    <row r="2249" spans="1:8">
      <c r="A2249" s="6" t="s">
        <v>284</v>
      </c>
      <c r="B2249" s="7" t="s">
        <v>285</v>
      </c>
      <c r="C2249" s="7" t="s">
        <v>286</v>
      </c>
      <c r="D2249" s="7" t="s">
        <v>3630</v>
      </c>
      <c r="E2249" s="6" t="s">
        <v>3631</v>
      </c>
      <c r="F2249" s="8" t="e">
        <f>VLOOKUP($D2249,설문!$C$2:$G$444,3,FALSE)</f>
        <v>#N/A</v>
      </c>
      <c r="G2249" s="8" t="e">
        <f>VLOOKUP($D2249,설문!$C$2:$G$444,4,FALSE)</f>
        <v>#N/A</v>
      </c>
      <c r="H2249" s="8" t="e">
        <f>VLOOKUP($D2249,설문!$C$2:$G$444,5,FALSE)</f>
        <v>#N/A</v>
      </c>
    </row>
    <row r="2250" spans="1:8">
      <c r="A2250" s="6" t="s">
        <v>284</v>
      </c>
      <c r="B2250" s="7" t="s">
        <v>657</v>
      </c>
      <c r="C2250" s="7" t="s">
        <v>657</v>
      </c>
      <c r="D2250" s="7" t="s">
        <v>3632</v>
      </c>
      <c r="E2250" s="6" t="s">
        <v>3633</v>
      </c>
      <c r="F2250" s="8" t="e">
        <f>VLOOKUP($D2250,설문!$C$2:$G$444,3,FALSE)</f>
        <v>#N/A</v>
      </c>
      <c r="G2250" s="8" t="e">
        <f>VLOOKUP($D2250,설문!$C$2:$G$444,4,FALSE)</f>
        <v>#N/A</v>
      </c>
      <c r="H2250" s="8" t="e">
        <f>VLOOKUP($D2250,설문!$C$2:$G$444,5,FALSE)</f>
        <v>#N/A</v>
      </c>
    </row>
    <row r="2251" spans="1:8">
      <c r="A2251" s="6" t="s">
        <v>284</v>
      </c>
      <c r="B2251" s="7" t="s">
        <v>134</v>
      </c>
      <c r="C2251" s="7" t="s">
        <v>134</v>
      </c>
      <c r="D2251" s="7" t="s">
        <v>3634</v>
      </c>
      <c r="E2251" s="6" t="s">
        <v>3635</v>
      </c>
      <c r="F2251" s="8" t="e">
        <f>VLOOKUP($D2251,설문!$C$2:$G$444,3,FALSE)</f>
        <v>#N/A</v>
      </c>
      <c r="G2251" s="8" t="e">
        <f>VLOOKUP($D2251,설문!$C$2:$G$444,4,FALSE)</f>
        <v>#N/A</v>
      </c>
      <c r="H2251" s="8" t="e">
        <f>VLOOKUP($D2251,설문!$C$2:$G$444,5,FALSE)</f>
        <v>#N/A</v>
      </c>
    </row>
    <row r="2252" spans="1:8">
      <c r="A2252" s="6" t="s">
        <v>284</v>
      </c>
      <c r="B2252" s="7" t="s">
        <v>134</v>
      </c>
      <c r="C2252" s="7" t="s">
        <v>134</v>
      </c>
      <c r="D2252" s="7" t="s">
        <v>3636</v>
      </c>
      <c r="E2252" s="6" t="s">
        <v>3637</v>
      </c>
      <c r="F2252" s="8" t="e">
        <f>VLOOKUP($D2252,설문!$C$2:$G$444,3,FALSE)</f>
        <v>#N/A</v>
      </c>
      <c r="G2252" s="8" t="e">
        <f>VLOOKUP($D2252,설문!$C$2:$G$444,4,FALSE)</f>
        <v>#N/A</v>
      </c>
      <c r="H2252" s="8" t="e">
        <f>VLOOKUP($D2252,설문!$C$2:$G$444,5,FALSE)</f>
        <v>#N/A</v>
      </c>
    </row>
    <row r="2253" spans="1:8">
      <c r="A2253" s="6" t="s">
        <v>284</v>
      </c>
      <c r="B2253" s="7" t="s">
        <v>134</v>
      </c>
      <c r="C2253" s="7" t="s">
        <v>134</v>
      </c>
      <c r="D2253" s="7" t="s">
        <v>3638</v>
      </c>
      <c r="E2253" s="6" t="s">
        <v>3639</v>
      </c>
      <c r="F2253" s="8" t="e">
        <f>VLOOKUP($D2253,설문!$C$2:$G$444,3,FALSE)</f>
        <v>#N/A</v>
      </c>
      <c r="G2253" s="8" t="e">
        <f>VLOOKUP($D2253,설문!$C$2:$G$444,4,FALSE)</f>
        <v>#N/A</v>
      </c>
      <c r="H2253" s="8" t="e">
        <f>VLOOKUP($D2253,설문!$C$2:$G$444,5,FALSE)</f>
        <v>#N/A</v>
      </c>
    </row>
    <row r="2254" spans="1:8">
      <c r="A2254" s="6" t="s">
        <v>284</v>
      </c>
      <c r="B2254" s="7" t="s">
        <v>134</v>
      </c>
      <c r="C2254" s="7" t="s">
        <v>134</v>
      </c>
      <c r="D2254" s="7" t="s">
        <v>3640</v>
      </c>
      <c r="E2254" s="6" t="s">
        <v>3641</v>
      </c>
      <c r="F2254" s="8" t="e">
        <f>VLOOKUP($D2254,설문!$C$2:$G$444,3,FALSE)</f>
        <v>#N/A</v>
      </c>
      <c r="G2254" s="8" t="e">
        <f>VLOOKUP($D2254,설문!$C$2:$G$444,4,FALSE)</f>
        <v>#N/A</v>
      </c>
      <c r="H2254" s="8" t="e">
        <f>VLOOKUP($D2254,설문!$C$2:$G$444,5,FALSE)</f>
        <v>#N/A</v>
      </c>
    </row>
    <row r="2255" spans="1:8">
      <c r="A2255" s="6" t="s">
        <v>284</v>
      </c>
      <c r="B2255" s="7" t="s">
        <v>134</v>
      </c>
      <c r="C2255" s="7" t="s">
        <v>134</v>
      </c>
      <c r="D2255" s="7" t="s">
        <v>3642</v>
      </c>
      <c r="E2255" s="6" t="s">
        <v>3643</v>
      </c>
      <c r="F2255" s="8" t="str">
        <f>VLOOKUP($D2255,설문!$C$2:$G$444,3,FALSE)</f>
        <v>펀드매니저</v>
      </c>
      <c r="G2255" s="8" t="str">
        <f>VLOOKUP($D2255,설문!$C$2:$G$444,4,FALSE)</f>
        <v>금융회사,금융 유관기관,일반기업고객,개인고객</v>
      </c>
      <c r="H2255" s="8" t="str">
        <f>VLOOKUP($D2255,설문!$C$2:$G$444,5,FALSE)</f>
        <v>국고채/통안채,회사채,소액채권,원화 구조화채권,외화 구조화채권,원화 이자율스왑</v>
      </c>
    </row>
    <row r="2256" spans="1:8">
      <c r="A2256" s="6" t="s">
        <v>284</v>
      </c>
      <c r="B2256" s="7" t="s">
        <v>134</v>
      </c>
      <c r="C2256" s="7" t="s">
        <v>134</v>
      </c>
      <c r="D2256" s="7" t="s">
        <v>3644</v>
      </c>
      <c r="E2256" s="6" t="s">
        <v>2071</v>
      </c>
      <c r="F2256" s="8" t="e">
        <f>VLOOKUP($D2256,설문!$C$2:$G$444,3,FALSE)</f>
        <v>#N/A</v>
      </c>
      <c r="G2256" s="8" t="e">
        <f>VLOOKUP($D2256,설문!$C$2:$G$444,4,FALSE)</f>
        <v>#N/A</v>
      </c>
      <c r="H2256" s="8" t="e">
        <f>VLOOKUP($D2256,설문!$C$2:$G$444,5,FALSE)</f>
        <v>#N/A</v>
      </c>
    </row>
    <row r="2257" spans="1:8">
      <c r="A2257" s="6" t="s">
        <v>284</v>
      </c>
      <c r="B2257" s="7" t="s">
        <v>134</v>
      </c>
      <c r="C2257" s="7" t="s">
        <v>134</v>
      </c>
      <c r="D2257" s="7" t="s">
        <v>3645</v>
      </c>
      <c r="E2257" s="6" t="s">
        <v>3646</v>
      </c>
      <c r="F2257" s="8" t="e">
        <f>VLOOKUP($D2257,설문!$C$2:$G$444,3,FALSE)</f>
        <v>#N/A</v>
      </c>
      <c r="G2257" s="8" t="e">
        <f>VLOOKUP($D2257,설문!$C$2:$G$444,4,FALSE)</f>
        <v>#N/A</v>
      </c>
      <c r="H2257" s="8" t="e">
        <f>VLOOKUP($D2257,설문!$C$2:$G$444,5,FALSE)</f>
        <v>#N/A</v>
      </c>
    </row>
    <row r="2258" spans="1:8">
      <c r="A2258" s="6" t="s">
        <v>284</v>
      </c>
      <c r="B2258" s="7" t="s">
        <v>69</v>
      </c>
      <c r="C2258" s="7" t="s">
        <v>69</v>
      </c>
      <c r="D2258" s="7" t="s">
        <v>3647</v>
      </c>
      <c r="E2258" s="6" t="s">
        <v>3648</v>
      </c>
      <c r="F2258" s="8" t="e">
        <f>VLOOKUP($D2258,설문!$C$2:$G$444,3,FALSE)</f>
        <v>#N/A</v>
      </c>
      <c r="G2258" s="8" t="e">
        <f>VLOOKUP($D2258,설문!$C$2:$G$444,4,FALSE)</f>
        <v>#N/A</v>
      </c>
      <c r="H2258" s="8" t="e">
        <f>VLOOKUP($D2258,설문!$C$2:$G$444,5,FALSE)</f>
        <v>#N/A</v>
      </c>
    </row>
    <row r="2259" spans="1:8">
      <c r="A2259" s="6" t="s">
        <v>284</v>
      </c>
      <c r="B2259" s="7" t="s">
        <v>69</v>
      </c>
      <c r="C2259" s="7" t="s">
        <v>69</v>
      </c>
      <c r="D2259" s="7" t="s">
        <v>3649</v>
      </c>
      <c r="E2259" s="6" t="s">
        <v>3650</v>
      </c>
      <c r="F2259" s="8" t="e">
        <f>VLOOKUP($D2259,설문!$C$2:$G$444,3,FALSE)</f>
        <v>#N/A</v>
      </c>
      <c r="G2259" s="8" t="e">
        <f>VLOOKUP($D2259,설문!$C$2:$G$444,4,FALSE)</f>
        <v>#N/A</v>
      </c>
      <c r="H2259" s="8" t="e">
        <f>VLOOKUP($D2259,설문!$C$2:$G$444,5,FALSE)</f>
        <v>#N/A</v>
      </c>
    </row>
    <row r="2260" spans="1:8">
      <c r="A2260" s="6" t="s">
        <v>284</v>
      </c>
      <c r="B2260" s="7" t="s">
        <v>1431</v>
      </c>
      <c r="C2260" s="7" t="s">
        <v>3651</v>
      </c>
      <c r="D2260" s="7" t="s">
        <v>3652</v>
      </c>
      <c r="E2260" s="6" t="s">
        <v>3653</v>
      </c>
      <c r="F2260" s="8" t="e">
        <f>VLOOKUP($D2260,설문!$C$2:$G$444,3,FALSE)</f>
        <v>#N/A</v>
      </c>
      <c r="G2260" s="8" t="e">
        <f>VLOOKUP($D2260,설문!$C$2:$G$444,4,FALSE)</f>
        <v>#N/A</v>
      </c>
      <c r="H2260" s="8" t="e">
        <f>VLOOKUP($D2260,설문!$C$2:$G$444,5,FALSE)</f>
        <v>#N/A</v>
      </c>
    </row>
    <row r="2261" spans="1:8">
      <c r="A2261" s="6" t="s">
        <v>2189</v>
      </c>
      <c r="B2261" s="7" t="s">
        <v>9</v>
      </c>
      <c r="C2261" s="7" t="s">
        <v>2190</v>
      </c>
      <c r="D2261" s="7" t="s">
        <v>2191</v>
      </c>
      <c r="E2261" s="6" t="s">
        <v>2192</v>
      </c>
      <c r="F2261" s="8" t="e">
        <f>VLOOKUP($D2261,설문!$C$2:$G$444,3,FALSE)</f>
        <v>#N/A</v>
      </c>
      <c r="G2261" s="8" t="e">
        <f>VLOOKUP($D2261,설문!$C$2:$G$444,4,FALSE)</f>
        <v>#N/A</v>
      </c>
      <c r="H2261" s="8" t="e">
        <f>VLOOKUP($D2261,설문!$C$2:$G$444,5,FALSE)</f>
        <v>#N/A</v>
      </c>
    </row>
    <row r="2262" spans="1:8">
      <c r="A2262" s="6" t="s">
        <v>1296</v>
      </c>
      <c r="B2262" s="7" t="s">
        <v>9</v>
      </c>
      <c r="C2262" s="7" t="s">
        <v>898</v>
      </c>
      <c r="D2262" s="7" t="s">
        <v>1297</v>
      </c>
      <c r="E2262" s="6" t="s">
        <v>1298</v>
      </c>
      <c r="F2262" s="8" t="e">
        <f>VLOOKUP($D2262,설문!$C$2:$G$444,3,FALSE)</f>
        <v>#N/A</v>
      </c>
      <c r="G2262" s="8" t="e">
        <f>VLOOKUP($D2262,설문!$C$2:$G$444,4,FALSE)</f>
        <v>#N/A</v>
      </c>
      <c r="H2262" s="8" t="e">
        <f>VLOOKUP($D2262,설문!$C$2:$G$444,5,FALSE)</f>
        <v>#N/A</v>
      </c>
    </row>
    <row r="2263" spans="1:8">
      <c r="A2263" s="6" t="s">
        <v>1296</v>
      </c>
      <c r="B2263" s="7" t="s">
        <v>428</v>
      </c>
      <c r="C2263" s="7" t="s">
        <v>2190</v>
      </c>
      <c r="D2263" s="7" t="s">
        <v>2193</v>
      </c>
      <c r="E2263" s="6" t="s">
        <v>2194</v>
      </c>
      <c r="F2263" s="8" t="e">
        <f>VLOOKUP($D2263,설문!$C$2:$G$444,3,FALSE)</f>
        <v>#N/A</v>
      </c>
      <c r="G2263" s="8" t="e">
        <f>VLOOKUP($D2263,설문!$C$2:$G$444,4,FALSE)</f>
        <v>#N/A</v>
      </c>
      <c r="H2263" s="8" t="e">
        <f>VLOOKUP($D2263,설문!$C$2:$G$444,5,FALSE)</f>
        <v>#N/A</v>
      </c>
    </row>
    <row r="2264" spans="1:8">
      <c r="A2264" s="6" t="s">
        <v>1296</v>
      </c>
      <c r="B2264" s="7" t="s">
        <v>9</v>
      </c>
      <c r="C2264" s="7" t="s">
        <v>1079</v>
      </c>
      <c r="D2264" s="7" t="s">
        <v>2195</v>
      </c>
      <c r="E2264" s="6" t="s">
        <v>2196</v>
      </c>
      <c r="F2264" s="8" t="e">
        <f>VLOOKUP($D2264,설문!$C$2:$G$444,3,FALSE)</f>
        <v>#N/A</v>
      </c>
      <c r="G2264" s="8" t="e">
        <f>VLOOKUP($D2264,설문!$C$2:$G$444,4,FALSE)</f>
        <v>#N/A</v>
      </c>
      <c r="H2264" s="8" t="e">
        <f>VLOOKUP($D2264,설문!$C$2:$G$444,5,FALSE)</f>
        <v>#N/A</v>
      </c>
    </row>
    <row r="2265" spans="1:8">
      <c r="A2265" s="6" t="s">
        <v>1296</v>
      </c>
      <c r="B2265" s="7" t="s">
        <v>9</v>
      </c>
      <c r="C2265" s="7" t="s">
        <v>1079</v>
      </c>
      <c r="D2265" s="7" t="s">
        <v>2197</v>
      </c>
      <c r="E2265" s="6" t="s">
        <v>2198</v>
      </c>
      <c r="F2265" s="8" t="e">
        <f>VLOOKUP($D2265,설문!$C$2:$G$444,3,FALSE)</f>
        <v>#N/A</v>
      </c>
      <c r="G2265" s="8" t="e">
        <f>VLOOKUP($D2265,설문!$C$2:$G$444,4,FALSE)</f>
        <v>#N/A</v>
      </c>
      <c r="H2265" s="8" t="e">
        <f>VLOOKUP($D2265,설문!$C$2:$G$444,5,FALSE)</f>
        <v>#N/A</v>
      </c>
    </row>
    <row r="2266" spans="1:8">
      <c r="A2266" s="6" t="s">
        <v>1296</v>
      </c>
      <c r="B2266" s="7" t="s">
        <v>9</v>
      </c>
      <c r="C2266" s="7" t="s">
        <v>1079</v>
      </c>
      <c r="D2266" s="7" t="s">
        <v>2199</v>
      </c>
      <c r="E2266" s="6" t="s">
        <v>2200</v>
      </c>
      <c r="F2266" s="8" t="e">
        <f>VLOOKUP($D2266,설문!$C$2:$G$444,3,FALSE)</f>
        <v>#N/A</v>
      </c>
      <c r="G2266" s="8" t="e">
        <f>VLOOKUP($D2266,설문!$C$2:$G$444,4,FALSE)</f>
        <v>#N/A</v>
      </c>
      <c r="H2266" s="8" t="e">
        <f>VLOOKUP($D2266,설문!$C$2:$G$444,5,FALSE)</f>
        <v>#N/A</v>
      </c>
    </row>
    <row r="2267" spans="1:8">
      <c r="A2267" s="6" t="s">
        <v>1296</v>
      </c>
      <c r="B2267" s="7" t="s">
        <v>149</v>
      </c>
      <c r="C2267" s="7" t="s">
        <v>1079</v>
      </c>
      <c r="D2267" s="7" t="s">
        <v>2201</v>
      </c>
      <c r="E2267" s="6" t="s">
        <v>2202</v>
      </c>
      <c r="F2267" s="8" t="e">
        <f>VLOOKUP($D2267,설문!$C$2:$G$444,3,FALSE)</f>
        <v>#N/A</v>
      </c>
      <c r="G2267" s="8" t="e">
        <f>VLOOKUP($D2267,설문!$C$2:$G$444,4,FALSE)</f>
        <v>#N/A</v>
      </c>
      <c r="H2267" s="8" t="e">
        <f>VLOOKUP($D2267,설문!$C$2:$G$444,5,FALSE)</f>
        <v>#N/A</v>
      </c>
    </row>
    <row r="2268" spans="1:8">
      <c r="A2268" s="6" t="s">
        <v>1296</v>
      </c>
      <c r="B2268" s="7" t="s">
        <v>149</v>
      </c>
      <c r="C2268" s="7" t="s">
        <v>1079</v>
      </c>
      <c r="D2268" s="7" t="s">
        <v>2203</v>
      </c>
      <c r="E2268" s="6" t="s">
        <v>2200</v>
      </c>
      <c r="F2268" s="8" t="e">
        <f>VLOOKUP($D2268,설문!$C$2:$G$444,3,FALSE)</f>
        <v>#N/A</v>
      </c>
      <c r="G2268" s="8" t="e">
        <f>VLOOKUP($D2268,설문!$C$2:$G$444,4,FALSE)</f>
        <v>#N/A</v>
      </c>
      <c r="H2268" s="8" t="e">
        <f>VLOOKUP($D2268,설문!$C$2:$G$444,5,FALSE)</f>
        <v>#N/A</v>
      </c>
    </row>
    <row r="2269" spans="1:8">
      <c r="A2269" s="6" t="s">
        <v>1296</v>
      </c>
      <c r="B2269" s="7" t="s">
        <v>149</v>
      </c>
      <c r="C2269" s="7" t="s">
        <v>1079</v>
      </c>
      <c r="D2269" s="7" t="s">
        <v>2204</v>
      </c>
      <c r="E2269" s="6" t="s">
        <v>2205</v>
      </c>
      <c r="F2269" s="8" t="e">
        <f>VLOOKUP($D2269,설문!$C$2:$G$444,3,FALSE)</f>
        <v>#N/A</v>
      </c>
      <c r="G2269" s="8" t="e">
        <f>VLOOKUP($D2269,설문!$C$2:$G$444,4,FALSE)</f>
        <v>#N/A</v>
      </c>
      <c r="H2269" s="8" t="e">
        <f>VLOOKUP($D2269,설문!$C$2:$G$444,5,FALSE)</f>
        <v>#N/A</v>
      </c>
    </row>
    <row r="2270" spans="1:8">
      <c r="A2270" s="6" t="s">
        <v>1296</v>
      </c>
      <c r="B2270" s="7" t="s">
        <v>149</v>
      </c>
      <c r="C2270" s="7" t="s">
        <v>1079</v>
      </c>
      <c r="D2270" s="7" t="s">
        <v>2206</v>
      </c>
      <c r="E2270" s="6" t="s">
        <v>2207</v>
      </c>
      <c r="F2270" s="8" t="e">
        <f>VLOOKUP($D2270,설문!$C$2:$G$444,3,FALSE)</f>
        <v>#N/A</v>
      </c>
      <c r="G2270" s="8" t="e">
        <f>VLOOKUP($D2270,설문!$C$2:$G$444,4,FALSE)</f>
        <v>#N/A</v>
      </c>
      <c r="H2270" s="8" t="e">
        <f>VLOOKUP($D2270,설문!$C$2:$G$444,5,FALSE)</f>
        <v>#N/A</v>
      </c>
    </row>
    <row r="2271" spans="1:8">
      <c r="A2271" s="6" t="s">
        <v>1296</v>
      </c>
      <c r="B2271" s="7" t="s">
        <v>2208</v>
      </c>
      <c r="C2271" s="7" t="s">
        <v>1079</v>
      </c>
      <c r="D2271" s="7" t="s">
        <v>2209</v>
      </c>
      <c r="E2271" s="6" t="s">
        <v>2210</v>
      </c>
      <c r="F2271" s="8" t="e">
        <f>VLOOKUP($D2271,설문!$C$2:$G$444,3,FALSE)</f>
        <v>#N/A</v>
      </c>
      <c r="G2271" s="8" t="e">
        <f>VLOOKUP($D2271,설문!$C$2:$G$444,4,FALSE)</f>
        <v>#N/A</v>
      </c>
      <c r="H2271" s="8" t="e">
        <f>VLOOKUP($D2271,설문!$C$2:$G$444,5,FALSE)</f>
        <v>#N/A</v>
      </c>
    </row>
    <row r="2272" spans="1:8">
      <c r="A2272" s="6" t="s">
        <v>178</v>
      </c>
      <c r="B2272" s="7" t="s">
        <v>179</v>
      </c>
      <c r="C2272" s="7" t="s">
        <v>179</v>
      </c>
      <c r="D2272" s="7" t="s">
        <v>180</v>
      </c>
      <c r="E2272" s="6" t="s">
        <v>181</v>
      </c>
      <c r="F2272" s="8" t="e">
        <f>VLOOKUP($D2272,설문!$C$2:$G$444,3,FALSE)</f>
        <v>#N/A</v>
      </c>
      <c r="G2272" s="8" t="e">
        <f>VLOOKUP($D2272,설문!$C$2:$G$444,4,FALSE)</f>
        <v>#N/A</v>
      </c>
      <c r="H2272" s="8" t="e">
        <f>VLOOKUP($D2272,설문!$C$2:$G$444,5,FALSE)</f>
        <v>#N/A</v>
      </c>
    </row>
    <row r="2273" spans="1:8">
      <c r="A2273" s="6" t="s">
        <v>187</v>
      </c>
      <c r="B2273" s="7" t="s">
        <v>188</v>
      </c>
      <c r="C2273" s="7" t="s">
        <v>188</v>
      </c>
      <c r="D2273" s="7" t="s">
        <v>189</v>
      </c>
      <c r="E2273" s="6" t="s">
        <v>190</v>
      </c>
      <c r="F2273" s="8" t="e">
        <f>VLOOKUP($D2273,설문!$C$2:$G$444,3,FALSE)</f>
        <v>#N/A</v>
      </c>
      <c r="G2273" s="8" t="e">
        <f>VLOOKUP($D2273,설문!$C$2:$G$444,4,FALSE)</f>
        <v>#N/A</v>
      </c>
      <c r="H2273" s="8" t="e">
        <f>VLOOKUP($D2273,설문!$C$2:$G$444,5,FALSE)</f>
        <v>#N/A</v>
      </c>
    </row>
    <row r="2274" spans="1:8">
      <c r="A2274" s="6" t="s">
        <v>187</v>
      </c>
      <c r="B2274" s="7" t="s">
        <v>405</v>
      </c>
      <c r="C2274" s="7" t="s">
        <v>405</v>
      </c>
      <c r="D2274" s="7" t="s">
        <v>406</v>
      </c>
      <c r="E2274" s="6" t="s">
        <v>407</v>
      </c>
      <c r="F2274" s="8" t="e">
        <f>VLOOKUP($D2274,설문!$C$2:$G$444,3,FALSE)</f>
        <v>#N/A</v>
      </c>
      <c r="G2274" s="8" t="e">
        <f>VLOOKUP($D2274,설문!$C$2:$G$444,4,FALSE)</f>
        <v>#N/A</v>
      </c>
      <c r="H2274" s="8" t="e">
        <f>VLOOKUP($D2274,설문!$C$2:$G$444,5,FALSE)</f>
        <v>#N/A</v>
      </c>
    </row>
    <row r="2275" spans="1:8">
      <c r="A2275" s="6" t="s">
        <v>187</v>
      </c>
      <c r="B2275" s="7" t="s">
        <v>504</v>
      </c>
      <c r="C2275" s="7" t="s">
        <v>504</v>
      </c>
      <c r="D2275" s="7" t="s">
        <v>505</v>
      </c>
      <c r="E2275" s="6" t="s">
        <v>506</v>
      </c>
      <c r="F2275" s="8" t="e">
        <f>VLOOKUP($D2275,설문!$C$2:$G$444,3,FALSE)</f>
        <v>#N/A</v>
      </c>
      <c r="G2275" s="8" t="e">
        <f>VLOOKUP($D2275,설문!$C$2:$G$444,4,FALSE)</f>
        <v>#N/A</v>
      </c>
      <c r="H2275" s="8" t="e">
        <f>VLOOKUP($D2275,설문!$C$2:$G$444,5,FALSE)</f>
        <v>#N/A</v>
      </c>
    </row>
    <row r="2276" spans="1:8">
      <c r="A2276" s="6" t="s">
        <v>187</v>
      </c>
      <c r="B2276" s="7" t="s">
        <v>596</v>
      </c>
      <c r="C2276" s="7" t="s">
        <v>596</v>
      </c>
      <c r="D2276" s="7" t="s">
        <v>597</v>
      </c>
      <c r="E2276" s="6" t="s">
        <v>598</v>
      </c>
      <c r="F2276" s="8" t="e">
        <f>VLOOKUP($D2276,설문!$C$2:$G$444,3,FALSE)</f>
        <v>#N/A</v>
      </c>
      <c r="G2276" s="8" t="e">
        <f>VLOOKUP($D2276,설문!$C$2:$G$444,4,FALSE)</f>
        <v>#N/A</v>
      </c>
      <c r="H2276" s="8" t="e">
        <f>VLOOKUP($D2276,설문!$C$2:$G$444,5,FALSE)</f>
        <v>#N/A</v>
      </c>
    </row>
    <row r="2277" spans="1:8">
      <c r="A2277" s="6" t="s">
        <v>187</v>
      </c>
      <c r="B2277" s="7" t="s">
        <v>904</v>
      </c>
      <c r="C2277" s="7" t="s">
        <v>905</v>
      </c>
      <c r="D2277" s="7" t="s">
        <v>906</v>
      </c>
      <c r="E2277" s="6" t="s">
        <v>907</v>
      </c>
      <c r="F2277" s="8" t="e">
        <f>VLOOKUP($D2277,설문!$C$2:$G$444,3,FALSE)</f>
        <v>#N/A</v>
      </c>
      <c r="G2277" s="8" t="e">
        <f>VLOOKUP($D2277,설문!$C$2:$G$444,4,FALSE)</f>
        <v>#N/A</v>
      </c>
      <c r="H2277" s="8" t="e">
        <f>VLOOKUP($D2277,설문!$C$2:$G$444,5,FALSE)</f>
        <v>#N/A</v>
      </c>
    </row>
    <row r="2278" spans="1:8">
      <c r="A2278" s="6" t="s">
        <v>187</v>
      </c>
      <c r="B2278" s="7" t="s">
        <v>905</v>
      </c>
      <c r="C2278" s="7" t="s">
        <v>904</v>
      </c>
      <c r="D2278" s="7" t="s">
        <v>986</v>
      </c>
      <c r="E2278" s="6" t="s">
        <v>987</v>
      </c>
      <c r="F2278" s="8" t="str">
        <f>VLOOKUP($D2278,설문!$C$2:$G$444,3,FALSE)</f>
        <v>브로커</v>
      </c>
      <c r="G2278" s="8" t="str">
        <f>VLOOKUP($D2278,설문!$C$2:$G$444,4,FALSE)</f>
        <v>금융회사</v>
      </c>
      <c r="H2278" s="8" t="str">
        <f>VLOOKUP($D2278,설문!$C$2:$G$444,5,FALSE)</f>
        <v>국고채/통안채,단기자금</v>
      </c>
    </row>
    <row r="2279" spans="1:8">
      <c r="A2279" s="6" t="s">
        <v>187</v>
      </c>
      <c r="B2279" s="7" t="s">
        <v>905</v>
      </c>
      <c r="C2279" s="7" t="s">
        <v>905</v>
      </c>
      <c r="D2279" s="7" t="s">
        <v>1460</v>
      </c>
      <c r="E2279" s="6" t="s">
        <v>1461</v>
      </c>
      <c r="F2279" s="8" t="e">
        <f>VLOOKUP($D2279,설문!$C$2:$G$444,3,FALSE)</f>
        <v>#N/A</v>
      </c>
      <c r="G2279" s="8" t="e">
        <f>VLOOKUP($D2279,설문!$C$2:$G$444,4,FALSE)</f>
        <v>#N/A</v>
      </c>
      <c r="H2279" s="8" t="e">
        <f>VLOOKUP($D2279,설문!$C$2:$G$444,5,FALSE)</f>
        <v>#N/A</v>
      </c>
    </row>
    <row r="2280" spans="1:8">
      <c r="A2280" s="6" t="s">
        <v>187</v>
      </c>
      <c r="B2280" s="7" t="s">
        <v>905</v>
      </c>
      <c r="C2280" s="7" t="s">
        <v>905</v>
      </c>
      <c r="D2280" s="7" t="s">
        <v>1465</v>
      </c>
      <c r="E2280" s="6" t="s">
        <v>1466</v>
      </c>
      <c r="F2280" s="8" t="e">
        <f>VLOOKUP($D2280,설문!$C$2:$G$444,3,FALSE)</f>
        <v>#N/A</v>
      </c>
      <c r="G2280" s="8" t="e">
        <f>VLOOKUP($D2280,설문!$C$2:$G$444,4,FALSE)</f>
        <v>#N/A</v>
      </c>
      <c r="H2280" s="8" t="e">
        <f>VLOOKUP($D2280,설문!$C$2:$G$444,5,FALSE)</f>
        <v>#N/A</v>
      </c>
    </row>
    <row r="2281" spans="1:8">
      <c r="A2281" s="6" t="s">
        <v>187</v>
      </c>
      <c r="B2281" s="7" t="s">
        <v>2077</v>
      </c>
      <c r="C2281" s="7" t="s">
        <v>2077</v>
      </c>
      <c r="D2281" s="7" t="s">
        <v>2078</v>
      </c>
      <c r="E2281" s="6" t="s">
        <v>2079</v>
      </c>
      <c r="F2281" s="8" t="e">
        <f>VLOOKUP($D2281,설문!$C$2:$G$444,3,FALSE)</f>
        <v>#N/A</v>
      </c>
      <c r="G2281" s="8" t="e">
        <f>VLOOKUP($D2281,설문!$C$2:$G$444,4,FALSE)</f>
        <v>#N/A</v>
      </c>
      <c r="H2281" s="8" t="e">
        <f>VLOOKUP($D2281,설문!$C$2:$G$444,5,FALSE)</f>
        <v>#N/A</v>
      </c>
    </row>
    <row r="2282" spans="1:8">
      <c r="A2282" s="6" t="s">
        <v>187</v>
      </c>
      <c r="B2282" s="7" t="s">
        <v>2080</v>
      </c>
      <c r="C2282" s="7" t="s">
        <v>2080</v>
      </c>
      <c r="D2282" s="7" t="s">
        <v>2081</v>
      </c>
      <c r="E2282" s="6" t="s">
        <v>2082</v>
      </c>
      <c r="F2282" s="8" t="e">
        <f>VLOOKUP($D2282,설문!$C$2:$G$444,3,FALSE)</f>
        <v>#N/A</v>
      </c>
      <c r="G2282" s="8" t="e">
        <f>VLOOKUP($D2282,설문!$C$2:$G$444,4,FALSE)</f>
        <v>#N/A</v>
      </c>
      <c r="H2282" s="8" t="e">
        <f>VLOOKUP($D2282,설문!$C$2:$G$444,5,FALSE)</f>
        <v>#N/A</v>
      </c>
    </row>
    <row r="2283" spans="1:8">
      <c r="A2283" s="6" t="s">
        <v>187</v>
      </c>
      <c r="B2283" s="7" t="s">
        <v>188</v>
      </c>
      <c r="C2283" s="7" t="s">
        <v>149</v>
      </c>
      <c r="D2283" s="7" t="s">
        <v>2083</v>
      </c>
      <c r="E2283" s="6" t="s">
        <v>2084</v>
      </c>
      <c r="F2283" s="8" t="e">
        <f>VLOOKUP($D2283,설문!$C$2:$G$444,3,FALSE)</f>
        <v>#N/A</v>
      </c>
      <c r="G2283" s="8" t="e">
        <f>VLOOKUP($D2283,설문!$C$2:$G$444,4,FALSE)</f>
        <v>#N/A</v>
      </c>
      <c r="H2283" s="8" t="e">
        <f>VLOOKUP($D2283,설문!$C$2:$G$444,5,FALSE)</f>
        <v>#N/A</v>
      </c>
    </row>
    <row r="2284" spans="1:8">
      <c r="A2284" s="6" t="s">
        <v>187</v>
      </c>
      <c r="B2284" s="7" t="s">
        <v>188</v>
      </c>
      <c r="C2284" s="7" t="s">
        <v>149</v>
      </c>
      <c r="D2284" s="7" t="s">
        <v>2085</v>
      </c>
      <c r="E2284" s="6" t="s">
        <v>2086</v>
      </c>
      <c r="F2284" s="8" t="e">
        <f>VLOOKUP($D2284,설문!$C$2:$G$444,3,FALSE)</f>
        <v>#N/A</v>
      </c>
      <c r="G2284" s="8" t="e">
        <f>VLOOKUP($D2284,설문!$C$2:$G$444,4,FALSE)</f>
        <v>#N/A</v>
      </c>
      <c r="H2284" s="8" t="e">
        <f>VLOOKUP($D2284,설문!$C$2:$G$444,5,FALSE)</f>
        <v>#N/A</v>
      </c>
    </row>
    <row r="2285" spans="1:8">
      <c r="A2285" s="6" t="s">
        <v>187</v>
      </c>
      <c r="B2285" s="7" t="s">
        <v>188</v>
      </c>
      <c r="C2285" s="7" t="s">
        <v>149</v>
      </c>
      <c r="D2285" s="7" t="s">
        <v>2087</v>
      </c>
      <c r="E2285" s="6" t="s">
        <v>2088</v>
      </c>
      <c r="F2285" s="8" t="e">
        <f>VLOOKUP($D2285,설문!$C$2:$G$444,3,FALSE)</f>
        <v>#N/A</v>
      </c>
      <c r="G2285" s="8" t="e">
        <f>VLOOKUP($D2285,설문!$C$2:$G$444,4,FALSE)</f>
        <v>#N/A</v>
      </c>
      <c r="H2285" s="8" t="e">
        <f>VLOOKUP($D2285,설문!$C$2:$G$444,5,FALSE)</f>
        <v>#N/A</v>
      </c>
    </row>
    <row r="2286" spans="1:8">
      <c r="A2286" s="6" t="s">
        <v>187</v>
      </c>
      <c r="B2286" s="7" t="s">
        <v>188</v>
      </c>
      <c r="C2286" s="7" t="s">
        <v>905</v>
      </c>
      <c r="D2286" s="7" t="s">
        <v>2089</v>
      </c>
      <c r="E2286" s="6" t="s">
        <v>1461</v>
      </c>
      <c r="F2286" s="8" t="e">
        <f>VLOOKUP($D2286,설문!$C$2:$G$444,3,FALSE)</f>
        <v>#N/A</v>
      </c>
      <c r="G2286" s="8" t="e">
        <f>VLOOKUP($D2286,설문!$C$2:$G$444,4,FALSE)</f>
        <v>#N/A</v>
      </c>
      <c r="H2286" s="8" t="e">
        <f>VLOOKUP($D2286,설문!$C$2:$G$444,5,FALSE)</f>
        <v>#N/A</v>
      </c>
    </row>
    <row r="2287" spans="1:8">
      <c r="A2287" s="6" t="s">
        <v>187</v>
      </c>
      <c r="B2287" s="7" t="s">
        <v>149</v>
      </c>
      <c r="C2287" s="7" t="s">
        <v>149</v>
      </c>
      <c r="D2287" s="7" t="s">
        <v>2090</v>
      </c>
      <c r="E2287" s="6" t="s">
        <v>2091</v>
      </c>
      <c r="F2287" s="8" t="e">
        <f>VLOOKUP($D2287,설문!$C$2:$G$444,3,FALSE)</f>
        <v>#N/A</v>
      </c>
      <c r="G2287" s="8" t="e">
        <f>VLOOKUP($D2287,설문!$C$2:$G$444,4,FALSE)</f>
        <v>#N/A</v>
      </c>
      <c r="H2287" s="8" t="e">
        <f>VLOOKUP($D2287,설문!$C$2:$G$444,5,FALSE)</f>
        <v>#N/A</v>
      </c>
    </row>
    <row r="2288" spans="1:8">
      <c r="A2288" s="6" t="s">
        <v>187</v>
      </c>
      <c r="B2288" s="7" t="s">
        <v>188</v>
      </c>
      <c r="C2288" s="7" t="s">
        <v>149</v>
      </c>
      <c r="D2288" s="7" t="s">
        <v>2092</v>
      </c>
      <c r="E2288" s="6" t="s">
        <v>738</v>
      </c>
      <c r="F2288" s="8" t="e">
        <f>VLOOKUP($D2288,설문!$C$2:$G$444,3,FALSE)</f>
        <v>#N/A</v>
      </c>
      <c r="G2288" s="8" t="e">
        <f>VLOOKUP($D2288,설문!$C$2:$G$444,4,FALSE)</f>
        <v>#N/A</v>
      </c>
      <c r="H2288" s="8" t="e">
        <f>VLOOKUP($D2288,설문!$C$2:$G$444,5,FALSE)</f>
        <v>#N/A</v>
      </c>
    </row>
    <row r="2289" spans="1:8">
      <c r="A2289" s="6" t="s">
        <v>187</v>
      </c>
      <c r="B2289" s="7" t="s">
        <v>188</v>
      </c>
      <c r="C2289" s="7" t="s">
        <v>149</v>
      </c>
      <c r="D2289" s="7" t="s">
        <v>2093</v>
      </c>
      <c r="E2289" s="6" t="s">
        <v>2094</v>
      </c>
      <c r="F2289" s="8" t="e">
        <f>VLOOKUP($D2289,설문!$C$2:$G$444,3,FALSE)</f>
        <v>#N/A</v>
      </c>
      <c r="G2289" s="8" t="e">
        <f>VLOOKUP($D2289,설문!$C$2:$G$444,4,FALSE)</f>
        <v>#N/A</v>
      </c>
      <c r="H2289" s="8" t="e">
        <f>VLOOKUP($D2289,설문!$C$2:$G$444,5,FALSE)</f>
        <v>#N/A</v>
      </c>
    </row>
    <row r="2290" spans="1:8">
      <c r="A2290" s="6" t="s">
        <v>187</v>
      </c>
      <c r="B2290" s="7" t="s">
        <v>905</v>
      </c>
      <c r="C2290" s="7" t="s">
        <v>905</v>
      </c>
      <c r="D2290" s="7" t="s">
        <v>2095</v>
      </c>
      <c r="E2290" s="6" t="s">
        <v>2096</v>
      </c>
      <c r="F2290" s="8" t="e">
        <f>VLOOKUP($D2290,설문!$C$2:$G$444,3,FALSE)</f>
        <v>#N/A</v>
      </c>
      <c r="G2290" s="8" t="e">
        <f>VLOOKUP($D2290,설문!$C$2:$G$444,4,FALSE)</f>
        <v>#N/A</v>
      </c>
      <c r="H2290" s="8" t="e">
        <f>VLOOKUP($D2290,설문!$C$2:$G$444,5,FALSE)</f>
        <v>#N/A</v>
      </c>
    </row>
    <row r="2291" spans="1:8">
      <c r="A2291" s="6" t="s">
        <v>187</v>
      </c>
      <c r="B2291" s="7" t="s">
        <v>898</v>
      </c>
      <c r="C2291" s="7" t="s">
        <v>905</v>
      </c>
      <c r="D2291" s="7" t="s">
        <v>2097</v>
      </c>
      <c r="E2291" s="6" t="s">
        <v>2098</v>
      </c>
      <c r="F2291" s="8" t="e">
        <f>VLOOKUP($D2291,설문!$C$2:$G$444,3,FALSE)</f>
        <v>#N/A</v>
      </c>
      <c r="G2291" s="8" t="e">
        <f>VLOOKUP($D2291,설문!$C$2:$G$444,4,FALSE)</f>
        <v>#N/A</v>
      </c>
      <c r="H2291" s="8" t="e">
        <f>VLOOKUP($D2291,설문!$C$2:$G$444,5,FALSE)</f>
        <v>#N/A</v>
      </c>
    </row>
    <row r="2292" spans="1:8">
      <c r="A2292" s="6" t="s">
        <v>187</v>
      </c>
      <c r="B2292" s="7" t="s">
        <v>108</v>
      </c>
      <c r="C2292" s="7" t="s">
        <v>108</v>
      </c>
      <c r="D2292" s="7" t="s">
        <v>2099</v>
      </c>
      <c r="E2292" s="6" t="s">
        <v>2100</v>
      </c>
      <c r="F2292" s="8" t="e">
        <f>VLOOKUP($D2292,설문!$C$2:$G$444,3,FALSE)</f>
        <v>#N/A</v>
      </c>
      <c r="G2292" s="8" t="e">
        <f>VLOOKUP($D2292,설문!$C$2:$G$444,4,FALSE)</f>
        <v>#N/A</v>
      </c>
      <c r="H2292" s="8" t="e">
        <f>VLOOKUP($D2292,설문!$C$2:$G$444,5,FALSE)</f>
        <v>#N/A</v>
      </c>
    </row>
    <row r="2293" spans="1:8">
      <c r="A2293" s="6" t="s">
        <v>187</v>
      </c>
      <c r="B2293" s="7" t="s">
        <v>2101</v>
      </c>
      <c r="C2293" s="7" t="s">
        <v>2101</v>
      </c>
      <c r="D2293" s="7" t="s">
        <v>2102</v>
      </c>
      <c r="E2293" s="6" t="s">
        <v>2103</v>
      </c>
      <c r="F2293" s="8" t="e">
        <f>VLOOKUP($D2293,설문!$C$2:$G$444,3,FALSE)</f>
        <v>#N/A</v>
      </c>
      <c r="G2293" s="8" t="e">
        <f>VLOOKUP($D2293,설문!$C$2:$G$444,4,FALSE)</f>
        <v>#N/A</v>
      </c>
      <c r="H2293" s="8" t="e">
        <f>VLOOKUP($D2293,설문!$C$2:$G$444,5,FALSE)</f>
        <v>#N/A</v>
      </c>
    </row>
    <row r="2294" spans="1:8">
      <c r="A2294" s="6" t="s">
        <v>187</v>
      </c>
      <c r="B2294" s="7" t="s">
        <v>2104</v>
      </c>
      <c r="C2294" s="7" t="s">
        <v>2104</v>
      </c>
      <c r="D2294" s="7" t="s">
        <v>2105</v>
      </c>
      <c r="E2294" s="6" t="s">
        <v>2106</v>
      </c>
      <c r="F2294" s="8" t="e">
        <f>VLOOKUP($D2294,설문!$C$2:$G$444,3,FALSE)</f>
        <v>#N/A</v>
      </c>
      <c r="G2294" s="8" t="e">
        <f>VLOOKUP($D2294,설문!$C$2:$G$444,4,FALSE)</f>
        <v>#N/A</v>
      </c>
      <c r="H2294" s="8" t="e">
        <f>VLOOKUP($D2294,설문!$C$2:$G$444,5,FALSE)</f>
        <v>#N/A</v>
      </c>
    </row>
    <row r="2295" spans="1:8">
      <c r="A2295" s="6" t="s">
        <v>226</v>
      </c>
      <c r="B2295" s="7" t="s">
        <v>227</v>
      </c>
      <c r="C2295" s="7" t="s">
        <v>227</v>
      </c>
      <c r="D2295" s="7" t="s">
        <v>228</v>
      </c>
      <c r="E2295" s="6" t="s">
        <v>229</v>
      </c>
      <c r="F2295" s="8" t="e">
        <f>VLOOKUP($D2295,설문!$C$2:$G$444,3,FALSE)</f>
        <v>#N/A</v>
      </c>
      <c r="G2295" s="8" t="e">
        <f>VLOOKUP($D2295,설문!$C$2:$G$444,4,FALSE)</f>
        <v>#N/A</v>
      </c>
      <c r="H2295" s="8" t="e">
        <f>VLOOKUP($D2295,설문!$C$2:$G$444,5,FALSE)</f>
        <v>#N/A</v>
      </c>
    </row>
    <row r="2296" spans="1:8">
      <c r="A2296" s="6" t="s">
        <v>226</v>
      </c>
      <c r="B2296" s="7" t="s">
        <v>78</v>
      </c>
      <c r="C2296" s="7" t="s">
        <v>78</v>
      </c>
      <c r="D2296" s="7" t="s">
        <v>368</v>
      </c>
      <c r="E2296" s="6" t="s">
        <v>369</v>
      </c>
      <c r="F2296" s="8" t="e">
        <f>VLOOKUP($D2296,설문!$C$2:$G$444,3,FALSE)</f>
        <v>#N/A</v>
      </c>
      <c r="G2296" s="8" t="e">
        <f>VLOOKUP($D2296,설문!$C$2:$G$444,4,FALSE)</f>
        <v>#N/A</v>
      </c>
      <c r="H2296" s="8" t="e">
        <f>VLOOKUP($D2296,설문!$C$2:$G$444,5,FALSE)</f>
        <v>#N/A</v>
      </c>
    </row>
    <row r="2297" spans="1:8">
      <c r="A2297" s="6" t="s">
        <v>226</v>
      </c>
      <c r="B2297" s="7" t="s">
        <v>60</v>
      </c>
      <c r="C2297" s="7" t="s">
        <v>60</v>
      </c>
      <c r="D2297" s="7" t="s">
        <v>689</v>
      </c>
      <c r="E2297" s="6" t="s">
        <v>690</v>
      </c>
      <c r="F2297" s="8" t="e">
        <f>VLOOKUP($D2297,설문!$C$2:$G$444,3,FALSE)</f>
        <v>#N/A</v>
      </c>
      <c r="G2297" s="8" t="e">
        <f>VLOOKUP($D2297,설문!$C$2:$G$444,4,FALSE)</f>
        <v>#N/A</v>
      </c>
      <c r="H2297" s="8" t="e">
        <f>VLOOKUP($D2297,설문!$C$2:$G$444,5,FALSE)</f>
        <v>#N/A</v>
      </c>
    </row>
    <row r="2298" spans="1:8">
      <c r="A2298" s="6" t="s">
        <v>226</v>
      </c>
      <c r="B2298" s="7" t="s">
        <v>60</v>
      </c>
      <c r="C2298" s="7" t="s">
        <v>60</v>
      </c>
      <c r="D2298" s="7" t="s">
        <v>691</v>
      </c>
      <c r="E2298" s="6" t="s">
        <v>692</v>
      </c>
      <c r="F2298" s="8" t="e">
        <f>VLOOKUP($D2298,설문!$C$2:$G$444,3,FALSE)</f>
        <v>#N/A</v>
      </c>
      <c r="G2298" s="8" t="e">
        <f>VLOOKUP($D2298,설문!$C$2:$G$444,4,FALSE)</f>
        <v>#N/A</v>
      </c>
      <c r="H2298" s="8" t="e">
        <f>VLOOKUP($D2298,설문!$C$2:$G$444,5,FALSE)</f>
        <v>#N/A</v>
      </c>
    </row>
    <row r="2299" spans="1:8">
      <c r="A2299" s="6" t="s">
        <v>226</v>
      </c>
      <c r="B2299" s="7" t="s">
        <v>1148</v>
      </c>
      <c r="C2299" s="7" t="s">
        <v>1148</v>
      </c>
      <c r="D2299" s="7" t="s">
        <v>1149</v>
      </c>
      <c r="E2299" s="6" t="s">
        <v>1150</v>
      </c>
      <c r="F2299" s="8" t="e">
        <f>VLOOKUP($D2299,설문!$C$2:$G$444,3,FALSE)</f>
        <v>#N/A</v>
      </c>
      <c r="G2299" s="8" t="e">
        <f>VLOOKUP($D2299,설문!$C$2:$G$444,4,FALSE)</f>
        <v>#N/A</v>
      </c>
      <c r="H2299" s="8" t="e">
        <f>VLOOKUP($D2299,설문!$C$2:$G$444,5,FALSE)</f>
        <v>#N/A</v>
      </c>
    </row>
    <row r="2300" spans="1:8">
      <c r="A2300" s="6" t="s">
        <v>226</v>
      </c>
      <c r="B2300" s="7" t="s">
        <v>1148</v>
      </c>
      <c r="C2300" s="7" t="s">
        <v>1148</v>
      </c>
      <c r="D2300" s="7" t="s">
        <v>1151</v>
      </c>
      <c r="E2300" s="6" t="s">
        <v>1150</v>
      </c>
      <c r="F2300" s="8" t="e">
        <f>VLOOKUP($D2300,설문!$C$2:$G$444,3,FALSE)</f>
        <v>#N/A</v>
      </c>
      <c r="G2300" s="8" t="e">
        <f>VLOOKUP($D2300,설문!$C$2:$G$444,4,FALSE)</f>
        <v>#N/A</v>
      </c>
      <c r="H2300" s="8" t="e">
        <f>VLOOKUP($D2300,설문!$C$2:$G$444,5,FALSE)</f>
        <v>#N/A</v>
      </c>
    </row>
    <row r="2301" spans="1:8">
      <c r="A2301" s="6" t="s">
        <v>226</v>
      </c>
      <c r="B2301" s="7" t="s">
        <v>78</v>
      </c>
      <c r="C2301" s="7" t="s">
        <v>78</v>
      </c>
      <c r="D2301" s="7" t="s">
        <v>1226</v>
      </c>
      <c r="E2301" s="6" t="s">
        <v>1227</v>
      </c>
      <c r="F2301" s="8" t="e">
        <f>VLOOKUP($D2301,설문!$C$2:$G$444,3,FALSE)</f>
        <v>#N/A</v>
      </c>
      <c r="G2301" s="8" t="e">
        <f>VLOOKUP($D2301,설문!$C$2:$G$444,4,FALSE)</f>
        <v>#N/A</v>
      </c>
      <c r="H2301" s="8" t="e">
        <f>VLOOKUP($D2301,설문!$C$2:$G$444,5,FALSE)</f>
        <v>#N/A</v>
      </c>
    </row>
    <row r="2302" spans="1:8">
      <c r="A2302" s="6" t="s">
        <v>226</v>
      </c>
      <c r="B2302" s="7" t="s">
        <v>1148</v>
      </c>
      <c r="C2302" s="7" t="s">
        <v>1148</v>
      </c>
      <c r="D2302" s="7" t="s">
        <v>1613</v>
      </c>
      <c r="E2302" s="6" t="s">
        <v>1614</v>
      </c>
      <c r="F2302" s="8" t="e">
        <f>VLOOKUP($D2302,설문!$C$2:$G$444,3,FALSE)</f>
        <v>#N/A</v>
      </c>
      <c r="G2302" s="8" t="e">
        <f>VLOOKUP($D2302,설문!$C$2:$G$444,4,FALSE)</f>
        <v>#N/A</v>
      </c>
      <c r="H2302" s="8" t="e">
        <f>VLOOKUP($D2302,설문!$C$2:$G$444,5,FALSE)</f>
        <v>#N/A</v>
      </c>
    </row>
    <row r="2303" spans="1:8">
      <c r="A2303" s="6" t="s">
        <v>226</v>
      </c>
      <c r="B2303" s="7" t="s">
        <v>1148</v>
      </c>
      <c r="C2303" s="7" t="s">
        <v>1148</v>
      </c>
      <c r="D2303" s="7" t="s">
        <v>1615</v>
      </c>
      <c r="E2303" s="6" t="s">
        <v>1616</v>
      </c>
      <c r="F2303" s="8" t="e">
        <f>VLOOKUP($D2303,설문!$C$2:$G$444,3,FALSE)</f>
        <v>#N/A</v>
      </c>
      <c r="G2303" s="8" t="e">
        <f>VLOOKUP($D2303,설문!$C$2:$G$444,4,FALSE)</f>
        <v>#N/A</v>
      </c>
      <c r="H2303" s="8" t="e">
        <f>VLOOKUP($D2303,설문!$C$2:$G$444,5,FALSE)</f>
        <v>#N/A</v>
      </c>
    </row>
    <row r="2304" spans="1:8">
      <c r="A2304" s="6" t="s">
        <v>226</v>
      </c>
      <c r="B2304" s="7" t="s">
        <v>1148</v>
      </c>
      <c r="C2304" s="7" t="s">
        <v>1148</v>
      </c>
      <c r="D2304" s="7" t="s">
        <v>1617</v>
      </c>
      <c r="E2304" s="6" t="s">
        <v>1618</v>
      </c>
      <c r="F2304" s="8" t="str">
        <f>VLOOKUP($D2304,설문!$C$2:$G$444,3,FALSE)</f>
        <v>딜러</v>
      </c>
      <c r="G2304" s="8" t="str">
        <f>VLOOKUP($D2304,설문!$C$2:$G$444,4,FALSE)</f>
        <v>금융회사</v>
      </c>
      <c r="H2304" s="8" t="str">
        <f>VLOOKUP($D2304,설문!$C$2:$G$444,5,FALSE)</f>
        <v>국내주식/지수관련파생</v>
      </c>
    </row>
    <row r="2305" spans="1:8">
      <c r="A2305" s="6" t="s">
        <v>226</v>
      </c>
      <c r="B2305" s="7" t="s">
        <v>1148</v>
      </c>
      <c r="C2305" s="7" t="s">
        <v>1148</v>
      </c>
      <c r="D2305" s="7" t="s">
        <v>1619</v>
      </c>
      <c r="E2305" s="6" t="s">
        <v>1620</v>
      </c>
      <c r="F2305" s="8" t="str">
        <f>VLOOKUP($D2305,설문!$C$2:$G$444,3,FALSE)</f>
        <v>트레이더</v>
      </c>
      <c r="G2305" s="8" t="str">
        <f>VLOOKUP($D2305,설문!$C$2:$G$444,4,FALSE)</f>
        <v>기타</v>
      </c>
      <c r="H2305" s="8" t="str">
        <f>VLOOKUP($D2305,설문!$C$2:$G$444,5,FALSE)</f>
        <v>국내주식/지수관련파생</v>
      </c>
    </row>
    <row r="2306" spans="1:8">
      <c r="A2306" s="6" t="s">
        <v>226</v>
      </c>
      <c r="B2306" s="7" t="s">
        <v>1148</v>
      </c>
      <c r="C2306" s="7" t="s">
        <v>1148</v>
      </c>
      <c r="D2306" s="7" t="s">
        <v>1621</v>
      </c>
      <c r="E2306" s="6" t="s">
        <v>1622</v>
      </c>
      <c r="F2306" s="8" t="e">
        <f>VLOOKUP($D2306,설문!$C$2:$G$444,3,FALSE)</f>
        <v>#N/A</v>
      </c>
      <c r="G2306" s="8" t="e">
        <f>VLOOKUP($D2306,설문!$C$2:$G$444,4,FALSE)</f>
        <v>#N/A</v>
      </c>
      <c r="H2306" s="8" t="e">
        <f>VLOOKUP($D2306,설문!$C$2:$G$444,5,FALSE)</f>
        <v>#N/A</v>
      </c>
    </row>
    <row r="2307" spans="1:8">
      <c r="A2307" s="6" t="s">
        <v>226</v>
      </c>
      <c r="B2307" s="7" t="s">
        <v>1148</v>
      </c>
      <c r="C2307" s="7" t="s">
        <v>1148</v>
      </c>
      <c r="D2307" s="7" t="s">
        <v>1623</v>
      </c>
      <c r="E2307" s="6" t="s">
        <v>1624</v>
      </c>
      <c r="F2307" s="8" t="e">
        <f>VLOOKUP($D2307,설문!$C$2:$G$444,3,FALSE)</f>
        <v>#N/A</v>
      </c>
      <c r="G2307" s="8" t="e">
        <f>VLOOKUP($D2307,설문!$C$2:$G$444,4,FALSE)</f>
        <v>#N/A</v>
      </c>
      <c r="H2307" s="8" t="e">
        <f>VLOOKUP($D2307,설문!$C$2:$G$444,5,FALSE)</f>
        <v>#N/A</v>
      </c>
    </row>
    <row r="2308" spans="1:8">
      <c r="A2308" s="6" t="s">
        <v>226</v>
      </c>
      <c r="B2308" s="7" t="s">
        <v>1148</v>
      </c>
      <c r="C2308" s="7" t="s">
        <v>1148</v>
      </c>
      <c r="D2308" s="7" t="s">
        <v>1625</v>
      </c>
      <c r="E2308" s="6" t="s">
        <v>1626</v>
      </c>
      <c r="F2308" s="8" t="e">
        <f>VLOOKUP($D2308,설문!$C$2:$G$444,3,FALSE)</f>
        <v>#N/A</v>
      </c>
      <c r="G2308" s="8" t="e">
        <f>VLOOKUP($D2308,설문!$C$2:$G$444,4,FALSE)</f>
        <v>#N/A</v>
      </c>
      <c r="H2308" s="8" t="e">
        <f>VLOOKUP($D2308,설문!$C$2:$G$444,5,FALSE)</f>
        <v>#N/A</v>
      </c>
    </row>
    <row r="2309" spans="1:8">
      <c r="A2309" s="6" t="s">
        <v>226</v>
      </c>
      <c r="B2309" s="7" t="s">
        <v>1148</v>
      </c>
      <c r="C2309" s="7" t="s">
        <v>1627</v>
      </c>
      <c r="D2309" s="7" t="s">
        <v>1628</v>
      </c>
      <c r="E2309" s="6" t="s">
        <v>1624</v>
      </c>
      <c r="F2309" s="8" t="str">
        <f>VLOOKUP($D2309,설문!$C$2:$G$444,3,FALSE)</f>
        <v>딜러</v>
      </c>
      <c r="G2309" s="8" t="str">
        <f>VLOOKUP($D2309,설문!$C$2:$G$444,4,FALSE)</f>
        <v>기타</v>
      </c>
      <c r="H2309" s="8" t="str">
        <f>VLOOKUP($D2309,설문!$C$2:$G$444,5,FALSE)</f>
        <v>해외주식/지수관련파생</v>
      </c>
    </row>
    <row r="2310" spans="1:8">
      <c r="A2310" s="6" t="s">
        <v>226</v>
      </c>
      <c r="B2310" s="7" t="s">
        <v>60</v>
      </c>
      <c r="C2310" s="7" t="s">
        <v>60</v>
      </c>
      <c r="D2310" s="7" t="s">
        <v>1691</v>
      </c>
      <c r="E2310" s="6" t="s">
        <v>1692</v>
      </c>
      <c r="F2310" s="8" t="e">
        <f>VLOOKUP($D2310,설문!$C$2:$G$444,3,FALSE)</f>
        <v>#N/A</v>
      </c>
      <c r="G2310" s="8" t="e">
        <f>VLOOKUP($D2310,설문!$C$2:$G$444,4,FALSE)</f>
        <v>#N/A</v>
      </c>
      <c r="H2310" s="8" t="e">
        <f>VLOOKUP($D2310,설문!$C$2:$G$444,5,FALSE)</f>
        <v>#N/A</v>
      </c>
    </row>
    <row r="2311" spans="1:8">
      <c r="A2311" s="6" t="s">
        <v>226</v>
      </c>
      <c r="B2311" s="7" t="s">
        <v>60</v>
      </c>
      <c r="C2311" s="7" t="s">
        <v>60</v>
      </c>
      <c r="D2311" s="7" t="s">
        <v>1693</v>
      </c>
      <c r="E2311" s="6" t="s">
        <v>1694</v>
      </c>
      <c r="F2311" s="8" t="e">
        <f>VLOOKUP($D2311,설문!$C$2:$G$444,3,FALSE)</f>
        <v>#N/A</v>
      </c>
      <c r="G2311" s="8" t="e">
        <f>VLOOKUP($D2311,설문!$C$2:$G$444,4,FALSE)</f>
        <v>#N/A</v>
      </c>
      <c r="H2311" s="8" t="e">
        <f>VLOOKUP($D2311,설문!$C$2:$G$444,5,FALSE)</f>
        <v>#N/A</v>
      </c>
    </row>
    <row r="2312" spans="1:8">
      <c r="A2312" s="6" t="s">
        <v>226</v>
      </c>
      <c r="B2312" s="7" t="s">
        <v>60</v>
      </c>
      <c r="C2312" s="7" t="s">
        <v>60</v>
      </c>
      <c r="D2312" s="7" t="s">
        <v>1705</v>
      </c>
      <c r="E2312" s="6" t="s">
        <v>1706</v>
      </c>
      <c r="F2312" s="8" t="e">
        <f>VLOOKUP($D2312,설문!$C$2:$G$444,3,FALSE)</f>
        <v>#N/A</v>
      </c>
      <c r="G2312" s="8" t="e">
        <f>VLOOKUP($D2312,설문!$C$2:$G$444,4,FALSE)</f>
        <v>#N/A</v>
      </c>
      <c r="H2312" s="8" t="e">
        <f>VLOOKUP($D2312,설문!$C$2:$G$444,5,FALSE)</f>
        <v>#N/A</v>
      </c>
    </row>
    <row r="2313" spans="1:8">
      <c r="A2313" s="6" t="s">
        <v>226</v>
      </c>
      <c r="B2313" s="7" t="s">
        <v>898</v>
      </c>
      <c r="C2313" s="7" t="s">
        <v>898</v>
      </c>
      <c r="D2313" s="7" t="s">
        <v>1897</v>
      </c>
      <c r="E2313" s="6" t="s">
        <v>1898</v>
      </c>
      <c r="F2313" s="8" t="e">
        <f>VLOOKUP($D2313,설문!$C$2:$G$444,3,FALSE)</f>
        <v>#N/A</v>
      </c>
      <c r="G2313" s="8" t="e">
        <f>VLOOKUP($D2313,설문!$C$2:$G$444,4,FALSE)</f>
        <v>#N/A</v>
      </c>
      <c r="H2313" s="8" t="e">
        <f>VLOOKUP($D2313,설문!$C$2:$G$444,5,FALSE)</f>
        <v>#N/A</v>
      </c>
    </row>
    <row r="2314" spans="1:8">
      <c r="A2314" s="6" t="s">
        <v>226</v>
      </c>
      <c r="B2314" s="7" t="s">
        <v>60</v>
      </c>
      <c r="C2314" s="7" t="s">
        <v>60</v>
      </c>
      <c r="D2314" s="7" t="s">
        <v>1925</v>
      </c>
      <c r="E2314" s="6" t="s">
        <v>1926</v>
      </c>
      <c r="F2314" s="8" t="e">
        <f>VLOOKUP($D2314,설문!$C$2:$G$444,3,FALSE)</f>
        <v>#N/A</v>
      </c>
      <c r="G2314" s="8" t="e">
        <f>VLOOKUP($D2314,설문!$C$2:$G$444,4,FALSE)</f>
        <v>#N/A</v>
      </c>
      <c r="H2314" s="8" t="e">
        <f>VLOOKUP($D2314,설문!$C$2:$G$444,5,FALSE)</f>
        <v>#N/A</v>
      </c>
    </row>
    <row r="2315" spans="1:8">
      <c r="A2315" s="6" t="s">
        <v>226</v>
      </c>
      <c r="B2315" s="7" t="s">
        <v>898</v>
      </c>
      <c r="C2315" s="7" t="s">
        <v>898</v>
      </c>
      <c r="D2315" s="7" t="s">
        <v>2391</v>
      </c>
      <c r="E2315" s="6" t="s">
        <v>2392</v>
      </c>
      <c r="F2315" s="8" t="str">
        <f>VLOOKUP($D2315,설문!$C$2:$G$444,3,FALSE)</f>
        <v>백오피스</v>
      </c>
      <c r="G2315" s="8" t="str">
        <f>VLOOKUP($D2315,설문!$C$2:$G$444,4,FALSE)</f>
        <v>금융회사</v>
      </c>
      <c r="H2315" s="8" t="str">
        <f>VLOOKUP($D2315,설문!$C$2:$G$444,5,FALSE)</f>
        <v>국고채/통안채,회사채,IB(발행, M&amp;A 등)</v>
      </c>
    </row>
    <row r="2316" spans="1:8">
      <c r="A2316" s="6" t="s">
        <v>226</v>
      </c>
      <c r="B2316" s="7" t="s">
        <v>898</v>
      </c>
      <c r="C2316" s="7" t="s">
        <v>898</v>
      </c>
      <c r="D2316" s="7" t="s">
        <v>2393</v>
      </c>
      <c r="E2316" s="6" t="s">
        <v>2394</v>
      </c>
      <c r="F2316" s="8" t="e">
        <f>VLOOKUP($D2316,설문!$C$2:$G$444,3,FALSE)</f>
        <v>#N/A</v>
      </c>
      <c r="G2316" s="8" t="e">
        <f>VLOOKUP($D2316,설문!$C$2:$G$444,4,FALSE)</f>
        <v>#N/A</v>
      </c>
      <c r="H2316" s="8" t="e">
        <f>VLOOKUP($D2316,설문!$C$2:$G$444,5,FALSE)</f>
        <v>#N/A</v>
      </c>
    </row>
    <row r="2317" spans="1:8">
      <c r="A2317" s="6" t="s">
        <v>226</v>
      </c>
      <c r="B2317" s="7" t="s">
        <v>898</v>
      </c>
      <c r="C2317" s="7" t="s">
        <v>898</v>
      </c>
      <c r="D2317" s="7" t="s">
        <v>2395</v>
      </c>
      <c r="E2317" s="6" t="s">
        <v>2396</v>
      </c>
      <c r="F2317" s="8" t="e">
        <f>VLOOKUP($D2317,설문!$C$2:$G$444,3,FALSE)</f>
        <v>#N/A</v>
      </c>
      <c r="G2317" s="8" t="e">
        <f>VLOOKUP($D2317,설문!$C$2:$G$444,4,FALSE)</f>
        <v>#N/A</v>
      </c>
      <c r="H2317" s="8" t="e">
        <f>VLOOKUP($D2317,설문!$C$2:$G$444,5,FALSE)</f>
        <v>#N/A</v>
      </c>
    </row>
    <row r="2318" spans="1:8">
      <c r="A2318" s="6" t="s">
        <v>226</v>
      </c>
      <c r="B2318" s="7" t="s">
        <v>2397</v>
      </c>
      <c r="C2318" s="7" t="s">
        <v>2397</v>
      </c>
      <c r="D2318" s="7" t="s">
        <v>2398</v>
      </c>
      <c r="E2318" s="6" t="s">
        <v>2399</v>
      </c>
      <c r="F2318" s="8" t="e">
        <f>VLOOKUP($D2318,설문!$C$2:$G$444,3,FALSE)</f>
        <v>#N/A</v>
      </c>
      <c r="G2318" s="8" t="e">
        <f>VLOOKUP($D2318,설문!$C$2:$G$444,4,FALSE)</f>
        <v>#N/A</v>
      </c>
      <c r="H2318" s="8" t="e">
        <f>VLOOKUP($D2318,설문!$C$2:$G$444,5,FALSE)</f>
        <v>#N/A</v>
      </c>
    </row>
    <row r="2319" spans="1:8">
      <c r="A2319" s="6" t="s">
        <v>226</v>
      </c>
      <c r="B2319" s="7" t="s">
        <v>898</v>
      </c>
      <c r="C2319" s="7" t="s">
        <v>898</v>
      </c>
      <c r="D2319" s="7" t="s">
        <v>2400</v>
      </c>
      <c r="E2319" s="6" t="s">
        <v>2401</v>
      </c>
      <c r="F2319" s="8" t="e">
        <f>VLOOKUP($D2319,설문!$C$2:$G$444,3,FALSE)</f>
        <v>#N/A</v>
      </c>
      <c r="G2319" s="8" t="e">
        <f>VLOOKUP($D2319,설문!$C$2:$G$444,4,FALSE)</f>
        <v>#N/A</v>
      </c>
      <c r="H2319" s="8" t="e">
        <f>VLOOKUP($D2319,설문!$C$2:$G$444,5,FALSE)</f>
        <v>#N/A</v>
      </c>
    </row>
    <row r="2320" spans="1:8">
      <c r="A2320" s="6" t="s">
        <v>226</v>
      </c>
      <c r="B2320" s="7" t="s">
        <v>60</v>
      </c>
      <c r="C2320" s="7" t="s">
        <v>60</v>
      </c>
      <c r="D2320" s="7" t="s">
        <v>2402</v>
      </c>
      <c r="E2320" s="6" t="s">
        <v>2403</v>
      </c>
      <c r="F2320" s="8" t="e">
        <f>VLOOKUP($D2320,설문!$C$2:$G$444,3,FALSE)</f>
        <v>#N/A</v>
      </c>
      <c r="G2320" s="8" t="e">
        <f>VLOOKUP($D2320,설문!$C$2:$G$444,4,FALSE)</f>
        <v>#N/A</v>
      </c>
      <c r="H2320" s="8" t="e">
        <f>VLOOKUP($D2320,설문!$C$2:$G$444,5,FALSE)</f>
        <v>#N/A</v>
      </c>
    </row>
    <row r="2321" spans="1:8">
      <c r="A2321" s="6" t="s">
        <v>226</v>
      </c>
      <c r="B2321" s="7" t="s">
        <v>60</v>
      </c>
      <c r="C2321" s="7" t="s">
        <v>60</v>
      </c>
      <c r="D2321" s="7" t="s">
        <v>2404</v>
      </c>
      <c r="E2321" s="6" t="s">
        <v>2405</v>
      </c>
      <c r="F2321" s="8" t="e">
        <f>VLOOKUP($D2321,설문!$C$2:$G$444,3,FALSE)</f>
        <v>#N/A</v>
      </c>
      <c r="G2321" s="8" t="e">
        <f>VLOOKUP($D2321,설문!$C$2:$G$444,4,FALSE)</f>
        <v>#N/A</v>
      </c>
      <c r="H2321" s="8" t="e">
        <f>VLOOKUP($D2321,설문!$C$2:$G$444,5,FALSE)</f>
        <v>#N/A</v>
      </c>
    </row>
    <row r="2322" spans="1:8">
      <c r="A2322" s="6" t="s">
        <v>226</v>
      </c>
      <c r="B2322" s="7" t="s">
        <v>2397</v>
      </c>
      <c r="C2322" s="7" t="s">
        <v>2397</v>
      </c>
      <c r="D2322" s="7" t="s">
        <v>2406</v>
      </c>
      <c r="E2322" s="6" t="s">
        <v>2407</v>
      </c>
      <c r="F2322" s="8" t="e">
        <f>VLOOKUP($D2322,설문!$C$2:$G$444,3,FALSE)</f>
        <v>#N/A</v>
      </c>
      <c r="G2322" s="8" t="e">
        <f>VLOOKUP($D2322,설문!$C$2:$G$444,4,FALSE)</f>
        <v>#N/A</v>
      </c>
      <c r="H2322" s="8" t="e">
        <f>VLOOKUP($D2322,설문!$C$2:$G$444,5,FALSE)</f>
        <v>#N/A</v>
      </c>
    </row>
    <row r="2323" spans="1:8">
      <c r="A2323" s="6" t="s">
        <v>226</v>
      </c>
      <c r="B2323" s="7" t="s">
        <v>2408</v>
      </c>
      <c r="C2323" s="7" t="s">
        <v>2408</v>
      </c>
      <c r="D2323" s="7" t="s">
        <v>2409</v>
      </c>
      <c r="E2323" s="6" t="s">
        <v>2410</v>
      </c>
      <c r="F2323" s="8" t="e">
        <f>VLOOKUP($D2323,설문!$C$2:$G$444,3,FALSE)</f>
        <v>#N/A</v>
      </c>
      <c r="G2323" s="8" t="e">
        <f>VLOOKUP($D2323,설문!$C$2:$G$444,4,FALSE)</f>
        <v>#N/A</v>
      </c>
      <c r="H2323" s="8" t="e">
        <f>VLOOKUP($D2323,설문!$C$2:$G$444,5,FALSE)</f>
        <v>#N/A</v>
      </c>
    </row>
    <row r="2324" spans="1:8">
      <c r="A2324" s="6" t="s">
        <v>226</v>
      </c>
      <c r="B2324" s="7" t="s">
        <v>2397</v>
      </c>
      <c r="C2324" s="7" t="s">
        <v>2397</v>
      </c>
      <c r="D2324" s="7" t="s">
        <v>2411</v>
      </c>
      <c r="E2324" s="6" t="s">
        <v>2412</v>
      </c>
      <c r="F2324" s="8" t="e">
        <f>VLOOKUP($D2324,설문!$C$2:$G$444,3,FALSE)</f>
        <v>#N/A</v>
      </c>
      <c r="G2324" s="8" t="e">
        <f>VLOOKUP($D2324,설문!$C$2:$G$444,4,FALSE)</f>
        <v>#N/A</v>
      </c>
      <c r="H2324" s="8" t="e">
        <f>VLOOKUP($D2324,설문!$C$2:$G$444,5,FALSE)</f>
        <v>#N/A</v>
      </c>
    </row>
    <row r="2325" spans="1:8">
      <c r="A2325" s="6" t="s">
        <v>2301</v>
      </c>
      <c r="B2325" s="7" t="s">
        <v>2302</v>
      </c>
      <c r="C2325" s="7" t="s">
        <v>2303</v>
      </c>
      <c r="D2325" s="7" t="s">
        <v>2304</v>
      </c>
      <c r="E2325" s="6" t="s">
        <v>2305</v>
      </c>
      <c r="F2325" s="8" t="e">
        <f>VLOOKUP($D2325,설문!$C$2:$G$444,3,FALSE)</f>
        <v>#N/A</v>
      </c>
      <c r="G2325" s="8" t="e">
        <f>VLOOKUP($D2325,설문!$C$2:$G$444,4,FALSE)</f>
        <v>#N/A</v>
      </c>
      <c r="H2325" s="8" t="e">
        <f>VLOOKUP($D2325,설문!$C$2:$G$444,5,FALSE)</f>
        <v>#N/A</v>
      </c>
    </row>
    <row r="2326" spans="1:8">
      <c r="A2326" s="6" t="s">
        <v>2301</v>
      </c>
      <c r="B2326" s="7" t="s">
        <v>1649</v>
      </c>
      <c r="C2326" s="7" t="s">
        <v>69</v>
      </c>
      <c r="D2326" s="7" t="s">
        <v>2306</v>
      </c>
      <c r="E2326" s="6" t="s">
        <v>2307</v>
      </c>
      <c r="F2326" s="8" t="e">
        <f>VLOOKUP($D2326,설문!$C$2:$G$444,3,FALSE)</f>
        <v>#N/A</v>
      </c>
      <c r="G2326" s="8" t="e">
        <f>VLOOKUP($D2326,설문!$C$2:$G$444,4,FALSE)</f>
        <v>#N/A</v>
      </c>
      <c r="H2326" s="8" t="e">
        <f>VLOOKUP($D2326,설문!$C$2:$G$444,5,FALSE)</f>
        <v>#N/A</v>
      </c>
    </row>
    <row r="2327" spans="1:8">
      <c r="A2327" s="6" t="s">
        <v>2301</v>
      </c>
      <c r="B2327" s="7" t="s">
        <v>1649</v>
      </c>
      <c r="C2327" s="7" t="s">
        <v>69</v>
      </c>
      <c r="D2327" s="7" t="s">
        <v>2308</v>
      </c>
      <c r="E2327" s="6" t="s">
        <v>2309</v>
      </c>
      <c r="F2327" s="8" t="e">
        <f>VLOOKUP($D2327,설문!$C$2:$G$444,3,FALSE)</f>
        <v>#N/A</v>
      </c>
      <c r="G2327" s="8" t="e">
        <f>VLOOKUP($D2327,설문!$C$2:$G$444,4,FALSE)</f>
        <v>#N/A</v>
      </c>
      <c r="H2327" s="8" t="e">
        <f>VLOOKUP($D2327,설문!$C$2:$G$444,5,FALSE)</f>
        <v>#N/A</v>
      </c>
    </row>
    <row r="2328" spans="1:8">
      <c r="A2328" s="6" t="s">
        <v>361</v>
      </c>
      <c r="B2328" s="7" t="s">
        <v>149</v>
      </c>
      <c r="C2328" s="7" t="s">
        <v>362</v>
      </c>
      <c r="D2328" s="7" t="s">
        <v>363</v>
      </c>
      <c r="E2328" s="6" t="s">
        <v>364</v>
      </c>
      <c r="F2328" s="8" t="e">
        <f>VLOOKUP($D2328,설문!$C$2:$G$444,3,FALSE)</f>
        <v>#N/A</v>
      </c>
      <c r="G2328" s="8" t="e">
        <f>VLOOKUP($D2328,설문!$C$2:$G$444,4,FALSE)</f>
        <v>#N/A</v>
      </c>
      <c r="H2328" s="8" t="e">
        <f>VLOOKUP($D2328,설문!$C$2:$G$444,5,FALSE)</f>
        <v>#N/A</v>
      </c>
    </row>
    <row r="2329" spans="1:8">
      <c r="A2329" s="6" t="s">
        <v>361</v>
      </c>
      <c r="B2329" s="7" t="s">
        <v>410</v>
      </c>
      <c r="C2329" s="7" t="s">
        <v>411</v>
      </c>
      <c r="D2329" s="7" t="s">
        <v>412</v>
      </c>
      <c r="E2329" s="6" t="s">
        <v>413</v>
      </c>
      <c r="F2329" s="8" t="str">
        <f>VLOOKUP($D2329,설문!$C$2:$G$444,3,FALSE)</f>
        <v>트레이더,백오피스</v>
      </c>
      <c r="G2329" s="8" t="str">
        <f>VLOOKUP($D2329,설문!$C$2:$G$444,4,FALSE)</f>
        <v>금융회사,일반기업고객</v>
      </c>
      <c r="H2329" s="8" t="str">
        <f>VLOOKUP($D2329,설문!$C$2:$G$444,5,FALSE)</f>
        <v>국고채/통안채,회사채,소액채권,RP,단기자금,국채선물</v>
      </c>
    </row>
    <row r="2330" spans="1:8">
      <c r="A2330" s="6" t="s">
        <v>361</v>
      </c>
      <c r="B2330" s="7" t="s">
        <v>550</v>
      </c>
      <c r="C2330" s="7" t="s">
        <v>551</v>
      </c>
      <c r="D2330" s="7" t="s">
        <v>552</v>
      </c>
      <c r="E2330" s="6" t="s">
        <v>553</v>
      </c>
      <c r="F2330" s="8" t="e">
        <f>VLOOKUP($D2330,설문!$C$2:$G$444,3,FALSE)</f>
        <v>#N/A</v>
      </c>
      <c r="G2330" s="8" t="e">
        <f>VLOOKUP($D2330,설문!$C$2:$G$444,4,FALSE)</f>
        <v>#N/A</v>
      </c>
      <c r="H2330" s="8" t="e">
        <f>VLOOKUP($D2330,설문!$C$2:$G$444,5,FALSE)</f>
        <v>#N/A</v>
      </c>
    </row>
    <row r="2331" spans="1:8">
      <c r="A2331" s="6" t="s">
        <v>361</v>
      </c>
      <c r="B2331" s="7" t="s">
        <v>411</v>
      </c>
      <c r="C2331" s="7" t="s">
        <v>411</v>
      </c>
      <c r="D2331" s="7" t="s">
        <v>721</v>
      </c>
      <c r="E2331" s="6" t="s">
        <v>722</v>
      </c>
      <c r="F2331" s="8" t="str">
        <f>VLOOKUP($D2331,설문!$C$2:$G$444,3,FALSE)</f>
        <v>세일즈,브로커</v>
      </c>
      <c r="G2331" s="8" t="str">
        <f>VLOOKUP($D2331,설문!$C$2:$G$444,4,FALSE)</f>
        <v>금융회사,금융 유관기관</v>
      </c>
      <c r="H2331" s="8" t="str">
        <f>VLOOKUP($D2331,설문!$C$2:$G$444,5,FALSE)</f>
        <v>국고채/통안채,회사채,원화 구조화채권,외화 구조화채권,IB(발행, M&amp;A 등),대체투자(부동산/인프라)</v>
      </c>
    </row>
    <row r="2332" spans="1:8">
      <c r="A2332" s="6" t="s">
        <v>361</v>
      </c>
      <c r="B2332" s="7" t="s">
        <v>867</v>
      </c>
      <c r="C2332" s="7" t="s">
        <v>868</v>
      </c>
      <c r="D2332" s="7" t="s">
        <v>869</v>
      </c>
      <c r="E2332" s="6" t="s">
        <v>870</v>
      </c>
      <c r="F2332" s="8" t="str">
        <f>VLOOKUP($D2332,설문!$C$2:$G$444,3,FALSE)</f>
        <v>백오피스</v>
      </c>
      <c r="G2332" s="8" t="str">
        <f>VLOOKUP($D2332,설문!$C$2:$G$444,4,FALSE)</f>
        <v>금융회사</v>
      </c>
      <c r="H2332" s="8" t="str">
        <f>VLOOKUP($D2332,설문!$C$2:$G$444,5,FALSE)</f>
        <v>국고채/통안채,회사채</v>
      </c>
    </row>
    <row r="2333" spans="1:8">
      <c r="A2333" s="6" t="s">
        <v>361</v>
      </c>
      <c r="B2333" s="7" t="s">
        <v>867</v>
      </c>
      <c r="C2333" s="7" t="s">
        <v>868</v>
      </c>
      <c r="D2333" s="7" t="s">
        <v>871</v>
      </c>
      <c r="E2333" s="6" t="s">
        <v>872</v>
      </c>
      <c r="F2333" s="8" t="e">
        <f>VLOOKUP($D2333,설문!$C$2:$G$444,3,FALSE)</f>
        <v>#N/A</v>
      </c>
      <c r="G2333" s="8" t="e">
        <f>VLOOKUP($D2333,설문!$C$2:$G$444,4,FALSE)</f>
        <v>#N/A</v>
      </c>
      <c r="H2333" s="8" t="e">
        <f>VLOOKUP($D2333,설문!$C$2:$G$444,5,FALSE)</f>
        <v>#N/A</v>
      </c>
    </row>
    <row r="2334" spans="1:8">
      <c r="A2334" s="6" t="s">
        <v>361</v>
      </c>
      <c r="B2334" s="7" t="s">
        <v>9</v>
      </c>
      <c r="C2334" s="7" t="s">
        <v>362</v>
      </c>
      <c r="D2334" s="7" t="s">
        <v>1842</v>
      </c>
      <c r="E2334" s="6" t="s">
        <v>1843</v>
      </c>
      <c r="F2334" s="8" t="e">
        <f>VLOOKUP($D2334,설문!$C$2:$G$444,3,FALSE)</f>
        <v>#N/A</v>
      </c>
      <c r="G2334" s="8" t="e">
        <f>VLOOKUP($D2334,설문!$C$2:$G$444,4,FALSE)</f>
        <v>#N/A</v>
      </c>
      <c r="H2334" s="8" t="e">
        <f>VLOOKUP($D2334,설문!$C$2:$G$444,5,FALSE)</f>
        <v>#N/A</v>
      </c>
    </row>
    <row r="2335" spans="1:8">
      <c r="A2335" s="6" t="s">
        <v>361</v>
      </c>
      <c r="B2335" s="7" t="s">
        <v>9</v>
      </c>
      <c r="C2335" s="7" t="s">
        <v>362</v>
      </c>
      <c r="D2335" s="7" t="s">
        <v>1850</v>
      </c>
      <c r="E2335" s="6" t="s">
        <v>1851</v>
      </c>
      <c r="F2335" s="8" t="e">
        <f>VLOOKUP($D2335,설문!$C$2:$G$444,3,FALSE)</f>
        <v>#N/A</v>
      </c>
      <c r="G2335" s="8" t="e">
        <f>VLOOKUP($D2335,설문!$C$2:$G$444,4,FALSE)</f>
        <v>#N/A</v>
      </c>
      <c r="H2335" s="8" t="e">
        <f>VLOOKUP($D2335,설문!$C$2:$G$444,5,FALSE)</f>
        <v>#N/A</v>
      </c>
    </row>
    <row r="2336" spans="1:8">
      <c r="A2336" s="6" t="s">
        <v>361</v>
      </c>
      <c r="B2336" s="7" t="s">
        <v>9</v>
      </c>
      <c r="C2336" s="7" t="s">
        <v>551</v>
      </c>
      <c r="D2336" s="7" t="s">
        <v>1952</v>
      </c>
      <c r="E2336" s="6" t="s">
        <v>1953</v>
      </c>
      <c r="F2336" s="8" t="e">
        <f>VLOOKUP($D2336,설문!$C$2:$G$444,3,FALSE)</f>
        <v>#N/A</v>
      </c>
      <c r="G2336" s="8" t="e">
        <f>VLOOKUP($D2336,설문!$C$2:$G$444,4,FALSE)</f>
        <v>#N/A</v>
      </c>
      <c r="H2336" s="8" t="e">
        <f>VLOOKUP($D2336,설문!$C$2:$G$444,5,FALSE)</f>
        <v>#N/A</v>
      </c>
    </row>
    <row r="2337" spans="1:8">
      <c r="A2337" s="6" t="s">
        <v>361</v>
      </c>
      <c r="B2337" s="7" t="s">
        <v>9</v>
      </c>
      <c r="C2337" s="7" t="s">
        <v>551</v>
      </c>
      <c r="D2337" s="7" t="s">
        <v>1954</v>
      </c>
      <c r="E2337" s="6" t="s">
        <v>369</v>
      </c>
      <c r="F2337" s="8" t="str">
        <f>VLOOKUP($D2337,설문!$C$2:$G$444,3,FALSE)</f>
        <v>브로커</v>
      </c>
      <c r="G2337" s="8" t="str">
        <f>VLOOKUP($D2337,설문!$C$2:$G$444,4,FALSE)</f>
        <v>금융회사</v>
      </c>
      <c r="H2337" s="8" t="str">
        <f>VLOOKUP($D2337,설문!$C$2:$G$444,5,FALSE)</f>
        <v>국고채/통안채,회사채,소액채권</v>
      </c>
    </row>
    <row r="2338" spans="1:8">
      <c r="A2338" s="6" t="s">
        <v>361</v>
      </c>
      <c r="B2338" s="7" t="s">
        <v>9</v>
      </c>
      <c r="C2338" s="7" t="s">
        <v>551</v>
      </c>
      <c r="D2338" s="7" t="s">
        <v>1955</v>
      </c>
      <c r="E2338" s="6" t="s">
        <v>1893</v>
      </c>
      <c r="F2338" s="8" t="e">
        <f>VLOOKUP($D2338,설문!$C$2:$G$444,3,FALSE)</f>
        <v>#N/A</v>
      </c>
      <c r="G2338" s="8" t="e">
        <f>VLOOKUP($D2338,설문!$C$2:$G$444,4,FALSE)</f>
        <v>#N/A</v>
      </c>
      <c r="H2338" s="8" t="e">
        <f>VLOOKUP($D2338,설문!$C$2:$G$444,5,FALSE)</f>
        <v>#N/A</v>
      </c>
    </row>
    <row r="2339" spans="1:8">
      <c r="A2339" s="6" t="s">
        <v>361</v>
      </c>
      <c r="B2339" s="7" t="s">
        <v>9</v>
      </c>
      <c r="C2339" s="7" t="s">
        <v>551</v>
      </c>
      <c r="D2339" s="7" t="s">
        <v>1956</v>
      </c>
      <c r="E2339" s="6" t="s">
        <v>1957</v>
      </c>
      <c r="F2339" s="8" t="e">
        <f>VLOOKUP($D2339,설문!$C$2:$G$444,3,FALSE)</f>
        <v>#N/A</v>
      </c>
      <c r="G2339" s="8" t="e">
        <f>VLOOKUP($D2339,설문!$C$2:$G$444,4,FALSE)</f>
        <v>#N/A</v>
      </c>
      <c r="H2339" s="8" t="e">
        <f>VLOOKUP($D2339,설문!$C$2:$G$444,5,FALSE)</f>
        <v>#N/A</v>
      </c>
    </row>
    <row r="2340" spans="1:8">
      <c r="A2340" s="6" t="s">
        <v>361</v>
      </c>
      <c r="B2340" s="7" t="s">
        <v>9</v>
      </c>
      <c r="C2340" s="7" t="s">
        <v>411</v>
      </c>
      <c r="D2340" s="7" t="s">
        <v>5281</v>
      </c>
      <c r="E2340" s="6" t="s">
        <v>5282</v>
      </c>
      <c r="F2340" s="8" t="e">
        <f>VLOOKUP($D2340,설문!$C$2:$G$444,3,FALSE)</f>
        <v>#N/A</v>
      </c>
      <c r="G2340" s="8" t="e">
        <f>VLOOKUP($D2340,설문!$C$2:$G$444,4,FALSE)</f>
        <v>#N/A</v>
      </c>
      <c r="H2340" s="8" t="e">
        <f>VLOOKUP($D2340,설문!$C$2:$G$444,5,FALSE)</f>
        <v>#N/A</v>
      </c>
    </row>
    <row r="2341" spans="1:8">
      <c r="A2341" s="6" t="s">
        <v>361</v>
      </c>
      <c r="B2341" s="7" t="s">
        <v>9</v>
      </c>
      <c r="C2341" s="7" t="s">
        <v>100</v>
      </c>
      <c r="D2341" s="7" t="s">
        <v>5283</v>
      </c>
      <c r="E2341" s="6" t="s">
        <v>727</v>
      </c>
      <c r="F2341" s="8" t="e">
        <f>VLOOKUP($D2341,설문!$C$2:$G$444,3,FALSE)</f>
        <v>#N/A</v>
      </c>
      <c r="G2341" s="8" t="e">
        <f>VLOOKUP($D2341,설문!$C$2:$G$444,4,FALSE)</f>
        <v>#N/A</v>
      </c>
      <c r="H2341" s="8" t="e">
        <f>VLOOKUP($D2341,설문!$C$2:$G$444,5,FALSE)</f>
        <v>#N/A</v>
      </c>
    </row>
    <row r="2342" spans="1:8">
      <c r="A2342" s="6" t="s">
        <v>361</v>
      </c>
      <c r="B2342" s="7" t="s">
        <v>9</v>
      </c>
      <c r="C2342" s="7" t="s">
        <v>100</v>
      </c>
      <c r="D2342" s="7" t="s">
        <v>5284</v>
      </c>
      <c r="E2342" s="6" t="s">
        <v>5285</v>
      </c>
      <c r="F2342" s="8" t="e">
        <f>VLOOKUP($D2342,설문!$C$2:$G$444,3,FALSE)</f>
        <v>#N/A</v>
      </c>
      <c r="G2342" s="8" t="e">
        <f>VLOOKUP($D2342,설문!$C$2:$G$444,4,FALSE)</f>
        <v>#N/A</v>
      </c>
      <c r="H2342" s="8" t="e">
        <f>VLOOKUP($D2342,설문!$C$2:$G$444,5,FALSE)</f>
        <v>#N/A</v>
      </c>
    </row>
    <row r="2343" spans="1:8">
      <c r="A2343" s="6" t="s">
        <v>361</v>
      </c>
      <c r="B2343" s="7" t="s">
        <v>9</v>
      </c>
      <c r="C2343" s="7" t="s">
        <v>100</v>
      </c>
      <c r="D2343" s="7" t="s">
        <v>5286</v>
      </c>
      <c r="E2343" s="6" t="s">
        <v>5287</v>
      </c>
      <c r="F2343" s="8" t="e">
        <f>VLOOKUP($D2343,설문!$C$2:$G$444,3,FALSE)</f>
        <v>#N/A</v>
      </c>
      <c r="G2343" s="8" t="e">
        <f>VLOOKUP($D2343,설문!$C$2:$G$444,4,FALSE)</f>
        <v>#N/A</v>
      </c>
      <c r="H2343" s="8" t="e">
        <f>VLOOKUP($D2343,설문!$C$2:$G$444,5,FALSE)</f>
        <v>#N/A</v>
      </c>
    </row>
    <row r="2344" spans="1:8">
      <c r="A2344" s="6" t="s">
        <v>361</v>
      </c>
      <c r="B2344" s="7" t="s">
        <v>9</v>
      </c>
      <c r="C2344" s="7" t="s">
        <v>362</v>
      </c>
      <c r="D2344" s="7" t="s">
        <v>5288</v>
      </c>
      <c r="E2344" s="6" t="s">
        <v>5289</v>
      </c>
      <c r="F2344" s="8" t="str">
        <f>VLOOKUP($D2344,설문!$C$2:$G$444,3,FALSE)</f>
        <v>백오피스</v>
      </c>
      <c r="G2344" s="8" t="str">
        <f>VLOOKUP($D2344,설문!$C$2:$G$444,4,FALSE)</f>
        <v>금융회사</v>
      </c>
      <c r="H2344" s="8" t="str">
        <f>VLOOKUP($D2344,설문!$C$2:$G$444,5,FALSE)</f>
        <v>국고채/통안채</v>
      </c>
    </row>
    <row r="2345" spans="1:8">
      <c r="A2345" s="6" t="s">
        <v>1334</v>
      </c>
      <c r="B2345" s="7" t="s">
        <v>1335</v>
      </c>
      <c r="C2345" s="7" t="s">
        <v>1335</v>
      </c>
      <c r="D2345" s="7" t="s">
        <v>1336</v>
      </c>
      <c r="E2345" s="6" t="s">
        <v>1337</v>
      </c>
      <c r="F2345" s="8" t="e">
        <f>VLOOKUP($D2345,설문!$C$2:$G$444,3,FALSE)</f>
        <v>#N/A</v>
      </c>
      <c r="G2345" s="8" t="e">
        <f>VLOOKUP($D2345,설문!$C$2:$G$444,4,FALSE)</f>
        <v>#N/A</v>
      </c>
      <c r="H2345" s="8" t="e">
        <f>VLOOKUP($D2345,설문!$C$2:$G$444,5,FALSE)</f>
        <v>#N/A</v>
      </c>
    </row>
    <row r="2346" spans="1:8">
      <c r="A2346" s="6" t="s">
        <v>3890</v>
      </c>
      <c r="B2346" s="7" t="s">
        <v>1319</v>
      </c>
      <c r="C2346" s="7" t="s">
        <v>1319</v>
      </c>
      <c r="D2346" s="7" t="s">
        <v>3891</v>
      </c>
      <c r="E2346" s="6" t="s">
        <v>3892</v>
      </c>
      <c r="F2346" s="8" t="e">
        <f>VLOOKUP($D2346,설문!$C$2:$G$444,3,FALSE)</f>
        <v>#N/A</v>
      </c>
      <c r="G2346" s="8" t="e">
        <f>VLOOKUP($D2346,설문!$C$2:$G$444,4,FALSE)</f>
        <v>#N/A</v>
      </c>
      <c r="H2346" s="8" t="e">
        <f>VLOOKUP($D2346,설문!$C$2:$G$444,5,FALSE)</f>
        <v>#N/A</v>
      </c>
    </row>
    <row r="2347" spans="1:8">
      <c r="A2347" s="6" t="s">
        <v>3890</v>
      </c>
      <c r="B2347" s="7" t="s">
        <v>1319</v>
      </c>
      <c r="C2347" s="7" t="s">
        <v>9</v>
      </c>
      <c r="D2347" s="7" t="s">
        <v>3893</v>
      </c>
      <c r="E2347" s="6" t="s">
        <v>3894</v>
      </c>
      <c r="F2347" s="8" t="e">
        <f>VLOOKUP($D2347,설문!$C$2:$G$444,3,FALSE)</f>
        <v>#N/A</v>
      </c>
      <c r="G2347" s="8" t="e">
        <f>VLOOKUP($D2347,설문!$C$2:$G$444,4,FALSE)</f>
        <v>#N/A</v>
      </c>
      <c r="H2347" s="8" t="e">
        <f>VLOOKUP($D2347,설문!$C$2:$G$444,5,FALSE)</f>
        <v>#N/A</v>
      </c>
    </row>
    <row r="2348" spans="1:8">
      <c r="A2348" s="6" t="s">
        <v>3890</v>
      </c>
      <c r="B2348" s="7" t="s">
        <v>1319</v>
      </c>
      <c r="C2348" s="7" t="s">
        <v>1319</v>
      </c>
      <c r="D2348" s="7" t="s">
        <v>3895</v>
      </c>
      <c r="E2348" s="6" t="s">
        <v>3896</v>
      </c>
      <c r="F2348" s="8" t="e">
        <f>VLOOKUP($D2348,설문!$C$2:$G$444,3,FALSE)</f>
        <v>#N/A</v>
      </c>
      <c r="G2348" s="8" t="e">
        <f>VLOOKUP($D2348,설문!$C$2:$G$444,4,FALSE)</f>
        <v>#N/A</v>
      </c>
      <c r="H2348" s="8" t="e">
        <f>VLOOKUP($D2348,설문!$C$2:$G$444,5,FALSE)</f>
        <v>#N/A</v>
      </c>
    </row>
    <row r="2349" spans="1:8">
      <c r="A2349" s="6" t="s">
        <v>200</v>
      </c>
      <c r="B2349" s="7" t="s">
        <v>201</v>
      </c>
      <c r="C2349" s="7" t="s">
        <v>202</v>
      </c>
      <c r="D2349" s="7" t="s">
        <v>203</v>
      </c>
      <c r="E2349" s="6" t="s">
        <v>204</v>
      </c>
      <c r="F2349" s="8" t="e">
        <f>VLOOKUP($D2349,설문!$C$2:$G$444,3,FALSE)</f>
        <v>#N/A</v>
      </c>
      <c r="G2349" s="8" t="e">
        <f>VLOOKUP($D2349,설문!$C$2:$G$444,4,FALSE)</f>
        <v>#N/A</v>
      </c>
      <c r="H2349" s="8" t="e">
        <f>VLOOKUP($D2349,설문!$C$2:$G$444,5,FALSE)</f>
        <v>#N/A</v>
      </c>
    </row>
    <row r="2350" spans="1:8">
      <c r="A2350" s="6" t="s">
        <v>200</v>
      </c>
      <c r="B2350" s="7" t="s">
        <v>5092</v>
      </c>
      <c r="C2350" s="7" t="s">
        <v>202</v>
      </c>
      <c r="D2350" s="7" t="s">
        <v>5093</v>
      </c>
      <c r="E2350" s="6" t="s">
        <v>5094</v>
      </c>
      <c r="F2350" s="8" t="e">
        <f>VLOOKUP($D2350,설문!$C$2:$G$444,3,FALSE)</f>
        <v>#N/A</v>
      </c>
      <c r="G2350" s="8" t="e">
        <f>VLOOKUP($D2350,설문!$C$2:$G$444,4,FALSE)</f>
        <v>#N/A</v>
      </c>
      <c r="H2350" s="8" t="e">
        <f>VLOOKUP($D2350,설문!$C$2:$G$444,5,FALSE)</f>
        <v>#N/A</v>
      </c>
    </row>
    <row r="2351" spans="1:8">
      <c r="A2351" s="6" t="s">
        <v>200</v>
      </c>
      <c r="B2351" s="7" t="s">
        <v>3075</v>
      </c>
      <c r="C2351" s="7" t="s">
        <v>5095</v>
      </c>
      <c r="D2351" s="7" t="s">
        <v>5096</v>
      </c>
      <c r="E2351" s="6" t="s">
        <v>62</v>
      </c>
      <c r="F2351" s="8" t="e">
        <f>VLOOKUP($D2351,설문!$C$2:$G$444,3,FALSE)</f>
        <v>#N/A</v>
      </c>
      <c r="G2351" s="8" t="e">
        <f>VLOOKUP($D2351,설문!$C$2:$G$444,4,FALSE)</f>
        <v>#N/A</v>
      </c>
      <c r="H2351" s="8" t="e">
        <f>VLOOKUP($D2351,설문!$C$2:$G$444,5,FALSE)</f>
        <v>#N/A</v>
      </c>
    </row>
    <row r="2352" spans="1:8">
      <c r="A2352" s="6" t="s">
        <v>200</v>
      </c>
      <c r="B2352" s="7" t="s">
        <v>201</v>
      </c>
      <c r="C2352" s="7" t="s">
        <v>202</v>
      </c>
      <c r="D2352" s="7" t="s">
        <v>5097</v>
      </c>
      <c r="E2352" s="6" t="s">
        <v>5098</v>
      </c>
      <c r="F2352" s="8" t="e">
        <f>VLOOKUP($D2352,설문!$C$2:$G$444,3,FALSE)</f>
        <v>#N/A</v>
      </c>
      <c r="G2352" s="8" t="e">
        <f>VLOOKUP($D2352,설문!$C$2:$G$444,4,FALSE)</f>
        <v>#N/A</v>
      </c>
      <c r="H2352" s="8" t="e">
        <f>VLOOKUP($D2352,설문!$C$2:$G$444,5,FALSE)</f>
        <v>#N/A</v>
      </c>
    </row>
    <row r="2353" spans="1:8">
      <c r="A2353" s="6" t="s">
        <v>51</v>
      </c>
      <c r="B2353" s="7" t="s">
        <v>52</v>
      </c>
      <c r="C2353" s="7" t="s">
        <v>52</v>
      </c>
      <c r="D2353" s="7" t="s">
        <v>53</v>
      </c>
      <c r="E2353" s="6" t="s">
        <v>54</v>
      </c>
      <c r="F2353" s="8" t="e">
        <f>VLOOKUP($D2353,설문!$C$2:$G$444,3,FALSE)</f>
        <v>#N/A</v>
      </c>
      <c r="G2353" s="8" t="e">
        <f>VLOOKUP($D2353,설문!$C$2:$G$444,4,FALSE)</f>
        <v>#N/A</v>
      </c>
      <c r="H2353" s="8" t="e">
        <f>VLOOKUP($D2353,설문!$C$2:$G$444,5,FALSE)</f>
        <v>#N/A</v>
      </c>
    </row>
    <row r="2354" spans="1:8">
      <c r="A2354" s="6" t="s">
        <v>51</v>
      </c>
      <c r="B2354" s="7" t="s">
        <v>96</v>
      </c>
      <c r="C2354" s="7" t="s">
        <v>96</v>
      </c>
      <c r="D2354" s="7" t="s">
        <v>97</v>
      </c>
      <c r="E2354" s="6" t="s">
        <v>98</v>
      </c>
      <c r="F2354" s="8" t="e">
        <f>VLOOKUP($D2354,설문!$C$2:$G$444,3,FALSE)</f>
        <v>#N/A</v>
      </c>
      <c r="G2354" s="8" t="e">
        <f>VLOOKUP($D2354,설문!$C$2:$G$444,4,FALSE)</f>
        <v>#N/A</v>
      </c>
      <c r="H2354" s="8" t="e">
        <f>VLOOKUP($D2354,설문!$C$2:$G$444,5,FALSE)</f>
        <v>#N/A</v>
      </c>
    </row>
    <row r="2355" spans="1:8">
      <c r="A2355" s="6" t="s">
        <v>51</v>
      </c>
      <c r="B2355" s="7" t="s">
        <v>278</v>
      </c>
      <c r="C2355" s="7" t="s">
        <v>278</v>
      </c>
      <c r="D2355" s="7" t="s">
        <v>279</v>
      </c>
      <c r="E2355" s="6" t="s">
        <v>280</v>
      </c>
      <c r="F2355" s="8" t="e">
        <f>VLOOKUP($D2355,설문!$C$2:$G$444,3,FALSE)</f>
        <v>#N/A</v>
      </c>
      <c r="G2355" s="8" t="e">
        <f>VLOOKUP($D2355,설문!$C$2:$G$444,4,FALSE)</f>
        <v>#N/A</v>
      </c>
      <c r="H2355" s="8" t="e">
        <f>VLOOKUP($D2355,설문!$C$2:$G$444,5,FALSE)</f>
        <v>#N/A</v>
      </c>
    </row>
    <row r="2356" spans="1:8">
      <c r="A2356" s="6" t="s">
        <v>51</v>
      </c>
      <c r="B2356" s="7" t="s">
        <v>350</v>
      </c>
      <c r="C2356" s="7" t="s">
        <v>350</v>
      </c>
      <c r="D2356" s="7" t="s">
        <v>351</v>
      </c>
      <c r="E2356" s="6" t="s">
        <v>352</v>
      </c>
      <c r="F2356" s="8" t="e">
        <f>VLOOKUP($D2356,설문!$C$2:$G$444,3,FALSE)</f>
        <v>#N/A</v>
      </c>
      <c r="G2356" s="8" t="e">
        <f>VLOOKUP($D2356,설문!$C$2:$G$444,4,FALSE)</f>
        <v>#N/A</v>
      </c>
      <c r="H2356" s="8" t="e">
        <f>VLOOKUP($D2356,설문!$C$2:$G$444,5,FALSE)</f>
        <v>#N/A</v>
      </c>
    </row>
    <row r="2357" spans="1:8">
      <c r="A2357" s="6" t="s">
        <v>51</v>
      </c>
      <c r="B2357" s="7" t="s">
        <v>350</v>
      </c>
      <c r="C2357" s="7" t="s">
        <v>350</v>
      </c>
      <c r="D2357" s="7" t="s">
        <v>353</v>
      </c>
      <c r="E2357" s="6" t="s">
        <v>354</v>
      </c>
      <c r="F2357" s="8" t="str">
        <f>VLOOKUP($D2357,설문!$C$2:$G$444,3,FALSE)</f>
        <v>트레이더,세일즈</v>
      </c>
      <c r="G2357" s="8" t="str">
        <f>VLOOKUP($D2357,설문!$C$2:$G$444,4,FALSE)</f>
        <v>금융회사</v>
      </c>
      <c r="H2357" s="8" t="str">
        <f>VLOOKUP($D2357,설문!$C$2:$G$444,5,FALSE)</f>
        <v>국고채/통안채,회사채,ELS/DLS</v>
      </c>
    </row>
    <row r="2358" spans="1:8">
      <c r="A2358" s="6" t="s">
        <v>51</v>
      </c>
      <c r="B2358" s="7" t="s">
        <v>149</v>
      </c>
      <c r="C2358" s="7" t="s">
        <v>149</v>
      </c>
      <c r="D2358" s="7" t="s">
        <v>370</v>
      </c>
      <c r="E2358" s="6" t="s">
        <v>371</v>
      </c>
      <c r="F2358" s="8" t="e">
        <f>VLOOKUP($D2358,설문!$C$2:$G$444,3,FALSE)</f>
        <v>#N/A</v>
      </c>
      <c r="G2358" s="8" t="e">
        <f>VLOOKUP($D2358,설문!$C$2:$G$444,4,FALSE)</f>
        <v>#N/A</v>
      </c>
      <c r="H2358" s="8" t="e">
        <f>VLOOKUP($D2358,설문!$C$2:$G$444,5,FALSE)</f>
        <v>#N/A</v>
      </c>
    </row>
    <row r="2359" spans="1:8">
      <c r="A2359" s="6" t="s">
        <v>51</v>
      </c>
      <c r="B2359" s="7" t="s">
        <v>278</v>
      </c>
      <c r="C2359" s="7" t="s">
        <v>278</v>
      </c>
      <c r="D2359" s="7" t="s">
        <v>408</v>
      </c>
      <c r="E2359" s="6" t="s">
        <v>409</v>
      </c>
      <c r="F2359" s="8" t="str">
        <f>VLOOKUP($D2359,설문!$C$2:$G$444,3,FALSE)</f>
        <v>펀드매니저</v>
      </c>
      <c r="G2359" s="8" t="str">
        <f>VLOOKUP($D2359,설문!$C$2:$G$444,4,FALSE)</f>
        <v>금융회사,일반기업고객,개인고객</v>
      </c>
      <c r="H2359" s="8" t="str">
        <f>VLOOKUP($D2359,설문!$C$2:$G$444,5,FALSE)</f>
        <v>회사채</v>
      </c>
    </row>
    <row r="2360" spans="1:8">
      <c r="A2360" s="6" t="s">
        <v>51</v>
      </c>
      <c r="B2360" s="7" t="s">
        <v>278</v>
      </c>
      <c r="C2360" s="7" t="s">
        <v>278</v>
      </c>
      <c r="D2360" s="7" t="s">
        <v>432</v>
      </c>
      <c r="E2360" s="6" t="s">
        <v>433</v>
      </c>
      <c r="F2360" s="8" t="e">
        <f>VLOOKUP($D2360,설문!$C$2:$G$444,3,FALSE)</f>
        <v>#N/A</v>
      </c>
      <c r="G2360" s="8" t="e">
        <f>VLOOKUP($D2360,설문!$C$2:$G$444,4,FALSE)</f>
        <v>#N/A</v>
      </c>
      <c r="H2360" s="8" t="e">
        <f>VLOOKUP($D2360,설문!$C$2:$G$444,5,FALSE)</f>
        <v>#N/A</v>
      </c>
    </row>
    <row r="2361" spans="1:8">
      <c r="A2361" s="6" t="s">
        <v>51</v>
      </c>
      <c r="B2361" s="7" t="s">
        <v>149</v>
      </c>
      <c r="C2361" s="7" t="s">
        <v>149</v>
      </c>
      <c r="D2361" s="7" t="s">
        <v>461</v>
      </c>
      <c r="E2361" s="6" t="s">
        <v>462</v>
      </c>
      <c r="F2361" s="8" t="e">
        <f>VLOOKUP($D2361,설문!$C$2:$G$444,3,FALSE)</f>
        <v>#N/A</v>
      </c>
      <c r="G2361" s="8" t="e">
        <f>VLOOKUP($D2361,설문!$C$2:$G$444,4,FALSE)</f>
        <v>#N/A</v>
      </c>
      <c r="H2361" s="8" t="e">
        <f>VLOOKUP($D2361,설문!$C$2:$G$444,5,FALSE)</f>
        <v>#N/A</v>
      </c>
    </row>
    <row r="2362" spans="1:8">
      <c r="A2362" s="6" t="s">
        <v>51</v>
      </c>
      <c r="B2362" s="7" t="s">
        <v>149</v>
      </c>
      <c r="C2362" s="7" t="s">
        <v>149</v>
      </c>
      <c r="D2362" s="7" t="s">
        <v>463</v>
      </c>
      <c r="E2362" s="6" t="s">
        <v>464</v>
      </c>
      <c r="F2362" s="8" t="e">
        <f>VLOOKUP($D2362,설문!$C$2:$G$444,3,FALSE)</f>
        <v>#N/A</v>
      </c>
      <c r="G2362" s="8" t="e">
        <f>VLOOKUP($D2362,설문!$C$2:$G$444,4,FALSE)</f>
        <v>#N/A</v>
      </c>
      <c r="H2362" s="8" t="e">
        <f>VLOOKUP($D2362,설문!$C$2:$G$444,5,FALSE)</f>
        <v>#N/A</v>
      </c>
    </row>
    <row r="2363" spans="1:8">
      <c r="A2363" s="6" t="s">
        <v>51</v>
      </c>
      <c r="B2363" s="7" t="s">
        <v>149</v>
      </c>
      <c r="C2363" s="7" t="s">
        <v>149</v>
      </c>
      <c r="D2363" s="7" t="s">
        <v>465</v>
      </c>
      <c r="E2363" s="6" t="s">
        <v>466</v>
      </c>
      <c r="F2363" s="8" t="e">
        <f>VLOOKUP($D2363,설문!$C$2:$G$444,3,FALSE)</f>
        <v>#N/A</v>
      </c>
      <c r="G2363" s="8" t="e">
        <f>VLOOKUP($D2363,설문!$C$2:$G$444,4,FALSE)</f>
        <v>#N/A</v>
      </c>
      <c r="H2363" s="8" t="e">
        <f>VLOOKUP($D2363,설문!$C$2:$G$444,5,FALSE)</f>
        <v>#N/A</v>
      </c>
    </row>
    <row r="2364" spans="1:8">
      <c r="A2364" s="6" t="s">
        <v>51</v>
      </c>
      <c r="B2364" s="7" t="s">
        <v>149</v>
      </c>
      <c r="C2364" s="7" t="s">
        <v>149</v>
      </c>
      <c r="D2364" s="7" t="s">
        <v>467</v>
      </c>
      <c r="E2364" s="6" t="s">
        <v>468</v>
      </c>
      <c r="F2364" s="8" t="str">
        <f>VLOOKUP($D2364,설문!$C$2:$G$444,3,FALSE)</f>
        <v>세일즈,브로커</v>
      </c>
      <c r="G2364" s="8" t="str">
        <f>VLOOKUP($D2364,설문!$C$2:$G$444,4,FALSE)</f>
        <v>금융회사,금융 유관기관</v>
      </c>
      <c r="H2364" s="8" t="str">
        <f>VLOOKUP($D2364,설문!$C$2:$G$444,5,FALSE)</f>
        <v>국고채/통안채,회사채,단기자금,국채선물,원화 구조화채권</v>
      </c>
    </row>
    <row r="2365" spans="1:8">
      <c r="A2365" s="6" t="s">
        <v>51</v>
      </c>
      <c r="B2365" s="7" t="s">
        <v>149</v>
      </c>
      <c r="C2365" s="7" t="s">
        <v>149</v>
      </c>
      <c r="D2365" s="7" t="s">
        <v>469</v>
      </c>
      <c r="E2365" s="6" t="s">
        <v>470</v>
      </c>
      <c r="F2365" s="8" t="e">
        <f>VLOOKUP($D2365,설문!$C$2:$G$444,3,FALSE)</f>
        <v>#N/A</v>
      </c>
      <c r="G2365" s="8" t="e">
        <f>VLOOKUP($D2365,설문!$C$2:$G$444,4,FALSE)</f>
        <v>#N/A</v>
      </c>
      <c r="H2365" s="8" t="e">
        <f>VLOOKUP($D2365,설문!$C$2:$G$444,5,FALSE)</f>
        <v>#N/A</v>
      </c>
    </row>
    <row r="2366" spans="1:8">
      <c r="A2366" s="6" t="s">
        <v>51</v>
      </c>
      <c r="B2366" s="7" t="s">
        <v>149</v>
      </c>
      <c r="C2366" s="7" t="s">
        <v>149</v>
      </c>
      <c r="D2366" s="7" t="s">
        <v>471</v>
      </c>
      <c r="E2366" s="6" t="s">
        <v>472</v>
      </c>
      <c r="F2366" s="8" t="e">
        <f>VLOOKUP($D2366,설문!$C$2:$G$444,3,FALSE)</f>
        <v>#N/A</v>
      </c>
      <c r="G2366" s="8" t="e">
        <f>VLOOKUP($D2366,설문!$C$2:$G$444,4,FALSE)</f>
        <v>#N/A</v>
      </c>
      <c r="H2366" s="8" t="e">
        <f>VLOOKUP($D2366,설문!$C$2:$G$444,5,FALSE)</f>
        <v>#N/A</v>
      </c>
    </row>
    <row r="2367" spans="1:8">
      <c r="A2367" s="6" t="s">
        <v>51</v>
      </c>
      <c r="B2367" s="7" t="s">
        <v>491</v>
      </c>
      <c r="C2367" s="7" t="s">
        <v>491</v>
      </c>
      <c r="D2367" s="7" t="s">
        <v>492</v>
      </c>
      <c r="E2367" s="6" t="s">
        <v>222</v>
      </c>
      <c r="F2367" s="8" t="e">
        <f>VLOOKUP($D2367,설문!$C$2:$G$444,3,FALSE)</f>
        <v>#N/A</v>
      </c>
      <c r="G2367" s="8" t="e">
        <f>VLOOKUP($D2367,설문!$C$2:$G$444,4,FALSE)</f>
        <v>#N/A</v>
      </c>
      <c r="H2367" s="8" t="e">
        <f>VLOOKUP($D2367,설문!$C$2:$G$444,5,FALSE)</f>
        <v>#N/A</v>
      </c>
    </row>
    <row r="2368" spans="1:8">
      <c r="A2368" s="6" t="s">
        <v>51</v>
      </c>
      <c r="B2368" s="7" t="s">
        <v>620</v>
      </c>
      <c r="C2368" s="7" t="s">
        <v>491</v>
      </c>
      <c r="D2368" s="7" t="s">
        <v>621</v>
      </c>
      <c r="E2368" s="6" t="s">
        <v>622</v>
      </c>
      <c r="F2368" s="8" t="e">
        <f>VLOOKUP($D2368,설문!$C$2:$G$444,3,FALSE)</f>
        <v>#N/A</v>
      </c>
      <c r="G2368" s="8" t="e">
        <f>VLOOKUP($D2368,설문!$C$2:$G$444,4,FALSE)</f>
        <v>#N/A</v>
      </c>
      <c r="H2368" s="8" t="e">
        <f>VLOOKUP($D2368,설문!$C$2:$G$444,5,FALSE)</f>
        <v>#N/A</v>
      </c>
    </row>
    <row r="2369" spans="1:8">
      <c r="A2369" s="6" t="s">
        <v>51</v>
      </c>
      <c r="B2369" s="7" t="s">
        <v>647</v>
      </c>
      <c r="C2369" s="7" t="s">
        <v>647</v>
      </c>
      <c r="D2369" s="7" t="s">
        <v>648</v>
      </c>
      <c r="E2369" s="6" t="s">
        <v>649</v>
      </c>
      <c r="F2369" s="8" t="e">
        <f>VLOOKUP($D2369,설문!$C$2:$G$444,3,FALSE)</f>
        <v>#N/A</v>
      </c>
      <c r="G2369" s="8" t="e">
        <f>VLOOKUP($D2369,설문!$C$2:$G$444,4,FALSE)</f>
        <v>#N/A</v>
      </c>
      <c r="H2369" s="8" t="e">
        <f>VLOOKUP($D2369,설문!$C$2:$G$444,5,FALSE)</f>
        <v>#N/A</v>
      </c>
    </row>
    <row r="2370" spans="1:8">
      <c r="A2370" s="6" t="s">
        <v>51</v>
      </c>
      <c r="B2370" s="7" t="s">
        <v>647</v>
      </c>
      <c r="C2370" s="7" t="s">
        <v>647</v>
      </c>
      <c r="D2370" s="7" t="s">
        <v>716</v>
      </c>
      <c r="E2370" s="6" t="s">
        <v>717</v>
      </c>
      <c r="F2370" s="8" t="e">
        <f>VLOOKUP($D2370,설문!$C$2:$G$444,3,FALSE)</f>
        <v>#N/A</v>
      </c>
      <c r="G2370" s="8" t="e">
        <f>VLOOKUP($D2370,설문!$C$2:$G$444,4,FALSE)</f>
        <v>#N/A</v>
      </c>
      <c r="H2370" s="8" t="e">
        <f>VLOOKUP($D2370,설문!$C$2:$G$444,5,FALSE)</f>
        <v>#N/A</v>
      </c>
    </row>
    <row r="2371" spans="1:8">
      <c r="A2371" s="6" t="s">
        <v>51</v>
      </c>
      <c r="B2371" s="7" t="s">
        <v>78</v>
      </c>
      <c r="C2371" s="7" t="s">
        <v>78</v>
      </c>
      <c r="D2371" s="7" t="s">
        <v>824</v>
      </c>
      <c r="E2371" s="6" t="s">
        <v>825</v>
      </c>
      <c r="F2371" s="8" t="e">
        <f>VLOOKUP($D2371,설문!$C$2:$G$444,3,FALSE)</f>
        <v>#N/A</v>
      </c>
      <c r="G2371" s="8" t="e">
        <f>VLOOKUP($D2371,설문!$C$2:$G$444,4,FALSE)</f>
        <v>#N/A</v>
      </c>
      <c r="H2371" s="8" t="e">
        <f>VLOOKUP($D2371,설문!$C$2:$G$444,5,FALSE)</f>
        <v>#N/A</v>
      </c>
    </row>
    <row r="2372" spans="1:8">
      <c r="A2372" s="6" t="s">
        <v>51</v>
      </c>
      <c r="B2372" s="7" t="s">
        <v>458</v>
      </c>
      <c r="C2372" s="7" t="s">
        <v>1041</v>
      </c>
      <c r="D2372" s="7" t="s">
        <v>1042</v>
      </c>
      <c r="E2372" s="6" t="s">
        <v>1043</v>
      </c>
      <c r="F2372" s="8" t="e">
        <f>VLOOKUP($D2372,설문!$C$2:$G$444,3,FALSE)</f>
        <v>#N/A</v>
      </c>
      <c r="G2372" s="8" t="e">
        <f>VLOOKUP($D2372,설문!$C$2:$G$444,4,FALSE)</f>
        <v>#N/A</v>
      </c>
      <c r="H2372" s="8" t="e">
        <f>VLOOKUP($D2372,설문!$C$2:$G$444,5,FALSE)</f>
        <v>#N/A</v>
      </c>
    </row>
    <row r="2373" spans="1:8">
      <c r="A2373" s="6" t="s">
        <v>51</v>
      </c>
      <c r="B2373" s="7" t="s">
        <v>898</v>
      </c>
      <c r="C2373" s="7" t="s">
        <v>898</v>
      </c>
      <c r="D2373" s="7" t="s">
        <v>1265</v>
      </c>
      <c r="E2373" s="6" t="s">
        <v>1266</v>
      </c>
      <c r="F2373" s="8" t="e">
        <f>VLOOKUP($D2373,설문!$C$2:$G$444,3,FALSE)</f>
        <v>#N/A</v>
      </c>
      <c r="G2373" s="8" t="e">
        <f>VLOOKUP($D2373,설문!$C$2:$G$444,4,FALSE)</f>
        <v>#N/A</v>
      </c>
      <c r="H2373" s="8" t="e">
        <f>VLOOKUP($D2373,설문!$C$2:$G$444,5,FALSE)</f>
        <v>#N/A</v>
      </c>
    </row>
    <row r="2374" spans="1:8">
      <c r="A2374" s="6" t="s">
        <v>51</v>
      </c>
      <c r="B2374" s="7" t="s">
        <v>1308</v>
      </c>
      <c r="C2374" s="7" t="s">
        <v>1308</v>
      </c>
      <c r="D2374" s="7" t="s">
        <v>1309</v>
      </c>
      <c r="E2374" s="6" t="s">
        <v>1310</v>
      </c>
      <c r="F2374" s="8" t="e">
        <f>VLOOKUP($D2374,설문!$C$2:$G$444,3,FALSE)</f>
        <v>#N/A</v>
      </c>
      <c r="G2374" s="8" t="e">
        <f>VLOOKUP($D2374,설문!$C$2:$G$444,4,FALSE)</f>
        <v>#N/A</v>
      </c>
      <c r="H2374" s="8" t="e">
        <f>VLOOKUP($D2374,설문!$C$2:$G$444,5,FALSE)</f>
        <v>#N/A</v>
      </c>
    </row>
    <row r="2375" spans="1:8">
      <c r="A2375" s="6" t="s">
        <v>51</v>
      </c>
      <c r="B2375" s="7" t="s">
        <v>74</v>
      </c>
      <c r="C2375" s="7" t="s">
        <v>74</v>
      </c>
      <c r="D2375" s="7" t="s">
        <v>1326</v>
      </c>
      <c r="E2375" s="6" t="s">
        <v>1327</v>
      </c>
      <c r="F2375" s="8" t="e">
        <f>VLOOKUP($D2375,설문!$C$2:$G$444,3,FALSE)</f>
        <v>#N/A</v>
      </c>
      <c r="G2375" s="8" t="e">
        <f>VLOOKUP($D2375,설문!$C$2:$G$444,4,FALSE)</f>
        <v>#N/A</v>
      </c>
      <c r="H2375" s="8" t="e">
        <f>VLOOKUP($D2375,설문!$C$2:$G$444,5,FALSE)</f>
        <v>#N/A</v>
      </c>
    </row>
    <row r="2376" spans="1:8">
      <c r="A2376" s="6" t="s">
        <v>51</v>
      </c>
      <c r="B2376" s="7" t="s">
        <v>74</v>
      </c>
      <c r="C2376" s="7" t="s">
        <v>74</v>
      </c>
      <c r="D2376" s="7" t="s">
        <v>1328</v>
      </c>
      <c r="E2376" s="6" t="s">
        <v>1329</v>
      </c>
      <c r="F2376" s="8" t="e">
        <f>VLOOKUP($D2376,설문!$C$2:$G$444,3,FALSE)</f>
        <v>#N/A</v>
      </c>
      <c r="G2376" s="8" t="e">
        <f>VLOOKUP($D2376,설문!$C$2:$G$444,4,FALSE)</f>
        <v>#N/A</v>
      </c>
      <c r="H2376" s="8" t="e">
        <f>VLOOKUP($D2376,설문!$C$2:$G$444,5,FALSE)</f>
        <v>#N/A</v>
      </c>
    </row>
    <row r="2377" spans="1:8">
      <c r="A2377" s="6" t="s">
        <v>51</v>
      </c>
      <c r="B2377" s="7" t="s">
        <v>74</v>
      </c>
      <c r="C2377" s="7" t="s">
        <v>146</v>
      </c>
      <c r="D2377" s="7" t="s">
        <v>1330</v>
      </c>
      <c r="E2377" s="6" t="s">
        <v>1331</v>
      </c>
      <c r="F2377" s="8" t="e">
        <f>VLOOKUP($D2377,설문!$C$2:$G$444,3,FALSE)</f>
        <v>#N/A</v>
      </c>
      <c r="G2377" s="8" t="e">
        <f>VLOOKUP($D2377,설문!$C$2:$G$444,4,FALSE)</f>
        <v>#N/A</v>
      </c>
      <c r="H2377" s="8" t="e">
        <f>VLOOKUP($D2377,설문!$C$2:$G$444,5,FALSE)</f>
        <v>#N/A</v>
      </c>
    </row>
    <row r="2378" spans="1:8">
      <c r="A2378" s="6" t="s">
        <v>51</v>
      </c>
      <c r="B2378" s="7" t="s">
        <v>647</v>
      </c>
      <c r="C2378" s="7" t="s">
        <v>647</v>
      </c>
      <c r="D2378" s="7" t="s">
        <v>1350</v>
      </c>
      <c r="E2378" s="6" t="s">
        <v>1351</v>
      </c>
      <c r="F2378" s="8" t="e">
        <f>VLOOKUP($D2378,설문!$C$2:$G$444,3,FALSE)</f>
        <v>#N/A</v>
      </c>
      <c r="G2378" s="8" t="e">
        <f>VLOOKUP($D2378,설문!$C$2:$G$444,4,FALSE)</f>
        <v>#N/A</v>
      </c>
      <c r="H2378" s="8" t="e">
        <f>VLOOKUP($D2378,설문!$C$2:$G$444,5,FALSE)</f>
        <v>#N/A</v>
      </c>
    </row>
    <row r="2379" spans="1:8">
      <c r="A2379" s="6" t="s">
        <v>51</v>
      </c>
      <c r="B2379" s="7" t="s">
        <v>78</v>
      </c>
      <c r="C2379" s="7" t="s">
        <v>78</v>
      </c>
      <c r="D2379" s="7" t="s">
        <v>1577</v>
      </c>
      <c r="E2379" s="6" t="s">
        <v>1578</v>
      </c>
      <c r="F2379" s="8" t="e">
        <f>VLOOKUP($D2379,설문!$C$2:$G$444,3,FALSE)</f>
        <v>#N/A</v>
      </c>
      <c r="G2379" s="8" t="e">
        <f>VLOOKUP($D2379,설문!$C$2:$G$444,4,FALSE)</f>
        <v>#N/A</v>
      </c>
      <c r="H2379" s="8" t="e">
        <f>VLOOKUP($D2379,설문!$C$2:$G$444,5,FALSE)</f>
        <v>#N/A</v>
      </c>
    </row>
    <row r="2380" spans="1:8">
      <c r="A2380" s="6" t="s">
        <v>51</v>
      </c>
      <c r="B2380" s="7" t="s">
        <v>78</v>
      </c>
      <c r="C2380" s="7" t="s">
        <v>78</v>
      </c>
      <c r="D2380" s="7" t="s">
        <v>1749</v>
      </c>
      <c r="E2380" s="6" t="s">
        <v>1750</v>
      </c>
      <c r="F2380" s="8" t="e">
        <f>VLOOKUP($D2380,설문!$C$2:$G$444,3,FALSE)</f>
        <v>#N/A</v>
      </c>
      <c r="G2380" s="8" t="e">
        <f>VLOOKUP($D2380,설문!$C$2:$G$444,4,FALSE)</f>
        <v>#N/A</v>
      </c>
      <c r="H2380" s="8" t="e">
        <f>VLOOKUP($D2380,설문!$C$2:$G$444,5,FALSE)</f>
        <v>#N/A</v>
      </c>
    </row>
    <row r="2381" spans="1:8">
      <c r="A2381" s="6" t="s">
        <v>51</v>
      </c>
      <c r="B2381" s="7" t="s">
        <v>898</v>
      </c>
      <c r="C2381" s="7" t="s">
        <v>365</v>
      </c>
      <c r="D2381" s="7" t="s">
        <v>1751</v>
      </c>
      <c r="E2381" s="6" t="s">
        <v>1752</v>
      </c>
      <c r="F2381" s="8" t="e">
        <f>VLOOKUP($D2381,설문!$C$2:$G$444,3,FALSE)</f>
        <v>#N/A</v>
      </c>
      <c r="G2381" s="8" t="e">
        <f>VLOOKUP($D2381,설문!$C$2:$G$444,4,FALSE)</f>
        <v>#N/A</v>
      </c>
      <c r="H2381" s="8" t="e">
        <f>VLOOKUP($D2381,설문!$C$2:$G$444,5,FALSE)</f>
        <v>#N/A</v>
      </c>
    </row>
    <row r="2382" spans="1:8">
      <c r="A2382" s="6" t="s">
        <v>51</v>
      </c>
      <c r="B2382" s="7" t="s">
        <v>898</v>
      </c>
      <c r="C2382" s="7" t="s">
        <v>898</v>
      </c>
      <c r="D2382" s="7" t="s">
        <v>1899</v>
      </c>
      <c r="E2382" s="6" t="s">
        <v>1900</v>
      </c>
      <c r="F2382" s="8" t="e">
        <f>VLOOKUP($D2382,설문!$C$2:$G$444,3,FALSE)</f>
        <v>#N/A</v>
      </c>
      <c r="G2382" s="8" t="e">
        <f>VLOOKUP($D2382,설문!$C$2:$G$444,4,FALSE)</f>
        <v>#N/A</v>
      </c>
      <c r="H2382" s="8" t="e">
        <f>VLOOKUP($D2382,설문!$C$2:$G$444,5,FALSE)</f>
        <v>#N/A</v>
      </c>
    </row>
    <row r="2383" spans="1:8">
      <c r="A2383" s="6" t="s">
        <v>51</v>
      </c>
      <c r="B2383" s="7" t="s">
        <v>898</v>
      </c>
      <c r="C2383" s="7" t="s">
        <v>898</v>
      </c>
      <c r="D2383" s="7" t="s">
        <v>1907</v>
      </c>
      <c r="E2383" s="6" t="s">
        <v>1908</v>
      </c>
      <c r="F2383" s="8" t="str">
        <f>VLOOKUP($D2383,설문!$C$2:$G$444,3,FALSE)</f>
        <v>브로커</v>
      </c>
      <c r="G2383" s="8" t="str">
        <f>VLOOKUP($D2383,설문!$C$2:$G$444,4,FALSE)</f>
        <v>금융회사</v>
      </c>
      <c r="H2383" s="8" t="str">
        <f>VLOOKUP($D2383,설문!$C$2:$G$444,5,FALSE)</f>
        <v>국고채/통안채</v>
      </c>
    </row>
    <row r="2384" spans="1:8">
      <c r="A2384" s="6" t="s">
        <v>51</v>
      </c>
      <c r="B2384" s="7" t="s">
        <v>350</v>
      </c>
      <c r="C2384" s="7" t="s">
        <v>350</v>
      </c>
      <c r="D2384" s="7" t="s">
        <v>1933</v>
      </c>
      <c r="E2384" s="6" t="s">
        <v>1934</v>
      </c>
      <c r="F2384" s="8" t="e">
        <f>VLOOKUP($D2384,설문!$C$2:$G$444,3,FALSE)</f>
        <v>#N/A</v>
      </c>
      <c r="G2384" s="8" t="e">
        <f>VLOOKUP($D2384,설문!$C$2:$G$444,4,FALSE)</f>
        <v>#N/A</v>
      </c>
      <c r="H2384" s="8" t="e">
        <f>VLOOKUP($D2384,설문!$C$2:$G$444,5,FALSE)</f>
        <v>#N/A</v>
      </c>
    </row>
    <row r="2385" spans="1:8">
      <c r="A2385" s="6" t="s">
        <v>51</v>
      </c>
      <c r="B2385" s="7" t="s">
        <v>5441</v>
      </c>
      <c r="C2385" s="7" t="s">
        <v>5441</v>
      </c>
      <c r="D2385" s="7" t="s">
        <v>5442</v>
      </c>
      <c r="E2385" s="6" t="s">
        <v>5443</v>
      </c>
      <c r="F2385" s="8" t="e">
        <f>VLOOKUP($D2385,설문!$C$2:$G$444,3,FALSE)</f>
        <v>#N/A</v>
      </c>
      <c r="G2385" s="8" t="e">
        <f>VLOOKUP($D2385,설문!$C$2:$G$444,4,FALSE)</f>
        <v>#N/A</v>
      </c>
      <c r="H2385" s="8" t="e">
        <f>VLOOKUP($D2385,설문!$C$2:$G$444,5,FALSE)</f>
        <v>#N/A</v>
      </c>
    </row>
    <row r="2386" spans="1:8">
      <c r="A2386" s="6" t="s">
        <v>51</v>
      </c>
      <c r="B2386" s="7" t="s">
        <v>5444</v>
      </c>
      <c r="C2386" s="7" t="s">
        <v>5444</v>
      </c>
      <c r="D2386" s="7" t="s">
        <v>5445</v>
      </c>
      <c r="E2386" s="6" t="s">
        <v>5446</v>
      </c>
      <c r="F2386" s="8" t="e">
        <f>VLOOKUP($D2386,설문!$C$2:$G$444,3,FALSE)</f>
        <v>#N/A</v>
      </c>
      <c r="G2386" s="8" t="e">
        <f>VLOOKUP($D2386,설문!$C$2:$G$444,4,FALSE)</f>
        <v>#N/A</v>
      </c>
      <c r="H2386" s="8" t="e">
        <f>VLOOKUP($D2386,설문!$C$2:$G$444,5,FALSE)</f>
        <v>#N/A</v>
      </c>
    </row>
    <row r="2387" spans="1:8">
      <c r="A2387" s="6" t="s">
        <v>51</v>
      </c>
      <c r="B2387" s="7" t="s">
        <v>5447</v>
      </c>
      <c r="C2387" s="7" t="s">
        <v>5447</v>
      </c>
      <c r="D2387" s="7" t="s">
        <v>5448</v>
      </c>
      <c r="E2387" s="6" t="s">
        <v>5449</v>
      </c>
      <c r="F2387" s="8" t="e">
        <f>VLOOKUP($D2387,설문!$C$2:$G$444,3,FALSE)</f>
        <v>#N/A</v>
      </c>
      <c r="G2387" s="8" t="e">
        <f>VLOOKUP($D2387,설문!$C$2:$G$444,4,FALSE)</f>
        <v>#N/A</v>
      </c>
      <c r="H2387" s="8" t="e">
        <f>VLOOKUP($D2387,설문!$C$2:$G$444,5,FALSE)</f>
        <v>#N/A</v>
      </c>
    </row>
    <row r="2388" spans="1:8">
      <c r="A2388" s="6" t="s">
        <v>51</v>
      </c>
      <c r="B2388" s="7" t="s">
        <v>898</v>
      </c>
      <c r="C2388" s="7" t="s">
        <v>898</v>
      </c>
      <c r="D2388" s="7" t="s">
        <v>5454</v>
      </c>
      <c r="E2388" s="6" t="s">
        <v>5455</v>
      </c>
      <c r="F2388" s="8" t="e">
        <f>VLOOKUP($D2388,설문!$C$2:$G$444,3,FALSE)</f>
        <v>#N/A</v>
      </c>
      <c r="G2388" s="8" t="e">
        <f>VLOOKUP($D2388,설문!$C$2:$G$444,4,FALSE)</f>
        <v>#N/A</v>
      </c>
      <c r="H2388" s="8" t="e">
        <f>VLOOKUP($D2388,설문!$C$2:$G$444,5,FALSE)</f>
        <v>#N/A</v>
      </c>
    </row>
    <row r="2389" spans="1:8">
      <c r="A2389" s="6" t="s">
        <v>51</v>
      </c>
      <c r="B2389" s="7" t="s">
        <v>898</v>
      </c>
      <c r="C2389" s="7" t="s">
        <v>898</v>
      </c>
      <c r="D2389" s="7" t="s">
        <v>5456</v>
      </c>
      <c r="E2389" s="6" t="s">
        <v>5457</v>
      </c>
      <c r="F2389" s="8" t="e">
        <f>VLOOKUP($D2389,설문!$C$2:$G$444,3,FALSE)</f>
        <v>#N/A</v>
      </c>
      <c r="G2389" s="8" t="e">
        <f>VLOOKUP($D2389,설문!$C$2:$G$444,4,FALSE)</f>
        <v>#N/A</v>
      </c>
      <c r="H2389" s="8" t="e">
        <f>VLOOKUP($D2389,설문!$C$2:$G$444,5,FALSE)</f>
        <v>#N/A</v>
      </c>
    </row>
    <row r="2390" spans="1:8">
      <c r="A2390" s="6" t="s">
        <v>51</v>
      </c>
      <c r="B2390" s="7" t="s">
        <v>898</v>
      </c>
      <c r="C2390" s="7" t="s">
        <v>898</v>
      </c>
      <c r="D2390" s="7" t="s">
        <v>5458</v>
      </c>
      <c r="E2390" s="6" t="s">
        <v>5459</v>
      </c>
      <c r="F2390" s="8" t="e">
        <f>VLOOKUP($D2390,설문!$C$2:$G$444,3,FALSE)</f>
        <v>#N/A</v>
      </c>
      <c r="G2390" s="8" t="e">
        <f>VLOOKUP($D2390,설문!$C$2:$G$444,4,FALSE)</f>
        <v>#N/A</v>
      </c>
      <c r="H2390" s="8" t="e">
        <f>VLOOKUP($D2390,설문!$C$2:$G$444,5,FALSE)</f>
        <v>#N/A</v>
      </c>
    </row>
    <row r="2391" spans="1:8">
      <c r="A2391" s="6" t="s">
        <v>51</v>
      </c>
      <c r="B2391" s="7" t="s">
        <v>898</v>
      </c>
      <c r="C2391" s="7" t="s">
        <v>898</v>
      </c>
      <c r="D2391" s="7" t="s">
        <v>5460</v>
      </c>
      <c r="E2391" s="6" t="s">
        <v>5461</v>
      </c>
      <c r="F2391" s="8" t="e">
        <f>VLOOKUP($D2391,설문!$C$2:$G$444,3,FALSE)</f>
        <v>#N/A</v>
      </c>
      <c r="G2391" s="8" t="e">
        <f>VLOOKUP($D2391,설문!$C$2:$G$444,4,FALSE)</f>
        <v>#N/A</v>
      </c>
      <c r="H2391" s="8" t="e">
        <f>VLOOKUP($D2391,설문!$C$2:$G$444,5,FALSE)</f>
        <v>#N/A</v>
      </c>
    </row>
    <row r="2392" spans="1:8">
      <c r="A2392" s="6" t="s">
        <v>51</v>
      </c>
      <c r="B2392" s="7" t="s">
        <v>898</v>
      </c>
      <c r="C2392" s="7" t="s">
        <v>898</v>
      </c>
      <c r="D2392" s="7" t="s">
        <v>5462</v>
      </c>
      <c r="E2392" s="6" t="s">
        <v>5463</v>
      </c>
      <c r="F2392" s="8" t="e">
        <f>VLOOKUP($D2392,설문!$C$2:$G$444,3,FALSE)</f>
        <v>#N/A</v>
      </c>
      <c r="G2392" s="8" t="e">
        <f>VLOOKUP($D2392,설문!$C$2:$G$444,4,FALSE)</f>
        <v>#N/A</v>
      </c>
      <c r="H2392" s="8" t="e">
        <f>VLOOKUP($D2392,설문!$C$2:$G$444,5,FALSE)</f>
        <v>#N/A</v>
      </c>
    </row>
    <row r="2393" spans="1:8">
      <c r="A2393" s="6" t="s">
        <v>51</v>
      </c>
      <c r="B2393" s="7" t="s">
        <v>898</v>
      </c>
      <c r="C2393" s="7" t="s">
        <v>898</v>
      </c>
      <c r="D2393" s="7" t="s">
        <v>5464</v>
      </c>
      <c r="E2393" s="6" t="s">
        <v>5465</v>
      </c>
      <c r="F2393" s="8" t="e">
        <f>VLOOKUP($D2393,설문!$C$2:$G$444,3,FALSE)</f>
        <v>#N/A</v>
      </c>
      <c r="G2393" s="8" t="e">
        <f>VLOOKUP($D2393,설문!$C$2:$G$444,4,FALSE)</f>
        <v>#N/A</v>
      </c>
      <c r="H2393" s="8" t="e">
        <f>VLOOKUP($D2393,설문!$C$2:$G$444,5,FALSE)</f>
        <v>#N/A</v>
      </c>
    </row>
    <row r="2394" spans="1:8">
      <c r="A2394" s="6" t="s">
        <v>51</v>
      </c>
      <c r="B2394" s="7" t="s">
        <v>4716</v>
      </c>
      <c r="C2394" s="7" t="s">
        <v>3037</v>
      </c>
      <c r="D2394" s="7" t="s">
        <v>5466</v>
      </c>
      <c r="E2394" s="6" t="s">
        <v>273</v>
      </c>
      <c r="F2394" s="8" t="e">
        <f>VLOOKUP($D2394,설문!$C$2:$G$444,3,FALSE)</f>
        <v>#N/A</v>
      </c>
      <c r="G2394" s="8" t="e">
        <f>VLOOKUP($D2394,설문!$C$2:$G$444,4,FALSE)</f>
        <v>#N/A</v>
      </c>
      <c r="H2394" s="8" t="e">
        <f>VLOOKUP($D2394,설문!$C$2:$G$444,5,FALSE)</f>
        <v>#N/A</v>
      </c>
    </row>
    <row r="2395" spans="1:8">
      <c r="A2395" s="6" t="s">
        <v>51</v>
      </c>
      <c r="B2395" s="7" t="s">
        <v>3037</v>
      </c>
      <c r="C2395" s="7" t="s">
        <v>3037</v>
      </c>
      <c r="D2395" s="7" t="s">
        <v>5467</v>
      </c>
      <c r="E2395" s="6" t="s">
        <v>3623</v>
      </c>
      <c r="F2395" s="8" t="e">
        <f>VLOOKUP($D2395,설문!$C$2:$G$444,3,FALSE)</f>
        <v>#N/A</v>
      </c>
      <c r="G2395" s="8" t="e">
        <f>VLOOKUP($D2395,설문!$C$2:$G$444,4,FALSE)</f>
        <v>#N/A</v>
      </c>
      <c r="H2395" s="8" t="e">
        <f>VLOOKUP($D2395,설문!$C$2:$G$444,5,FALSE)</f>
        <v>#N/A</v>
      </c>
    </row>
    <row r="2396" spans="1:8">
      <c r="A2396" s="6" t="s">
        <v>51</v>
      </c>
      <c r="B2396" s="7" t="s">
        <v>458</v>
      </c>
      <c r="C2396" s="7" t="s">
        <v>458</v>
      </c>
      <c r="D2396" s="7" t="s">
        <v>5468</v>
      </c>
      <c r="E2396" s="6" t="s">
        <v>5469</v>
      </c>
      <c r="F2396" s="8" t="e">
        <f>VLOOKUP($D2396,설문!$C$2:$G$444,3,FALSE)</f>
        <v>#N/A</v>
      </c>
      <c r="G2396" s="8" t="e">
        <f>VLOOKUP($D2396,설문!$C$2:$G$444,4,FALSE)</f>
        <v>#N/A</v>
      </c>
      <c r="H2396" s="8" t="e">
        <f>VLOOKUP($D2396,설문!$C$2:$G$444,5,FALSE)</f>
        <v>#N/A</v>
      </c>
    </row>
    <row r="2397" spans="1:8">
      <c r="A2397" s="6" t="s">
        <v>51</v>
      </c>
      <c r="B2397" s="7" t="s">
        <v>458</v>
      </c>
      <c r="C2397" s="7" t="s">
        <v>458</v>
      </c>
      <c r="D2397" s="7" t="s">
        <v>5470</v>
      </c>
      <c r="E2397" s="6" t="s">
        <v>5471</v>
      </c>
      <c r="F2397" s="8" t="e">
        <f>VLOOKUP($D2397,설문!$C$2:$G$444,3,FALSE)</f>
        <v>#N/A</v>
      </c>
      <c r="G2397" s="8" t="e">
        <f>VLOOKUP($D2397,설문!$C$2:$G$444,4,FALSE)</f>
        <v>#N/A</v>
      </c>
      <c r="H2397" s="8" t="e">
        <f>VLOOKUP($D2397,설문!$C$2:$G$444,5,FALSE)</f>
        <v>#N/A</v>
      </c>
    </row>
    <row r="2398" spans="1:8">
      <c r="A2398" s="6" t="s">
        <v>51</v>
      </c>
      <c r="B2398" s="7" t="s">
        <v>458</v>
      </c>
      <c r="C2398" s="7" t="s">
        <v>458</v>
      </c>
      <c r="D2398" s="7" t="s">
        <v>5472</v>
      </c>
      <c r="E2398" s="6" t="s">
        <v>5473</v>
      </c>
      <c r="F2398" s="8" t="e">
        <f>VLOOKUP($D2398,설문!$C$2:$G$444,3,FALSE)</f>
        <v>#N/A</v>
      </c>
      <c r="G2398" s="8" t="e">
        <f>VLOOKUP($D2398,설문!$C$2:$G$444,4,FALSE)</f>
        <v>#N/A</v>
      </c>
      <c r="H2398" s="8" t="e">
        <f>VLOOKUP($D2398,설문!$C$2:$G$444,5,FALSE)</f>
        <v>#N/A</v>
      </c>
    </row>
    <row r="2399" spans="1:8">
      <c r="A2399" s="6" t="s">
        <v>51</v>
      </c>
      <c r="B2399" s="7" t="s">
        <v>5474</v>
      </c>
      <c r="C2399" s="7" t="s">
        <v>647</v>
      </c>
      <c r="D2399" s="7" t="s">
        <v>5475</v>
      </c>
      <c r="E2399" s="6" t="s">
        <v>5249</v>
      </c>
      <c r="F2399" s="8" t="e">
        <f>VLOOKUP($D2399,설문!$C$2:$G$444,3,FALSE)</f>
        <v>#N/A</v>
      </c>
      <c r="G2399" s="8" t="e">
        <f>VLOOKUP($D2399,설문!$C$2:$G$444,4,FALSE)</f>
        <v>#N/A</v>
      </c>
      <c r="H2399" s="8" t="e">
        <f>VLOOKUP($D2399,설문!$C$2:$G$444,5,FALSE)</f>
        <v>#N/A</v>
      </c>
    </row>
    <row r="2400" spans="1:8">
      <c r="A2400" s="6" t="s">
        <v>51</v>
      </c>
      <c r="B2400" s="7" t="s">
        <v>5474</v>
      </c>
      <c r="C2400" s="7" t="s">
        <v>647</v>
      </c>
      <c r="D2400" s="7" t="s">
        <v>5476</v>
      </c>
      <c r="E2400" s="6" t="s">
        <v>5477</v>
      </c>
      <c r="F2400" s="8" t="e">
        <f>VLOOKUP($D2400,설문!$C$2:$G$444,3,FALSE)</f>
        <v>#N/A</v>
      </c>
      <c r="G2400" s="8" t="e">
        <f>VLOOKUP($D2400,설문!$C$2:$G$444,4,FALSE)</f>
        <v>#N/A</v>
      </c>
      <c r="H2400" s="8" t="e">
        <f>VLOOKUP($D2400,설문!$C$2:$G$444,5,FALSE)</f>
        <v>#N/A</v>
      </c>
    </row>
    <row r="2401" spans="1:8">
      <c r="A2401" s="6" t="s">
        <v>51</v>
      </c>
      <c r="B2401" s="7" t="s">
        <v>5474</v>
      </c>
      <c r="C2401" s="7" t="s">
        <v>647</v>
      </c>
      <c r="D2401" s="7" t="s">
        <v>5478</v>
      </c>
      <c r="E2401" s="6" t="s">
        <v>5479</v>
      </c>
      <c r="F2401" s="8" t="e">
        <f>VLOOKUP($D2401,설문!$C$2:$G$444,3,FALSE)</f>
        <v>#N/A</v>
      </c>
      <c r="G2401" s="8" t="e">
        <f>VLOOKUP($D2401,설문!$C$2:$G$444,4,FALSE)</f>
        <v>#N/A</v>
      </c>
      <c r="H2401" s="8" t="e">
        <f>VLOOKUP($D2401,설문!$C$2:$G$444,5,FALSE)</f>
        <v>#N/A</v>
      </c>
    </row>
    <row r="2402" spans="1:8">
      <c r="A2402" s="6" t="s">
        <v>51</v>
      </c>
      <c r="B2402" s="7" t="s">
        <v>5474</v>
      </c>
      <c r="C2402" s="7" t="s">
        <v>647</v>
      </c>
      <c r="D2402" s="7" t="s">
        <v>5480</v>
      </c>
      <c r="E2402" s="6" t="s">
        <v>5481</v>
      </c>
      <c r="F2402" s="8" t="e">
        <f>VLOOKUP($D2402,설문!$C$2:$G$444,3,FALSE)</f>
        <v>#N/A</v>
      </c>
      <c r="G2402" s="8" t="e">
        <f>VLOOKUP($D2402,설문!$C$2:$G$444,4,FALSE)</f>
        <v>#N/A</v>
      </c>
      <c r="H2402" s="8" t="e">
        <f>VLOOKUP($D2402,설문!$C$2:$G$444,5,FALSE)</f>
        <v>#N/A</v>
      </c>
    </row>
    <row r="2403" spans="1:8">
      <c r="A2403" s="6" t="s">
        <v>51</v>
      </c>
      <c r="B2403" s="7" t="s">
        <v>5482</v>
      </c>
      <c r="C2403" s="7" t="s">
        <v>3037</v>
      </c>
      <c r="D2403" s="7" t="s">
        <v>5483</v>
      </c>
      <c r="E2403" s="6" t="s">
        <v>5484</v>
      </c>
      <c r="F2403" s="8" t="str">
        <f>VLOOKUP($D2403,설문!$C$2:$G$444,3,FALSE)</f>
        <v>브로커</v>
      </c>
      <c r="G2403" s="8" t="str">
        <f>VLOOKUP($D2403,설문!$C$2:$G$444,4,FALSE)</f>
        <v>금융회사,금융 유관기관,일반기업고객</v>
      </c>
      <c r="H2403" s="8" t="str">
        <f>VLOOKUP($D2403,설문!$C$2:$G$444,5,FALSE)</f>
        <v>국내주식/지수</v>
      </c>
    </row>
    <row r="2404" spans="1:8">
      <c r="A2404" s="6" t="s">
        <v>51</v>
      </c>
      <c r="B2404" s="7" t="s">
        <v>5482</v>
      </c>
      <c r="C2404" s="7" t="s">
        <v>3037</v>
      </c>
      <c r="D2404" s="7" t="s">
        <v>5485</v>
      </c>
      <c r="E2404" s="6" t="s">
        <v>273</v>
      </c>
      <c r="F2404" s="8" t="e">
        <f>VLOOKUP($D2404,설문!$C$2:$G$444,3,FALSE)</f>
        <v>#N/A</v>
      </c>
      <c r="G2404" s="8" t="e">
        <f>VLOOKUP($D2404,설문!$C$2:$G$444,4,FALSE)</f>
        <v>#N/A</v>
      </c>
      <c r="H2404" s="8" t="e">
        <f>VLOOKUP($D2404,설문!$C$2:$G$444,5,FALSE)</f>
        <v>#N/A</v>
      </c>
    </row>
    <row r="2405" spans="1:8">
      <c r="A2405" s="6" t="s">
        <v>51</v>
      </c>
      <c r="B2405" s="7" t="s">
        <v>5482</v>
      </c>
      <c r="C2405" s="7" t="s">
        <v>3037</v>
      </c>
      <c r="D2405" s="7" t="s">
        <v>5486</v>
      </c>
      <c r="E2405" s="6" t="s">
        <v>3733</v>
      </c>
      <c r="F2405" s="8" t="e">
        <f>VLOOKUP($D2405,설문!$C$2:$G$444,3,FALSE)</f>
        <v>#N/A</v>
      </c>
      <c r="G2405" s="8" t="e">
        <f>VLOOKUP($D2405,설문!$C$2:$G$444,4,FALSE)</f>
        <v>#N/A</v>
      </c>
      <c r="H2405" s="8" t="e">
        <f>VLOOKUP($D2405,설문!$C$2:$G$444,5,FALSE)</f>
        <v>#N/A</v>
      </c>
    </row>
    <row r="2406" spans="1:8">
      <c r="A2406" s="6" t="s">
        <v>51</v>
      </c>
      <c r="B2406" s="7" t="s">
        <v>5482</v>
      </c>
      <c r="C2406" s="7" t="s">
        <v>458</v>
      </c>
      <c r="D2406" s="7" t="s">
        <v>5487</v>
      </c>
      <c r="E2406" s="6" t="s">
        <v>4490</v>
      </c>
      <c r="F2406" s="8" t="e">
        <f>VLOOKUP($D2406,설문!$C$2:$G$444,3,FALSE)</f>
        <v>#N/A</v>
      </c>
      <c r="G2406" s="8" t="e">
        <f>VLOOKUP($D2406,설문!$C$2:$G$444,4,FALSE)</f>
        <v>#N/A</v>
      </c>
      <c r="H2406" s="8" t="e">
        <f>VLOOKUP($D2406,설문!$C$2:$G$444,5,FALSE)</f>
        <v>#N/A</v>
      </c>
    </row>
    <row r="2407" spans="1:8">
      <c r="A2407" s="6" t="s">
        <v>51</v>
      </c>
      <c r="B2407" s="7" t="s">
        <v>2783</v>
      </c>
      <c r="C2407" s="7" t="s">
        <v>3032</v>
      </c>
      <c r="D2407" s="7" t="s">
        <v>5488</v>
      </c>
      <c r="E2407" s="6" t="s">
        <v>51</v>
      </c>
      <c r="F2407" s="8" t="e">
        <f>VLOOKUP($D2407,설문!$C$2:$G$444,3,FALSE)</f>
        <v>#N/A</v>
      </c>
      <c r="G2407" s="8" t="e">
        <f>VLOOKUP($D2407,설문!$C$2:$G$444,4,FALSE)</f>
        <v>#N/A</v>
      </c>
      <c r="H2407" s="8" t="e">
        <f>VLOOKUP($D2407,설문!$C$2:$G$444,5,FALSE)</f>
        <v>#N/A</v>
      </c>
    </row>
    <row r="2408" spans="1:8">
      <c r="A2408" s="6" t="s">
        <v>51</v>
      </c>
      <c r="B2408" s="7" t="s">
        <v>96</v>
      </c>
      <c r="C2408" s="7" t="s">
        <v>1308</v>
      </c>
      <c r="D2408" s="7" t="s">
        <v>5489</v>
      </c>
      <c r="E2408" s="6" t="s">
        <v>5490</v>
      </c>
      <c r="F2408" s="8" t="e">
        <f>VLOOKUP($D2408,설문!$C$2:$G$444,3,FALSE)</f>
        <v>#N/A</v>
      </c>
      <c r="G2408" s="8" t="e">
        <f>VLOOKUP($D2408,설문!$C$2:$G$444,4,FALSE)</f>
        <v>#N/A</v>
      </c>
      <c r="H2408" s="8" t="e">
        <f>VLOOKUP($D2408,설문!$C$2:$G$444,5,FALSE)</f>
        <v>#N/A</v>
      </c>
    </row>
    <row r="2409" spans="1:8">
      <c r="A2409" s="6" t="s">
        <v>156</v>
      </c>
      <c r="B2409" s="7" t="s">
        <v>157</v>
      </c>
      <c r="C2409" s="7" t="s">
        <v>157</v>
      </c>
      <c r="D2409" s="7" t="s">
        <v>158</v>
      </c>
      <c r="E2409" s="6" t="s">
        <v>159</v>
      </c>
      <c r="F2409" s="8" t="e">
        <f>VLOOKUP($D2409,설문!$C$2:$G$444,3,FALSE)</f>
        <v>#N/A</v>
      </c>
      <c r="G2409" s="8" t="e">
        <f>VLOOKUP($D2409,설문!$C$2:$G$444,4,FALSE)</f>
        <v>#N/A</v>
      </c>
      <c r="H2409" s="8" t="e">
        <f>VLOOKUP($D2409,설문!$C$2:$G$444,5,FALSE)</f>
        <v>#N/A</v>
      </c>
    </row>
    <row r="2410" spans="1:8">
      <c r="A2410" s="6" t="s">
        <v>156</v>
      </c>
      <c r="B2410" s="7" t="s">
        <v>69</v>
      </c>
      <c r="C2410" s="7" t="s">
        <v>796</v>
      </c>
      <c r="D2410" s="7" t="s">
        <v>1283</v>
      </c>
      <c r="E2410" s="6" t="s">
        <v>1284</v>
      </c>
      <c r="F2410" s="8" t="e">
        <f>VLOOKUP($D2410,설문!$C$2:$G$444,3,FALSE)</f>
        <v>#N/A</v>
      </c>
      <c r="G2410" s="8" t="e">
        <f>VLOOKUP($D2410,설문!$C$2:$G$444,4,FALSE)</f>
        <v>#N/A</v>
      </c>
      <c r="H2410" s="8" t="e">
        <f>VLOOKUP($D2410,설문!$C$2:$G$444,5,FALSE)</f>
        <v>#N/A</v>
      </c>
    </row>
    <row r="2411" spans="1:8">
      <c r="A2411" s="6" t="s">
        <v>156</v>
      </c>
      <c r="B2411" s="7" t="s">
        <v>69</v>
      </c>
      <c r="C2411" s="7" t="s">
        <v>3452</v>
      </c>
      <c r="D2411" s="7" t="s">
        <v>3453</v>
      </c>
      <c r="E2411" s="6" t="s">
        <v>3454</v>
      </c>
      <c r="F2411" s="8" t="e">
        <f>VLOOKUP($D2411,설문!$C$2:$G$444,3,FALSE)</f>
        <v>#N/A</v>
      </c>
      <c r="G2411" s="8" t="e">
        <f>VLOOKUP($D2411,설문!$C$2:$G$444,4,FALSE)</f>
        <v>#N/A</v>
      </c>
      <c r="H2411" s="8" t="e">
        <f>VLOOKUP($D2411,설문!$C$2:$G$444,5,FALSE)</f>
        <v>#N/A</v>
      </c>
    </row>
    <row r="2412" spans="1:8">
      <c r="A2412" s="6" t="s">
        <v>156</v>
      </c>
      <c r="B2412" s="7" t="s">
        <v>69</v>
      </c>
      <c r="C2412" s="7" t="s">
        <v>3452</v>
      </c>
      <c r="D2412" s="7" t="s">
        <v>3455</v>
      </c>
      <c r="E2412" s="6" t="s">
        <v>3456</v>
      </c>
      <c r="F2412" s="8" t="e">
        <f>VLOOKUP($D2412,설문!$C$2:$G$444,3,FALSE)</f>
        <v>#N/A</v>
      </c>
      <c r="G2412" s="8" t="e">
        <f>VLOOKUP($D2412,설문!$C$2:$G$444,4,FALSE)</f>
        <v>#N/A</v>
      </c>
      <c r="H2412" s="8" t="e">
        <f>VLOOKUP($D2412,설문!$C$2:$G$444,5,FALSE)</f>
        <v>#N/A</v>
      </c>
    </row>
    <row r="2413" spans="1:8">
      <c r="A2413" s="6" t="s">
        <v>156</v>
      </c>
      <c r="B2413" s="7" t="s">
        <v>9</v>
      </c>
      <c r="C2413" s="7" t="s">
        <v>1131</v>
      </c>
      <c r="D2413" s="7" t="s">
        <v>3457</v>
      </c>
      <c r="E2413" s="6" t="s">
        <v>3458</v>
      </c>
      <c r="F2413" s="8" t="e">
        <f>VLOOKUP($D2413,설문!$C$2:$G$444,3,FALSE)</f>
        <v>#N/A</v>
      </c>
      <c r="G2413" s="8" t="e">
        <f>VLOOKUP($D2413,설문!$C$2:$G$444,4,FALSE)</f>
        <v>#N/A</v>
      </c>
      <c r="H2413" s="8" t="e">
        <f>VLOOKUP($D2413,설문!$C$2:$G$444,5,FALSE)</f>
        <v>#N/A</v>
      </c>
    </row>
    <row r="2414" spans="1:8">
      <c r="A2414" s="6" t="s">
        <v>156</v>
      </c>
      <c r="B2414" s="7" t="s">
        <v>134</v>
      </c>
      <c r="C2414" s="7" t="s">
        <v>3459</v>
      </c>
      <c r="D2414" s="7" t="s">
        <v>3460</v>
      </c>
      <c r="E2414" s="6" t="s">
        <v>3461</v>
      </c>
      <c r="F2414" s="8" t="e">
        <f>VLOOKUP($D2414,설문!$C$2:$G$444,3,FALSE)</f>
        <v>#N/A</v>
      </c>
      <c r="G2414" s="8" t="e">
        <f>VLOOKUP($D2414,설문!$C$2:$G$444,4,FALSE)</f>
        <v>#N/A</v>
      </c>
      <c r="H2414" s="8" t="e">
        <f>VLOOKUP($D2414,설문!$C$2:$G$444,5,FALSE)</f>
        <v>#N/A</v>
      </c>
    </row>
    <row r="2415" spans="1:8">
      <c r="A2415" s="6" t="s">
        <v>156</v>
      </c>
      <c r="B2415" s="7" t="s">
        <v>3462</v>
      </c>
      <c r="C2415" s="7" t="s">
        <v>3463</v>
      </c>
      <c r="D2415" s="7" t="s">
        <v>3464</v>
      </c>
      <c r="E2415" s="6" t="s">
        <v>3465</v>
      </c>
      <c r="F2415" s="8" t="e">
        <f>VLOOKUP($D2415,설문!$C$2:$G$444,3,FALSE)</f>
        <v>#N/A</v>
      </c>
      <c r="G2415" s="8" t="e">
        <f>VLOOKUP($D2415,설문!$C$2:$G$444,4,FALSE)</f>
        <v>#N/A</v>
      </c>
      <c r="H2415" s="8" t="e">
        <f>VLOOKUP($D2415,설문!$C$2:$G$444,5,FALSE)</f>
        <v>#N/A</v>
      </c>
    </row>
    <row r="2416" spans="1:8">
      <c r="A2416" s="6" t="s">
        <v>156</v>
      </c>
      <c r="B2416" s="7" t="s">
        <v>69</v>
      </c>
      <c r="C2416" s="7" t="s">
        <v>3452</v>
      </c>
      <c r="D2416" s="7" t="s">
        <v>3466</v>
      </c>
      <c r="E2416" s="6" t="s">
        <v>3467</v>
      </c>
      <c r="F2416" s="8" t="e">
        <f>VLOOKUP($D2416,설문!$C$2:$G$444,3,FALSE)</f>
        <v>#N/A</v>
      </c>
      <c r="G2416" s="8" t="e">
        <f>VLOOKUP($D2416,설문!$C$2:$G$444,4,FALSE)</f>
        <v>#N/A</v>
      </c>
      <c r="H2416" s="8" t="e">
        <f>VLOOKUP($D2416,설문!$C$2:$G$444,5,FALSE)</f>
        <v>#N/A</v>
      </c>
    </row>
    <row r="2417" spans="1:8">
      <c r="A2417" s="6" t="s">
        <v>156</v>
      </c>
      <c r="B2417" s="7" t="s">
        <v>69</v>
      </c>
      <c r="C2417" s="7" t="s">
        <v>3452</v>
      </c>
      <c r="D2417" s="7" t="s">
        <v>3468</v>
      </c>
      <c r="E2417" s="6" t="s">
        <v>3469</v>
      </c>
      <c r="F2417" s="8" t="e">
        <f>VLOOKUP($D2417,설문!$C$2:$G$444,3,FALSE)</f>
        <v>#N/A</v>
      </c>
      <c r="G2417" s="8" t="e">
        <f>VLOOKUP($D2417,설문!$C$2:$G$444,4,FALSE)</f>
        <v>#N/A</v>
      </c>
      <c r="H2417" s="8" t="e">
        <f>VLOOKUP($D2417,설문!$C$2:$G$444,5,FALSE)</f>
        <v>#N/A</v>
      </c>
    </row>
    <row r="2418" spans="1:8">
      <c r="A2418" s="6" t="s">
        <v>156</v>
      </c>
      <c r="B2418" s="7" t="s">
        <v>69</v>
      </c>
      <c r="C2418" s="7" t="s">
        <v>48</v>
      </c>
      <c r="D2418" s="7" t="s">
        <v>3470</v>
      </c>
      <c r="E2418" s="6" t="s">
        <v>3471</v>
      </c>
      <c r="F2418" s="8" t="e">
        <f>VLOOKUP($D2418,설문!$C$2:$G$444,3,FALSE)</f>
        <v>#N/A</v>
      </c>
      <c r="G2418" s="8" t="e">
        <f>VLOOKUP($D2418,설문!$C$2:$G$444,4,FALSE)</f>
        <v>#N/A</v>
      </c>
      <c r="H2418" s="8" t="e">
        <f>VLOOKUP($D2418,설문!$C$2:$G$444,5,FALSE)</f>
        <v>#N/A</v>
      </c>
    </row>
    <row r="2419" spans="1:8">
      <c r="A2419" s="6" t="s">
        <v>156</v>
      </c>
      <c r="B2419" s="7" t="s">
        <v>69</v>
      </c>
      <c r="C2419" s="7" t="s">
        <v>48</v>
      </c>
      <c r="D2419" s="7" t="s">
        <v>3473</v>
      </c>
      <c r="E2419" s="6" t="s">
        <v>3474</v>
      </c>
      <c r="F2419" s="8" t="str">
        <f>VLOOKUP($D2419,설문!$C$2:$G$444,3,FALSE)</f>
        <v>펀드매니저</v>
      </c>
      <c r="G2419" s="8" t="str">
        <f>VLOOKUP($D2419,설문!$C$2:$G$444,4,FALSE)</f>
        <v>금융회사,금융 유관기관,일반기업고객,개인고객</v>
      </c>
      <c r="H2419" s="8" t="str">
        <f>VLOOKUP($D2419,설문!$C$2:$G$444,5,FALSE)</f>
        <v>국내주식/지수,국내주식/지수관련파생,해외주식/지수,해외주식/지수관련파생,ETF/ETN</v>
      </c>
    </row>
    <row r="2420" spans="1:8">
      <c r="A2420" s="6" t="s">
        <v>156</v>
      </c>
      <c r="B2420" s="7" t="s">
        <v>69</v>
      </c>
      <c r="C2420" s="7" t="s">
        <v>48</v>
      </c>
      <c r="D2420" s="7" t="s">
        <v>3475</v>
      </c>
      <c r="E2420" s="6" t="s">
        <v>3476</v>
      </c>
      <c r="F2420" s="8" t="e">
        <f>VLOOKUP($D2420,설문!$C$2:$G$444,3,FALSE)</f>
        <v>#N/A</v>
      </c>
      <c r="G2420" s="8" t="e">
        <f>VLOOKUP($D2420,설문!$C$2:$G$444,4,FALSE)</f>
        <v>#N/A</v>
      </c>
      <c r="H2420" s="8" t="e">
        <f>VLOOKUP($D2420,설문!$C$2:$G$444,5,FALSE)</f>
        <v>#N/A</v>
      </c>
    </row>
    <row r="2421" spans="1:8">
      <c r="A2421" s="6" t="s">
        <v>156</v>
      </c>
      <c r="B2421" s="7" t="s">
        <v>69</v>
      </c>
      <c r="C2421" s="7" t="s">
        <v>3343</v>
      </c>
      <c r="D2421" s="7" t="s">
        <v>3477</v>
      </c>
      <c r="E2421" s="6" t="s">
        <v>3478</v>
      </c>
      <c r="F2421" s="8" t="e">
        <f>VLOOKUP($D2421,설문!$C$2:$G$444,3,FALSE)</f>
        <v>#N/A</v>
      </c>
      <c r="G2421" s="8" t="e">
        <f>VLOOKUP($D2421,설문!$C$2:$G$444,4,FALSE)</f>
        <v>#N/A</v>
      </c>
      <c r="H2421" s="8" t="e">
        <f>VLOOKUP($D2421,설문!$C$2:$G$444,5,FALSE)</f>
        <v>#N/A</v>
      </c>
    </row>
    <row r="2422" spans="1:8">
      <c r="A2422" s="6" t="s">
        <v>156</v>
      </c>
      <c r="B2422" s="7" t="s">
        <v>134</v>
      </c>
      <c r="C2422" s="7" t="s">
        <v>3479</v>
      </c>
      <c r="D2422" s="7" t="s">
        <v>3480</v>
      </c>
      <c r="E2422" s="6" t="s">
        <v>3481</v>
      </c>
      <c r="F2422" s="8" t="e">
        <f>VLOOKUP($D2422,설문!$C$2:$G$444,3,FALSE)</f>
        <v>#N/A</v>
      </c>
      <c r="G2422" s="8" t="e">
        <f>VLOOKUP($D2422,설문!$C$2:$G$444,4,FALSE)</f>
        <v>#N/A</v>
      </c>
      <c r="H2422" s="8" t="e">
        <f>VLOOKUP($D2422,설문!$C$2:$G$444,5,FALSE)</f>
        <v>#N/A</v>
      </c>
    </row>
    <row r="2423" spans="1:8">
      <c r="A2423" s="6" t="s">
        <v>156</v>
      </c>
      <c r="B2423" s="7" t="s">
        <v>134</v>
      </c>
      <c r="C2423" s="7" t="s">
        <v>789</v>
      </c>
      <c r="D2423" s="7" t="s">
        <v>3482</v>
      </c>
      <c r="E2423" s="6" t="s">
        <v>3483</v>
      </c>
      <c r="F2423" s="8" t="e">
        <f>VLOOKUP($D2423,설문!$C$2:$G$444,3,FALSE)</f>
        <v>#N/A</v>
      </c>
      <c r="G2423" s="8" t="e">
        <f>VLOOKUP($D2423,설문!$C$2:$G$444,4,FALSE)</f>
        <v>#N/A</v>
      </c>
      <c r="H2423" s="8" t="e">
        <f>VLOOKUP($D2423,설문!$C$2:$G$444,5,FALSE)</f>
        <v>#N/A</v>
      </c>
    </row>
    <row r="2424" spans="1:8">
      <c r="A2424" s="6" t="s">
        <v>156</v>
      </c>
      <c r="B2424" s="7" t="s">
        <v>69</v>
      </c>
      <c r="C2424" s="7" t="s">
        <v>3484</v>
      </c>
      <c r="D2424" s="7" t="s">
        <v>3485</v>
      </c>
      <c r="E2424" s="6" t="s">
        <v>3486</v>
      </c>
      <c r="F2424" s="8" t="e">
        <f>VLOOKUP($D2424,설문!$C$2:$G$444,3,FALSE)</f>
        <v>#N/A</v>
      </c>
      <c r="G2424" s="8" t="e">
        <f>VLOOKUP($D2424,설문!$C$2:$G$444,4,FALSE)</f>
        <v>#N/A</v>
      </c>
      <c r="H2424" s="8" t="e">
        <f>VLOOKUP($D2424,설문!$C$2:$G$444,5,FALSE)</f>
        <v>#N/A</v>
      </c>
    </row>
    <row r="2425" spans="1:8">
      <c r="A2425" s="6" t="s">
        <v>156</v>
      </c>
      <c r="B2425" s="7" t="s">
        <v>69</v>
      </c>
      <c r="C2425" s="7" t="s">
        <v>566</v>
      </c>
      <c r="D2425" s="7" t="s">
        <v>3487</v>
      </c>
      <c r="E2425" s="6" t="s">
        <v>3488</v>
      </c>
      <c r="F2425" s="8" t="e">
        <f>VLOOKUP($D2425,설문!$C$2:$G$444,3,FALSE)</f>
        <v>#N/A</v>
      </c>
      <c r="G2425" s="8" t="e">
        <f>VLOOKUP($D2425,설문!$C$2:$G$444,4,FALSE)</f>
        <v>#N/A</v>
      </c>
      <c r="H2425" s="8" t="e">
        <f>VLOOKUP($D2425,설문!$C$2:$G$444,5,FALSE)</f>
        <v>#N/A</v>
      </c>
    </row>
    <row r="2426" spans="1:8">
      <c r="A2426" s="6" t="s">
        <v>156</v>
      </c>
      <c r="B2426" s="7" t="s">
        <v>69</v>
      </c>
      <c r="C2426" s="7" t="s">
        <v>796</v>
      </c>
      <c r="D2426" s="7" t="s">
        <v>3489</v>
      </c>
      <c r="E2426" s="6" t="s">
        <v>3490</v>
      </c>
      <c r="F2426" s="8" t="e">
        <f>VLOOKUP($D2426,설문!$C$2:$G$444,3,FALSE)</f>
        <v>#N/A</v>
      </c>
      <c r="G2426" s="8" t="e">
        <f>VLOOKUP($D2426,설문!$C$2:$G$444,4,FALSE)</f>
        <v>#N/A</v>
      </c>
      <c r="H2426" s="8" t="e">
        <f>VLOOKUP($D2426,설문!$C$2:$G$444,5,FALSE)</f>
        <v>#N/A</v>
      </c>
    </row>
    <row r="2427" spans="1:8">
      <c r="A2427" s="6" t="s">
        <v>156</v>
      </c>
      <c r="B2427" s="7" t="s">
        <v>69</v>
      </c>
      <c r="C2427" s="7" t="s">
        <v>566</v>
      </c>
      <c r="D2427" s="7" t="s">
        <v>3491</v>
      </c>
      <c r="E2427" s="6" t="s">
        <v>3492</v>
      </c>
      <c r="F2427" s="8" t="e">
        <f>VLOOKUP($D2427,설문!$C$2:$G$444,3,FALSE)</f>
        <v>#N/A</v>
      </c>
      <c r="G2427" s="8" t="e">
        <f>VLOOKUP($D2427,설문!$C$2:$G$444,4,FALSE)</f>
        <v>#N/A</v>
      </c>
      <c r="H2427" s="8" t="e">
        <f>VLOOKUP($D2427,설문!$C$2:$G$444,5,FALSE)</f>
        <v>#N/A</v>
      </c>
    </row>
    <row r="2428" spans="1:8">
      <c r="A2428" s="6" t="s">
        <v>156</v>
      </c>
      <c r="B2428" s="7" t="s">
        <v>69</v>
      </c>
      <c r="C2428" s="7" t="s">
        <v>3452</v>
      </c>
      <c r="D2428" s="7" t="s">
        <v>3493</v>
      </c>
      <c r="E2428" s="6" t="s">
        <v>3469</v>
      </c>
      <c r="F2428" s="8" t="e">
        <f>VLOOKUP($D2428,설문!$C$2:$G$444,3,FALSE)</f>
        <v>#N/A</v>
      </c>
      <c r="G2428" s="8" t="e">
        <f>VLOOKUP($D2428,설문!$C$2:$G$444,4,FALSE)</f>
        <v>#N/A</v>
      </c>
      <c r="H2428" s="8" t="e">
        <f>VLOOKUP($D2428,설문!$C$2:$G$444,5,FALSE)</f>
        <v>#N/A</v>
      </c>
    </row>
    <row r="2429" spans="1:8">
      <c r="A2429" s="6" t="s">
        <v>156</v>
      </c>
      <c r="B2429" s="7" t="s">
        <v>69</v>
      </c>
      <c r="C2429" s="7" t="s">
        <v>566</v>
      </c>
      <c r="D2429" s="7" t="s">
        <v>3494</v>
      </c>
      <c r="E2429" s="6" t="s">
        <v>3495</v>
      </c>
      <c r="F2429" s="8" t="str">
        <f>VLOOKUP($D2429,설문!$C$2:$G$444,3,FALSE)</f>
        <v>펀드매니저</v>
      </c>
      <c r="G2429" s="8" t="str">
        <f>VLOOKUP($D2429,설문!$C$2:$G$444,4,FALSE)</f>
        <v>금융회사,금융 유관기관</v>
      </c>
      <c r="H2429" s="8" t="str">
        <f>VLOOKUP($D2429,설문!$C$2:$G$444,5,FALSE)</f>
        <v>국내주식/지수</v>
      </c>
    </row>
    <row r="2430" spans="1:8">
      <c r="A2430" s="6" t="s">
        <v>156</v>
      </c>
      <c r="B2430" s="7" t="s">
        <v>134</v>
      </c>
      <c r="C2430" s="7" t="s">
        <v>134</v>
      </c>
      <c r="D2430" s="7" t="s">
        <v>3496</v>
      </c>
      <c r="E2430" s="6" t="s">
        <v>3029</v>
      </c>
      <c r="F2430" s="8" t="e">
        <f>VLOOKUP($D2430,설문!$C$2:$G$444,3,FALSE)</f>
        <v>#N/A</v>
      </c>
      <c r="G2430" s="8" t="e">
        <f>VLOOKUP($D2430,설문!$C$2:$G$444,4,FALSE)</f>
        <v>#N/A</v>
      </c>
      <c r="H2430" s="8" t="e">
        <f>VLOOKUP($D2430,설문!$C$2:$G$444,5,FALSE)</f>
        <v>#N/A</v>
      </c>
    </row>
    <row r="2431" spans="1:8">
      <c r="A2431" s="6" t="s">
        <v>156</v>
      </c>
      <c r="B2431" s="7" t="s">
        <v>3497</v>
      </c>
      <c r="C2431" s="7" t="s">
        <v>3498</v>
      </c>
      <c r="D2431" s="7" t="s">
        <v>3499</v>
      </c>
      <c r="E2431" s="6" t="s">
        <v>62</v>
      </c>
      <c r="F2431" s="8" t="e">
        <f>VLOOKUP($D2431,설문!$C$2:$G$444,3,FALSE)</f>
        <v>#N/A</v>
      </c>
      <c r="G2431" s="8" t="e">
        <f>VLOOKUP($D2431,설문!$C$2:$G$444,4,FALSE)</f>
        <v>#N/A</v>
      </c>
      <c r="H2431" s="8" t="e">
        <f>VLOOKUP($D2431,설문!$C$2:$G$444,5,FALSE)</f>
        <v>#N/A</v>
      </c>
    </row>
    <row r="2432" spans="1:8">
      <c r="A2432" s="6" t="s">
        <v>156</v>
      </c>
      <c r="B2432" s="7" t="s">
        <v>1434</v>
      </c>
      <c r="C2432" s="7" t="s">
        <v>3300</v>
      </c>
      <c r="D2432" s="7" t="s">
        <v>5450</v>
      </c>
      <c r="E2432" s="6" t="s">
        <v>5451</v>
      </c>
      <c r="F2432" s="8" t="e">
        <f>VLOOKUP($D2432,설문!$C$2:$G$444,3,FALSE)</f>
        <v>#N/A</v>
      </c>
      <c r="G2432" s="8" t="e">
        <f>VLOOKUP($D2432,설문!$C$2:$G$444,4,FALSE)</f>
        <v>#N/A</v>
      </c>
      <c r="H2432" s="8" t="e">
        <f>VLOOKUP($D2432,설문!$C$2:$G$444,5,FALSE)</f>
        <v>#N/A</v>
      </c>
    </row>
    <row r="2433" spans="1:8">
      <c r="A2433" s="6" t="s">
        <v>156</v>
      </c>
      <c r="B2433" s="7" t="s">
        <v>1434</v>
      </c>
      <c r="C2433" s="7" t="s">
        <v>3300</v>
      </c>
      <c r="D2433" s="7" t="s">
        <v>5452</v>
      </c>
      <c r="E2433" s="6" t="s">
        <v>5453</v>
      </c>
      <c r="F2433" s="8" t="e">
        <f>VLOOKUP($D2433,설문!$C$2:$G$444,3,FALSE)</f>
        <v>#N/A</v>
      </c>
      <c r="G2433" s="8" t="e">
        <f>VLOOKUP($D2433,설문!$C$2:$G$444,4,FALSE)</f>
        <v>#N/A</v>
      </c>
      <c r="H2433" s="8" t="e">
        <f>VLOOKUP($D2433,설문!$C$2:$G$444,5,FALSE)</f>
        <v>#N/A</v>
      </c>
    </row>
    <row r="2434" spans="1:8">
      <c r="A2434" s="6" t="s">
        <v>156</v>
      </c>
      <c r="B2434" s="7" t="s">
        <v>1434</v>
      </c>
      <c r="C2434" s="7" t="s">
        <v>3300</v>
      </c>
      <c r="D2434" s="7" t="s">
        <v>5491</v>
      </c>
      <c r="E2434" s="6" t="s">
        <v>5492</v>
      </c>
      <c r="F2434" s="8" t="str">
        <f>VLOOKUP($D2434,설문!$C$2:$G$444,3,FALSE)</f>
        <v>펀드매니저</v>
      </c>
      <c r="G2434" s="8" t="str">
        <f>VLOOKUP($D2434,설문!$C$2:$G$444,4,FALSE)</f>
        <v>금융회사</v>
      </c>
      <c r="H2434" s="8" t="str">
        <f>VLOOKUP($D2434,설문!$C$2:$G$444,5,FALSE)</f>
        <v>국내주식/지수,국내주식/지수관련파생,해외주식/지수,해외주식/지수관련파생,ETF/ETN</v>
      </c>
    </row>
    <row r="2435" spans="1:8">
      <c r="A2435" s="6" t="s">
        <v>1713</v>
      </c>
      <c r="B2435" s="7" t="s">
        <v>675</v>
      </c>
      <c r="C2435" s="7" t="s">
        <v>675</v>
      </c>
      <c r="D2435" s="7" t="s">
        <v>1714</v>
      </c>
      <c r="E2435" s="6" t="s">
        <v>1715</v>
      </c>
      <c r="F2435" s="8" t="e">
        <f>VLOOKUP($D2435,설문!$C$2:$G$444,3,FALSE)</f>
        <v>#N/A</v>
      </c>
      <c r="G2435" s="8" t="e">
        <f>VLOOKUP($D2435,설문!$C$2:$G$444,4,FALSE)</f>
        <v>#N/A</v>
      </c>
      <c r="H2435" s="8" t="e">
        <f>VLOOKUP($D2435,설문!$C$2:$G$444,5,FALSE)</f>
        <v>#N/A</v>
      </c>
    </row>
    <row r="2436" spans="1:8">
      <c r="A2436" s="6" t="s">
        <v>1713</v>
      </c>
      <c r="B2436" s="7" t="s">
        <v>149</v>
      </c>
      <c r="C2436" s="7" t="s">
        <v>675</v>
      </c>
      <c r="D2436" s="7" t="s">
        <v>4693</v>
      </c>
      <c r="E2436" s="6" t="s">
        <v>167</v>
      </c>
      <c r="F2436" s="8" t="e">
        <f>VLOOKUP($D2436,설문!$C$2:$G$444,3,FALSE)</f>
        <v>#N/A</v>
      </c>
      <c r="G2436" s="8" t="e">
        <f>VLOOKUP($D2436,설문!$C$2:$G$444,4,FALSE)</f>
        <v>#N/A</v>
      </c>
      <c r="H2436" s="8" t="e">
        <f>VLOOKUP($D2436,설문!$C$2:$G$444,5,FALSE)</f>
        <v>#N/A</v>
      </c>
    </row>
    <row r="2437" spans="1:8">
      <c r="A2437" s="6" t="s">
        <v>1894</v>
      </c>
      <c r="B2437" s="7" t="s">
        <v>9</v>
      </c>
      <c r="C2437" s="7" t="s">
        <v>69</v>
      </c>
      <c r="D2437" s="7" t="s">
        <v>1895</v>
      </c>
      <c r="E2437" s="6" t="s">
        <v>1896</v>
      </c>
      <c r="F2437" s="8" t="e">
        <f>VLOOKUP($D2437,설문!$C$2:$G$444,3,FALSE)</f>
        <v>#N/A</v>
      </c>
      <c r="G2437" s="8" t="e">
        <f>VLOOKUP($D2437,설문!$C$2:$G$444,4,FALSE)</f>
        <v>#N/A</v>
      </c>
      <c r="H2437" s="8" t="e">
        <f>VLOOKUP($D2437,설문!$C$2:$G$444,5,FALSE)</f>
        <v>#N/A</v>
      </c>
    </row>
    <row r="2438" spans="1:8">
      <c r="A2438" s="6" t="s">
        <v>1894</v>
      </c>
      <c r="B2438" s="7" t="s">
        <v>9</v>
      </c>
      <c r="C2438" s="7" t="s">
        <v>69</v>
      </c>
      <c r="D2438" s="7" t="s">
        <v>1935</v>
      </c>
      <c r="E2438" s="6" t="s">
        <v>1936</v>
      </c>
      <c r="F2438" s="8" t="e">
        <f>VLOOKUP($D2438,설문!$C$2:$G$444,3,FALSE)</f>
        <v>#N/A</v>
      </c>
      <c r="G2438" s="8" t="e">
        <f>VLOOKUP($D2438,설문!$C$2:$G$444,4,FALSE)</f>
        <v>#N/A</v>
      </c>
      <c r="H2438" s="8" t="e">
        <f>VLOOKUP($D2438,설문!$C$2:$G$444,5,FALSE)</f>
        <v>#N/A</v>
      </c>
    </row>
    <row r="2439" spans="1:8">
      <c r="A2439" s="6" t="s">
        <v>1894</v>
      </c>
      <c r="B2439" s="7" t="s">
        <v>9</v>
      </c>
      <c r="C2439" s="7" t="s">
        <v>2259</v>
      </c>
      <c r="D2439" s="7" t="s">
        <v>2260</v>
      </c>
      <c r="E2439" s="6" t="s">
        <v>2261</v>
      </c>
      <c r="F2439" s="8" t="e">
        <f>VLOOKUP($D2439,설문!$C$2:$G$444,3,FALSE)</f>
        <v>#N/A</v>
      </c>
      <c r="G2439" s="8" t="e">
        <f>VLOOKUP($D2439,설문!$C$2:$G$444,4,FALSE)</f>
        <v>#N/A</v>
      </c>
      <c r="H2439" s="8" t="e">
        <f>VLOOKUP($D2439,설문!$C$2:$G$444,5,FALSE)</f>
        <v>#N/A</v>
      </c>
    </row>
    <row r="2440" spans="1:8">
      <c r="A2440" s="6" t="s">
        <v>1894</v>
      </c>
      <c r="B2440" s="7" t="s">
        <v>9</v>
      </c>
      <c r="C2440" s="7" t="s">
        <v>2262</v>
      </c>
      <c r="D2440" s="7" t="s">
        <v>2263</v>
      </c>
      <c r="E2440" s="6" t="s">
        <v>2264</v>
      </c>
      <c r="F2440" s="8" t="str">
        <f>VLOOKUP($D2440,설문!$C$2:$G$444,3,FALSE)</f>
        <v>트레이더</v>
      </c>
      <c r="G2440" s="8" t="str">
        <f>VLOOKUP($D2440,설문!$C$2:$G$444,4,FALSE)</f>
        <v>금융회사</v>
      </c>
      <c r="H2440" s="8" t="str">
        <f>VLOOKUP($D2440,설문!$C$2:$G$444,5,FALSE)</f>
        <v>국고채/통안채,회사채</v>
      </c>
    </row>
    <row r="2441" spans="1:8">
      <c r="A2441" s="6" t="s">
        <v>1894</v>
      </c>
      <c r="B2441" s="7" t="s">
        <v>9</v>
      </c>
      <c r="C2441" s="7" t="s">
        <v>116</v>
      </c>
      <c r="D2441" s="7" t="s">
        <v>2265</v>
      </c>
      <c r="E2441" s="6" t="s">
        <v>2266</v>
      </c>
      <c r="F2441" s="8" t="e">
        <f>VLOOKUP($D2441,설문!$C$2:$G$444,3,FALSE)</f>
        <v>#N/A</v>
      </c>
      <c r="G2441" s="8" t="e">
        <f>VLOOKUP($D2441,설문!$C$2:$G$444,4,FALSE)</f>
        <v>#N/A</v>
      </c>
      <c r="H2441" s="8" t="e">
        <f>VLOOKUP($D2441,설문!$C$2:$G$444,5,FALSE)</f>
        <v>#N/A</v>
      </c>
    </row>
    <row r="2442" spans="1:8">
      <c r="A2442" s="6" t="s">
        <v>1894</v>
      </c>
      <c r="B2442" s="7" t="s">
        <v>9</v>
      </c>
      <c r="C2442" s="7" t="s">
        <v>9</v>
      </c>
      <c r="D2442" s="7" t="s">
        <v>2267</v>
      </c>
      <c r="E2442" s="6" t="s">
        <v>2268</v>
      </c>
      <c r="F2442" s="8" t="e">
        <f>VLOOKUP($D2442,설문!$C$2:$G$444,3,FALSE)</f>
        <v>#N/A</v>
      </c>
      <c r="G2442" s="8" t="e">
        <f>VLOOKUP($D2442,설문!$C$2:$G$444,4,FALSE)</f>
        <v>#N/A</v>
      </c>
      <c r="H2442" s="8" t="e">
        <f>VLOOKUP($D2442,설문!$C$2:$G$444,5,FALSE)</f>
        <v>#N/A</v>
      </c>
    </row>
    <row r="2443" spans="1:8">
      <c r="A2443" s="6" t="s">
        <v>1894</v>
      </c>
      <c r="B2443" s="7" t="s">
        <v>9</v>
      </c>
      <c r="C2443" s="7" t="s">
        <v>69</v>
      </c>
      <c r="D2443" s="7" t="s">
        <v>2269</v>
      </c>
      <c r="E2443" s="6" t="s">
        <v>273</v>
      </c>
      <c r="F2443" s="8" t="e">
        <f>VLOOKUP($D2443,설문!$C$2:$G$444,3,FALSE)</f>
        <v>#N/A</v>
      </c>
      <c r="G2443" s="8" t="e">
        <f>VLOOKUP($D2443,설문!$C$2:$G$444,4,FALSE)</f>
        <v>#N/A</v>
      </c>
      <c r="H2443" s="8" t="e">
        <f>VLOOKUP($D2443,설문!$C$2:$G$444,5,FALSE)</f>
        <v>#N/A</v>
      </c>
    </row>
    <row r="2444" spans="1:8">
      <c r="A2444" s="6" t="s">
        <v>1894</v>
      </c>
      <c r="B2444" s="7" t="s">
        <v>9</v>
      </c>
      <c r="C2444" s="7" t="s">
        <v>69</v>
      </c>
      <c r="D2444" s="7" t="s">
        <v>2270</v>
      </c>
      <c r="E2444" s="6" t="s">
        <v>2271</v>
      </c>
      <c r="F2444" s="8" t="e">
        <f>VLOOKUP($D2444,설문!$C$2:$G$444,3,FALSE)</f>
        <v>#N/A</v>
      </c>
      <c r="G2444" s="8" t="e">
        <f>VLOOKUP($D2444,설문!$C$2:$G$444,4,FALSE)</f>
        <v>#N/A</v>
      </c>
      <c r="H2444" s="8" t="e">
        <f>VLOOKUP($D2444,설문!$C$2:$G$444,5,FALSE)</f>
        <v>#N/A</v>
      </c>
    </row>
    <row r="2445" spans="1:8">
      <c r="A2445" s="6" t="s">
        <v>1894</v>
      </c>
      <c r="B2445" s="7" t="s">
        <v>9</v>
      </c>
      <c r="C2445" s="7" t="s">
        <v>69</v>
      </c>
      <c r="D2445" s="7" t="s">
        <v>2272</v>
      </c>
      <c r="E2445" s="6" t="s">
        <v>547</v>
      </c>
      <c r="F2445" s="8" t="e">
        <f>VLOOKUP($D2445,설문!$C$2:$G$444,3,FALSE)</f>
        <v>#N/A</v>
      </c>
      <c r="G2445" s="8" t="e">
        <f>VLOOKUP($D2445,설문!$C$2:$G$444,4,FALSE)</f>
        <v>#N/A</v>
      </c>
      <c r="H2445" s="8" t="e">
        <f>VLOOKUP($D2445,설문!$C$2:$G$444,5,FALSE)</f>
        <v>#N/A</v>
      </c>
    </row>
    <row r="2446" spans="1:8">
      <c r="A2446" s="6" t="s">
        <v>1894</v>
      </c>
      <c r="B2446" s="7" t="s">
        <v>9</v>
      </c>
      <c r="C2446" s="7" t="s">
        <v>69</v>
      </c>
      <c r="D2446" s="7" t="s">
        <v>2273</v>
      </c>
      <c r="E2446" s="6" t="s">
        <v>2274</v>
      </c>
      <c r="F2446" s="8" t="e">
        <f>VLOOKUP($D2446,설문!$C$2:$G$444,3,FALSE)</f>
        <v>#N/A</v>
      </c>
      <c r="G2446" s="8" t="e">
        <f>VLOOKUP($D2446,설문!$C$2:$G$444,4,FALSE)</f>
        <v>#N/A</v>
      </c>
      <c r="H2446" s="8" t="e">
        <f>VLOOKUP($D2446,설문!$C$2:$G$444,5,FALSE)</f>
        <v>#N/A</v>
      </c>
    </row>
    <row r="2447" spans="1:8">
      <c r="A2447" s="6" t="s">
        <v>1894</v>
      </c>
      <c r="B2447" s="7" t="s">
        <v>9</v>
      </c>
      <c r="C2447" s="7" t="s">
        <v>69</v>
      </c>
      <c r="D2447" s="7" t="s">
        <v>2275</v>
      </c>
      <c r="E2447" s="6" t="s">
        <v>2276</v>
      </c>
      <c r="F2447" s="8" t="e">
        <f>VLOOKUP($D2447,설문!$C$2:$G$444,3,FALSE)</f>
        <v>#N/A</v>
      </c>
      <c r="G2447" s="8" t="e">
        <f>VLOOKUP($D2447,설문!$C$2:$G$444,4,FALSE)</f>
        <v>#N/A</v>
      </c>
      <c r="H2447" s="8" t="e">
        <f>VLOOKUP($D2447,설문!$C$2:$G$444,5,FALSE)</f>
        <v>#N/A</v>
      </c>
    </row>
    <row r="2448" spans="1:8">
      <c r="A2448" s="6" t="s">
        <v>1894</v>
      </c>
      <c r="B2448" s="7" t="s">
        <v>9</v>
      </c>
      <c r="C2448" s="7" t="s">
        <v>69</v>
      </c>
      <c r="D2448" s="7" t="s">
        <v>2277</v>
      </c>
      <c r="E2448" s="6" t="s">
        <v>2278</v>
      </c>
      <c r="F2448" s="8" t="e">
        <f>VLOOKUP($D2448,설문!$C$2:$G$444,3,FALSE)</f>
        <v>#N/A</v>
      </c>
      <c r="G2448" s="8" t="e">
        <f>VLOOKUP($D2448,설문!$C$2:$G$444,4,FALSE)</f>
        <v>#N/A</v>
      </c>
      <c r="H2448" s="8" t="e">
        <f>VLOOKUP($D2448,설문!$C$2:$G$444,5,FALSE)</f>
        <v>#N/A</v>
      </c>
    </row>
    <row r="2449" spans="1:8">
      <c r="A2449" s="6" t="s">
        <v>1894</v>
      </c>
      <c r="B2449" s="7" t="s">
        <v>9</v>
      </c>
      <c r="C2449" s="7" t="s">
        <v>2279</v>
      </c>
      <c r="D2449" s="7" t="s">
        <v>2280</v>
      </c>
      <c r="E2449" s="6" t="s">
        <v>273</v>
      </c>
      <c r="F2449" s="8" t="e">
        <f>VLOOKUP($D2449,설문!$C$2:$G$444,3,FALSE)</f>
        <v>#N/A</v>
      </c>
      <c r="G2449" s="8" t="e">
        <f>VLOOKUP($D2449,설문!$C$2:$G$444,4,FALSE)</f>
        <v>#N/A</v>
      </c>
      <c r="H2449" s="8" t="e">
        <f>VLOOKUP($D2449,설문!$C$2:$G$444,5,FALSE)</f>
        <v>#N/A</v>
      </c>
    </row>
    <row r="2450" spans="1:8">
      <c r="A2450" s="6" t="s">
        <v>1894</v>
      </c>
      <c r="B2450" s="7" t="s">
        <v>9</v>
      </c>
      <c r="C2450" s="7" t="s">
        <v>2259</v>
      </c>
      <c r="D2450" s="7" t="s">
        <v>2281</v>
      </c>
      <c r="E2450" s="6" t="s">
        <v>2282</v>
      </c>
      <c r="F2450" s="8" t="e">
        <f>VLOOKUP($D2450,설문!$C$2:$G$444,3,FALSE)</f>
        <v>#N/A</v>
      </c>
      <c r="G2450" s="8" t="e">
        <f>VLOOKUP($D2450,설문!$C$2:$G$444,4,FALSE)</f>
        <v>#N/A</v>
      </c>
      <c r="H2450" s="8" t="e">
        <f>VLOOKUP($D2450,설문!$C$2:$G$444,5,FALSE)</f>
        <v>#N/A</v>
      </c>
    </row>
    <row r="2451" spans="1:8">
      <c r="A2451" s="6" t="s">
        <v>1894</v>
      </c>
      <c r="B2451" s="7" t="s">
        <v>9</v>
      </c>
      <c r="C2451" s="7" t="s">
        <v>69</v>
      </c>
      <c r="D2451" s="7" t="s">
        <v>2283</v>
      </c>
      <c r="E2451" s="6" t="s">
        <v>2284</v>
      </c>
      <c r="F2451" s="8" t="e">
        <f>VLOOKUP($D2451,설문!$C$2:$G$444,3,FALSE)</f>
        <v>#N/A</v>
      </c>
      <c r="G2451" s="8" t="e">
        <f>VLOOKUP($D2451,설문!$C$2:$G$444,4,FALSE)</f>
        <v>#N/A</v>
      </c>
      <c r="H2451" s="8" t="e">
        <f>VLOOKUP($D2451,설문!$C$2:$G$444,5,FALSE)</f>
        <v>#N/A</v>
      </c>
    </row>
    <row r="2452" spans="1:8">
      <c r="A2452" s="6" t="s">
        <v>1894</v>
      </c>
      <c r="B2452" s="7" t="s">
        <v>9</v>
      </c>
      <c r="C2452" s="7" t="s">
        <v>69</v>
      </c>
      <c r="D2452" s="7" t="s">
        <v>2285</v>
      </c>
      <c r="E2452" s="6" t="s">
        <v>2286</v>
      </c>
      <c r="F2452" s="8" t="e">
        <f>VLOOKUP($D2452,설문!$C$2:$G$444,3,FALSE)</f>
        <v>#N/A</v>
      </c>
      <c r="G2452" s="8" t="e">
        <f>VLOOKUP($D2452,설문!$C$2:$G$444,4,FALSE)</f>
        <v>#N/A</v>
      </c>
      <c r="H2452" s="8" t="e">
        <f>VLOOKUP($D2452,설문!$C$2:$G$444,5,FALSE)</f>
        <v>#N/A</v>
      </c>
    </row>
    <row r="2453" spans="1:8">
      <c r="A2453" s="6" t="s">
        <v>1894</v>
      </c>
      <c r="B2453" s="7" t="s">
        <v>9</v>
      </c>
      <c r="C2453" s="7" t="s">
        <v>951</v>
      </c>
      <c r="D2453" s="7" t="s">
        <v>2287</v>
      </c>
      <c r="E2453" s="6" t="s">
        <v>2288</v>
      </c>
      <c r="F2453" s="8" t="str">
        <f>VLOOKUP($D2453,설문!$C$2:$G$444,3,FALSE)</f>
        <v>펀드매니저,퀀트</v>
      </c>
      <c r="G2453" s="8" t="str">
        <f>VLOOKUP($D2453,설문!$C$2:$G$444,4,FALSE)</f>
        <v>금융회사</v>
      </c>
      <c r="H2453" s="8" t="str">
        <f>VLOOKUP($D2453,설문!$C$2:$G$444,5,FALSE)</f>
        <v>국내주식/지수,국내주식/지수관련파생,해외주식/지수관련파생,ETF/ETN</v>
      </c>
    </row>
    <row r="2454" spans="1:8">
      <c r="A2454" s="6" t="s">
        <v>1894</v>
      </c>
      <c r="B2454" s="7" t="s">
        <v>9</v>
      </c>
      <c r="C2454" s="7" t="s">
        <v>69</v>
      </c>
      <c r="D2454" s="7" t="s">
        <v>2289</v>
      </c>
      <c r="E2454" s="6" t="s">
        <v>2290</v>
      </c>
      <c r="F2454" s="8" t="e">
        <f>VLOOKUP($D2454,설문!$C$2:$G$444,3,FALSE)</f>
        <v>#N/A</v>
      </c>
      <c r="G2454" s="8" t="e">
        <f>VLOOKUP($D2454,설문!$C$2:$G$444,4,FALSE)</f>
        <v>#N/A</v>
      </c>
      <c r="H2454" s="8" t="e">
        <f>VLOOKUP($D2454,설문!$C$2:$G$444,5,FALSE)</f>
        <v>#N/A</v>
      </c>
    </row>
    <row r="2455" spans="1:8">
      <c r="A2455" s="6" t="s">
        <v>1894</v>
      </c>
      <c r="B2455" s="7" t="s">
        <v>9</v>
      </c>
      <c r="C2455" s="7" t="s">
        <v>951</v>
      </c>
      <c r="D2455" s="7" t="s">
        <v>2291</v>
      </c>
      <c r="E2455" s="6" t="s">
        <v>2127</v>
      </c>
      <c r="F2455" s="8" t="str">
        <f>VLOOKUP($D2455,설문!$C$2:$G$444,3,FALSE)</f>
        <v>펀드매니저</v>
      </c>
      <c r="G2455" s="8" t="str">
        <f>VLOOKUP($D2455,설문!$C$2:$G$444,4,FALSE)</f>
        <v>금융회사</v>
      </c>
      <c r="H2455" s="8" t="str">
        <f>VLOOKUP($D2455,설문!$C$2:$G$444,5,FALSE)</f>
        <v>국내주식/지수,국내주식/지수관련파생</v>
      </c>
    </row>
    <row r="2456" spans="1:8">
      <c r="A2456" s="6" t="s">
        <v>1894</v>
      </c>
      <c r="B2456" s="7" t="s">
        <v>9</v>
      </c>
      <c r="C2456" s="7" t="s">
        <v>508</v>
      </c>
      <c r="D2456" s="7" t="s">
        <v>2292</v>
      </c>
      <c r="E2456" s="6" t="s">
        <v>2284</v>
      </c>
      <c r="F2456" s="8" t="e">
        <f>VLOOKUP($D2456,설문!$C$2:$G$444,3,FALSE)</f>
        <v>#N/A</v>
      </c>
      <c r="G2456" s="8" t="e">
        <f>VLOOKUP($D2456,설문!$C$2:$G$444,4,FALSE)</f>
        <v>#N/A</v>
      </c>
      <c r="H2456" s="8" t="e">
        <f>VLOOKUP($D2456,설문!$C$2:$G$444,5,FALSE)</f>
        <v>#N/A</v>
      </c>
    </row>
    <row r="2457" spans="1:8">
      <c r="A2457" s="6" t="s">
        <v>1894</v>
      </c>
      <c r="B2457" s="7" t="s">
        <v>9</v>
      </c>
      <c r="C2457" s="7" t="s">
        <v>2259</v>
      </c>
      <c r="D2457" s="7" t="s">
        <v>2293</v>
      </c>
      <c r="E2457" s="6" t="s">
        <v>1356</v>
      </c>
      <c r="F2457" s="8" t="e">
        <f>VLOOKUP($D2457,설문!$C$2:$G$444,3,FALSE)</f>
        <v>#N/A</v>
      </c>
      <c r="G2457" s="8" t="e">
        <f>VLOOKUP($D2457,설문!$C$2:$G$444,4,FALSE)</f>
        <v>#N/A</v>
      </c>
      <c r="H2457" s="8" t="e">
        <f>VLOOKUP($D2457,설문!$C$2:$G$444,5,FALSE)</f>
        <v>#N/A</v>
      </c>
    </row>
    <row r="2458" spans="1:8">
      <c r="A2458" s="6" t="s">
        <v>2120</v>
      </c>
      <c r="B2458" s="7" t="s">
        <v>1512</v>
      </c>
      <c r="C2458" s="7" t="s">
        <v>264</v>
      </c>
      <c r="D2458" s="7" t="s">
        <v>2121</v>
      </c>
      <c r="E2458" s="6" t="s">
        <v>2122</v>
      </c>
      <c r="F2458" s="8" t="e">
        <f>VLOOKUP($D2458,설문!$C$2:$G$444,3,FALSE)</f>
        <v>#N/A</v>
      </c>
      <c r="G2458" s="8" t="e">
        <f>VLOOKUP($D2458,설문!$C$2:$G$444,4,FALSE)</f>
        <v>#N/A</v>
      </c>
      <c r="H2458" s="8" t="e">
        <f>VLOOKUP($D2458,설문!$C$2:$G$444,5,FALSE)</f>
        <v>#N/A</v>
      </c>
    </row>
    <row r="2459" spans="1:8">
      <c r="A2459" s="6" t="s">
        <v>2120</v>
      </c>
      <c r="B2459" s="7" t="s">
        <v>1512</v>
      </c>
      <c r="C2459" s="7" t="s">
        <v>78</v>
      </c>
      <c r="D2459" s="7" t="s">
        <v>2123</v>
      </c>
      <c r="E2459" s="6" t="s">
        <v>2124</v>
      </c>
      <c r="F2459" s="8" t="e">
        <f>VLOOKUP($D2459,설문!$C$2:$G$444,3,FALSE)</f>
        <v>#N/A</v>
      </c>
      <c r="G2459" s="8" t="e">
        <f>VLOOKUP($D2459,설문!$C$2:$G$444,4,FALSE)</f>
        <v>#N/A</v>
      </c>
      <c r="H2459" s="8" t="e">
        <f>VLOOKUP($D2459,설문!$C$2:$G$444,5,FALSE)</f>
        <v>#N/A</v>
      </c>
    </row>
    <row r="2460" spans="1:8">
      <c r="A2460" s="6" t="s">
        <v>2341</v>
      </c>
      <c r="B2460" s="7" t="s">
        <v>1411</v>
      </c>
      <c r="C2460" s="7" t="s">
        <v>9</v>
      </c>
      <c r="D2460" s="7" t="s">
        <v>2342</v>
      </c>
      <c r="E2460" s="6" t="s">
        <v>2343</v>
      </c>
      <c r="F2460" s="8" t="e">
        <f>VLOOKUP($D2460,설문!$C$2:$G$444,3,FALSE)</f>
        <v>#N/A</v>
      </c>
      <c r="G2460" s="8" t="e">
        <f>VLOOKUP($D2460,설문!$C$2:$G$444,4,FALSE)</f>
        <v>#N/A</v>
      </c>
      <c r="H2460" s="8" t="e">
        <f>VLOOKUP($D2460,설문!$C$2:$G$444,5,FALSE)</f>
        <v>#N/A</v>
      </c>
    </row>
    <row r="2461" spans="1:8">
      <c r="A2461" s="6" t="s">
        <v>3333</v>
      </c>
      <c r="B2461" s="7" t="s">
        <v>3334</v>
      </c>
      <c r="C2461" s="7" t="s">
        <v>9</v>
      </c>
      <c r="D2461" s="7" t="s">
        <v>3335</v>
      </c>
      <c r="E2461" s="6" t="s">
        <v>3336</v>
      </c>
      <c r="F2461" s="8" t="str">
        <f>VLOOKUP($D2461,설문!$C$2:$G$444,3,FALSE)</f>
        <v>트레이더</v>
      </c>
      <c r="G2461" s="8" t="str">
        <f>VLOOKUP($D2461,설문!$C$2:$G$444,4,FALSE)</f>
        <v>금융회사</v>
      </c>
      <c r="H2461" s="8" t="str">
        <f>VLOOKUP($D2461,설문!$C$2:$G$444,5,FALSE)</f>
        <v>국내주식/지수</v>
      </c>
    </row>
    <row r="2462" spans="1:8">
      <c r="A2462" s="6" t="s">
        <v>3333</v>
      </c>
      <c r="B2462" s="7" t="s">
        <v>78</v>
      </c>
      <c r="C2462" s="7" t="s">
        <v>9</v>
      </c>
      <c r="D2462" s="7" t="s">
        <v>3337</v>
      </c>
      <c r="E2462" s="6" t="s">
        <v>3338</v>
      </c>
      <c r="F2462" s="8" t="e">
        <f>VLOOKUP($D2462,설문!$C$2:$G$444,3,FALSE)</f>
        <v>#N/A</v>
      </c>
      <c r="G2462" s="8" t="e">
        <f>VLOOKUP($D2462,설문!$C$2:$G$444,4,FALSE)</f>
        <v>#N/A</v>
      </c>
      <c r="H2462" s="8" t="e">
        <f>VLOOKUP($D2462,설문!$C$2:$G$444,5,FALSE)</f>
        <v>#N/A</v>
      </c>
    </row>
    <row r="2463" spans="1:8">
      <c r="A2463" s="6" t="s">
        <v>3333</v>
      </c>
      <c r="B2463" s="7" t="s">
        <v>78</v>
      </c>
      <c r="C2463" s="7" t="s">
        <v>9</v>
      </c>
      <c r="D2463" s="7" t="s">
        <v>3339</v>
      </c>
      <c r="E2463" s="6" t="s">
        <v>3340</v>
      </c>
      <c r="F2463" s="8" t="e">
        <f>VLOOKUP($D2463,설문!$C$2:$G$444,3,FALSE)</f>
        <v>#N/A</v>
      </c>
      <c r="G2463" s="8" t="e">
        <f>VLOOKUP($D2463,설문!$C$2:$G$444,4,FALSE)</f>
        <v>#N/A</v>
      </c>
      <c r="H2463" s="8" t="e">
        <f>VLOOKUP($D2463,설문!$C$2:$G$444,5,FALSE)</f>
        <v>#N/A</v>
      </c>
    </row>
    <row r="2464" spans="1:8">
      <c r="A2464" s="6" t="s">
        <v>3333</v>
      </c>
      <c r="B2464" s="7" t="s">
        <v>1834</v>
      </c>
      <c r="C2464" s="7" t="s">
        <v>1431</v>
      </c>
      <c r="D2464" s="7" t="s">
        <v>3341</v>
      </c>
      <c r="E2464" s="6" t="s">
        <v>3342</v>
      </c>
      <c r="F2464" s="8" t="e">
        <f>VLOOKUP($D2464,설문!$C$2:$G$444,3,FALSE)</f>
        <v>#N/A</v>
      </c>
      <c r="G2464" s="8" t="e">
        <f>VLOOKUP($D2464,설문!$C$2:$G$444,4,FALSE)</f>
        <v>#N/A</v>
      </c>
      <c r="H2464" s="8" t="e">
        <f>VLOOKUP($D2464,설문!$C$2:$G$444,5,FALSE)</f>
        <v>#N/A</v>
      </c>
    </row>
    <row r="2465" spans="1:8">
      <c r="A2465" s="6" t="s">
        <v>2211</v>
      </c>
      <c r="B2465" s="7" t="s">
        <v>9</v>
      </c>
      <c r="C2465" s="7" t="s">
        <v>264</v>
      </c>
      <c r="D2465" s="7" t="s">
        <v>2212</v>
      </c>
      <c r="E2465" s="6" t="s">
        <v>547</v>
      </c>
      <c r="F2465" s="8" t="str">
        <f>VLOOKUP($D2465,설문!$C$2:$G$444,3,FALSE)</f>
        <v>펀드매니저</v>
      </c>
      <c r="G2465" s="8" t="str">
        <f>VLOOKUP($D2465,설문!$C$2:$G$444,4,FALSE)</f>
        <v>금융회사,금융 유관기관</v>
      </c>
      <c r="H2465" s="8" t="str">
        <f>VLOOKUP($D2465,설문!$C$2:$G$444,5,FALSE)</f>
        <v>국고채/통안채,회사채,소액채권,RP,단기자금,국채선물,원화 구조화채권</v>
      </c>
    </row>
    <row r="2466" spans="1:8">
      <c r="A2466" s="6" t="s">
        <v>1861</v>
      </c>
      <c r="B2466" s="7" t="s">
        <v>78</v>
      </c>
      <c r="C2466" s="7" t="s">
        <v>78</v>
      </c>
      <c r="D2466" s="7" t="s">
        <v>1862</v>
      </c>
      <c r="E2466" s="6" t="s">
        <v>1863</v>
      </c>
      <c r="F2466" s="8" t="e">
        <f>VLOOKUP($D2466,설문!$C$2:$G$444,3,FALSE)</f>
        <v>#N/A</v>
      </c>
      <c r="G2466" s="8" t="e">
        <f>VLOOKUP($D2466,설문!$C$2:$G$444,4,FALSE)</f>
        <v>#N/A</v>
      </c>
      <c r="H2466" s="8" t="e">
        <f>VLOOKUP($D2466,설문!$C$2:$G$444,5,FALSE)</f>
        <v>#N/A</v>
      </c>
    </row>
    <row r="2467" spans="1:8">
      <c r="A2467" s="6" t="s">
        <v>1861</v>
      </c>
      <c r="B2467" s="7" t="s">
        <v>78</v>
      </c>
      <c r="C2467" s="7" t="s">
        <v>78</v>
      </c>
      <c r="D2467" s="7" t="s">
        <v>5002</v>
      </c>
      <c r="E2467" s="6" t="s">
        <v>5003</v>
      </c>
      <c r="F2467" s="8" t="e">
        <f>VLOOKUP($D2467,설문!$C$2:$G$444,3,FALSE)</f>
        <v>#N/A</v>
      </c>
      <c r="G2467" s="8" t="e">
        <f>VLOOKUP($D2467,설문!$C$2:$G$444,4,FALSE)</f>
        <v>#N/A</v>
      </c>
      <c r="H2467" s="8" t="e">
        <f>VLOOKUP($D2467,설문!$C$2:$G$444,5,FALSE)</f>
        <v>#N/A</v>
      </c>
    </row>
    <row r="2468" spans="1:8">
      <c r="A2468" s="6" t="s">
        <v>281</v>
      </c>
      <c r="B2468" s="7" t="s">
        <v>9</v>
      </c>
      <c r="C2468" s="7" t="s">
        <v>9</v>
      </c>
      <c r="D2468" s="7" t="s">
        <v>282</v>
      </c>
      <c r="E2468" s="6" t="s">
        <v>283</v>
      </c>
      <c r="F2468" s="8" t="e">
        <f>VLOOKUP($D2468,설문!$C$2:$G$444,3,FALSE)</f>
        <v>#N/A</v>
      </c>
      <c r="G2468" s="8" t="e">
        <f>VLOOKUP($D2468,설문!$C$2:$G$444,4,FALSE)</f>
        <v>#N/A</v>
      </c>
      <c r="H2468" s="8" t="e">
        <f>VLOOKUP($D2468,설문!$C$2:$G$444,5,FALSE)</f>
        <v>#N/A</v>
      </c>
    </row>
    <row r="2469" spans="1:8">
      <c r="A2469" s="6" t="s">
        <v>235</v>
      </c>
      <c r="B2469" s="7" t="s">
        <v>236</v>
      </c>
      <c r="C2469" s="7" t="s">
        <v>236</v>
      </c>
      <c r="D2469" s="7" t="s">
        <v>237</v>
      </c>
      <c r="E2469" s="6" t="s">
        <v>238</v>
      </c>
      <c r="F2469" s="8" t="str">
        <f>VLOOKUP($D2469,설문!$C$2:$G$444,3,FALSE)</f>
        <v>펀드매니저</v>
      </c>
      <c r="G2469" s="8" t="str">
        <f>VLOOKUP($D2469,설문!$C$2:$G$444,4,FALSE)</f>
        <v>금융회사,일반기업고객,개인고객</v>
      </c>
      <c r="H2469" s="8" t="str">
        <f>VLOOKUP($D2469,설문!$C$2:$G$444,5,FALSE)</f>
        <v>국내주식/지수,국고채/통안채,국내주식/지수관련파생</v>
      </c>
    </row>
    <row r="2470" spans="1:8">
      <c r="A2470" s="6" t="s">
        <v>235</v>
      </c>
      <c r="B2470" s="7" t="s">
        <v>331</v>
      </c>
      <c r="C2470" s="7" t="s">
        <v>331</v>
      </c>
      <c r="D2470" s="7" t="s">
        <v>332</v>
      </c>
      <c r="E2470" s="6" t="s">
        <v>333</v>
      </c>
      <c r="F2470" s="8" t="e">
        <f>VLOOKUP($D2470,설문!$C$2:$G$444,3,FALSE)</f>
        <v>#N/A</v>
      </c>
      <c r="G2470" s="8" t="e">
        <f>VLOOKUP($D2470,설문!$C$2:$G$444,4,FALSE)</f>
        <v>#N/A</v>
      </c>
      <c r="H2470" s="8" t="e">
        <f>VLOOKUP($D2470,설문!$C$2:$G$444,5,FALSE)</f>
        <v>#N/A</v>
      </c>
    </row>
    <row r="2471" spans="1:8">
      <c r="A2471" s="6" t="s">
        <v>235</v>
      </c>
      <c r="B2471" s="7" t="s">
        <v>377</v>
      </c>
      <c r="C2471" s="7" t="s">
        <v>377</v>
      </c>
      <c r="D2471" s="7" t="s">
        <v>378</v>
      </c>
      <c r="E2471" s="6" t="s">
        <v>379</v>
      </c>
      <c r="F2471" s="8" t="e">
        <f>VLOOKUP($D2471,설문!$C$2:$G$444,3,FALSE)</f>
        <v>#N/A</v>
      </c>
      <c r="G2471" s="8" t="e">
        <f>VLOOKUP($D2471,설문!$C$2:$G$444,4,FALSE)</f>
        <v>#N/A</v>
      </c>
      <c r="H2471" s="8" t="e">
        <f>VLOOKUP($D2471,설문!$C$2:$G$444,5,FALSE)</f>
        <v>#N/A</v>
      </c>
    </row>
    <row r="2472" spans="1:8">
      <c r="A2472" s="6" t="s">
        <v>235</v>
      </c>
      <c r="B2472" s="7" t="s">
        <v>331</v>
      </c>
      <c r="C2472" s="7" t="s">
        <v>331</v>
      </c>
      <c r="D2472" s="7" t="s">
        <v>380</v>
      </c>
      <c r="E2472" s="6" t="s">
        <v>381</v>
      </c>
      <c r="F2472" s="8" t="e">
        <f>VLOOKUP($D2472,설문!$C$2:$G$444,3,FALSE)</f>
        <v>#N/A</v>
      </c>
      <c r="G2472" s="8" t="e">
        <f>VLOOKUP($D2472,설문!$C$2:$G$444,4,FALSE)</f>
        <v>#N/A</v>
      </c>
      <c r="H2472" s="8" t="e">
        <f>VLOOKUP($D2472,설문!$C$2:$G$444,5,FALSE)</f>
        <v>#N/A</v>
      </c>
    </row>
    <row r="2473" spans="1:8">
      <c r="A2473" s="6" t="s">
        <v>235</v>
      </c>
      <c r="B2473" s="7" t="s">
        <v>331</v>
      </c>
      <c r="C2473" s="7" t="s">
        <v>331</v>
      </c>
      <c r="D2473" s="7" t="s">
        <v>480</v>
      </c>
      <c r="E2473" s="6" t="s">
        <v>481</v>
      </c>
      <c r="F2473" s="8" t="e">
        <f>VLOOKUP($D2473,설문!$C$2:$G$444,3,FALSE)</f>
        <v>#N/A</v>
      </c>
      <c r="G2473" s="8" t="e">
        <f>VLOOKUP($D2473,설문!$C$2:$G$444,4,FALSE)</f>
        <v>#N/A</v>
      </c>
      <c r="H2473" s="8" t="e">
        <f>VLOOKUP($D2473,설문!$C$2:$G$444,5,FALSE)</f>
        <v>#N/A</v>
      </c>
    </row>
    <row r="2474" spans="1:8">
      <c r="A2474" s="6" t="s">
        <v>235</v>
      </c>
      <c r="B2474" s="7" t="s">
        <v>700</v>
      </c>
      <c r="C2474" s="7" t="s">
        <v>700</v>
      </c>
      <c r="D2474" s="7" t="s">
        <v>701</v>
      </c>
      <c r="E2474" s="6" t="s">
        <v>702</v>
      </c>
      <c r="F2474" s="8" t="e">
        <f>VLOOKUP($D2474,설문!$C$2:$G$444,3,FALSE)</f>
        <v>#N/A</v>
      </c>
      <c r="G2474" s="8" t="e">
        <f>VLOOKUP($D2474,설문!$C$2:$G$444,4,FALSE)</f>
        <v>#N/A</v>
      </c>
      <c r="H2474" s="8" t="e">
        <f>VLOOKUP($D2474,설문!$C$2:$G$444,5,FALSE)</f>
        <v>#N/A</v>
      </c>
    </row>
    <row r="2475" spans="1:8">
      <c r="A2475" s="6" t="s">
        <v>235</v>
      </c>
      <c r="B2475" s="7" t="s">
        <v>700</v>
      </c>
      <c r="C2475" s="7" t="s">
        <v>700</v>
      </c>
      <c r="D2475" s="7" t="s">
        <v>1449</v>
      </c>
      <c r="E2475" s="6" t="s">
        <v>1450</v>
      </c>
      <c r="F2475" s="8" t="str">
        <f>VLOOKUP($D2475,설문!$C$2:$G$444,3,FALSE)</f>
        <v>트레이더</v>
      </c>
      <c r="G2475" s="8" t="str">
        <f>VLOOKUP($D2475,설문!$C$2:$G$444,4,FALSE)</f>
        <v>금융회사,금융 유관기관</v>
      </c>
      <c r="H2475" s="8" t="str">
        <f>VLOOKUP($D2475,설문!$C$2:$G$444,5,FALSE)</f>
        <v>국내주식/지수</v>
      </c>
    </row>
    <row r="2476" spans="1:8">
      <c r="A2476" s="6" t="s">
        <v>235</v>
      </c>
      <c r="B2476" s="7" t="s">
        <v>1668</v>
      </c>
      <c r="C2476" s="7" t="s">
        <v>1668</v>
      </c>
      <c r="D2476" s="7" t="s">
        <v>1669</v>
      </c>
      <c r="E2476" s="6" t="s">
        <v>1670</v>
      </c>
      <c r="F2476" s="8" t="str">
        <f>VLOOKUP($D2476,설문!$C$2:$G$444,3,FALSE)</f>
        <v>트레이더</v>
      </c>
      <c r="G2476" s="8" t="str">
        <f>VLOOKUP($D2476,설문!$C$2:$G$444,4,FALSE)</f>
        <v>금융회사</v>
      </c>
      <c r="H2476" s="8" t="str">
        <f>VLOOKUP($D2476,설문!$C$2:$G$444,5,FALSE)</f>
        <v>국내주식/지수,국내주식/지수관련파생,해외주식/지수</v>
      </c>
    </row>
    <row r="2477" spans="1:8">
      <c r="A2477" s="6" t="s">
        <v>235</v>
      </c>
      <c r="B2477" s="7" t="s">
        <v>6136</v>
      </c>
      <c r="C2477" s="7" t="s">
        <v>6136</v>
      </c>
      <c r="D2477" s="7" t="s">
        <v>6137</v>
      </c>
      <c r="E2477" s="6" t="s">
        <v>6138</v>
      </c>
      <c r="F2477" s="8" t="e">
        <f>VLOOKUP($D2477,설문!$C$2:$G$444,3,FALSE)</f>
        <v>#N/A</v>
      </c>
      <c r="G2477" s="8" t="e">
        <f>VLOOKUP($D2477,설문!$C$2:$G$444,4,FALSE)</f>
        <v>#N/A</v>
      </c>
      <c r="H2477" s="8" t="e">
        <f>VLOOKUP($D2477,설문!$C$2:$G$444,5,FALSE)</f>
        <v>#N/A</v>
      </c>
    </row>
    <row r="2478" spans="1:8">
      <c r="A2478" s="6" t="s">
        <v>235</v>
      </c>
      <c r="B2478" s="7" t="s">
        <v>6139</v>
      </c>
      <c r="C2478" s="7" t="s">
        <v>6140</v>
      </c>
      <c r="D2478" s="7" t="s">
        <v>6141</v>
      </c>
      <c r="E2478" s="6" t="s">
        <v>6142</v>
      </c>
      <c r="F2478" s="8" t="e">
        <f>VLOOKUP($D2478,설문!$C$2:$G$444,3,FALSE)</f>
        <v>#N/A</v>
      </c>
      <c r="G2478" s="8" t="e">
        <f>VLOOKUP($D2478,설문!$C$2:$G$444,4,FALSE)</f>
        <v>#N/A</v>
      </c>
      <c r="H2478" s="8" t="e">
        <f>VLOOKUP($D2478,설문!$C$2:$G$444,5,FALSE)</f>
        <v>#N/A</v>
      </c>
    </row>
    <row r="2479" spans="1:8">
      <c r="A2479" s="6" t="s">
        <v>235</v>
      </c>
      <c r="B2479" s="7" t="s">
        <v>6143</v>
      </c>
      <c r="C2479" s="7" t="s">
        <v>3214</v>
      </c>
      <c r="D2479" s="7" t="s">
        <v>6144</v>
      </c>
      <c r="E2479" s="6" t="s">
        <v>2331</v>
      </c>
      <c r="F2479" s="8" t="e">
        <f>VLOOKUP($D2479,설문!$C$2:$G$444,3,FALSE)</f>
        <v>#N/A</v>
      </c>
      <c r="G2479" s="8" t="e">
        <f>VLOOKUP($D2479,설문!$C$2:$G$444,4,FALSE)</f>
        <v>#N/A</v>
      </c>
      <c r="H2479" s="8" t="e">
        <f>VLOOKUP($D2479,설문!$C$2:$G$444,5,FALSE)</f>
        <v>#N/A</v>
      </c>
    </row>
    <row r="2480" spans="1:8">
      <c r="A2480" s="6" t="s">
        <v>235</v>
      </c>
      <c r="B2480" s="7" t="s">
        <v>6145</v>
      </c>
      <c r="C2480" s="7" t="s">
        <v>6145</v>
      </c>
      <c r="D2480" s="7" t="s">
        <v>6146</v>
      </c>
      <c r="E2480" s="6" t="s">
        <v>3623</v>
      </c>
      <c r="F2480" s="8" t="str">
        <f>VLOOKUP($D2480,설문!$C$2:$G$444,3,FALSE)</f>
        <v>브로커</v>
      </c>
      <c r="G2480" s="8" t="str">
        <f>VLOOKUP($D2480,설문!$C$2:$G$444,4,FALSE)</f>
        <v>금융회사</v>
      </c>
      <c r="H2480" s="8" t="str">
        <f>VLOOKUP($D2480,설문!$C$2:$G$444,5,FALSE)</f>
        <v>국내주식/지수,국채선물,외화채권선물,국내주식/지수관련파생,FX Spot &amp; FX Swap,원자재파생,해외주식/지수,해외주식/지수관련파생,ETF/ETN</v>
      </c>
    </row>
    <row r="2481" spans="1:8">
      <c r="A2481" s="6" t="s">
        <v>235</v>
      </c>
      <c r="B2481" s="7" t="s">
        <v>6145</v>
      </c>
      <c r="C2481" s="7" t="s">
        <v>6145</v>
      </c>
      <c r="D2481" s="7" t="s">
        <v>6147</v>
      </c>
      <c r="E2481" s="6" t="s">
        <v>6148</v>
      </c>
      <c r="F2481" s="8" t="e">
        <f>VLOOKUP($D2481,설문!$C$2:$G$444,3,FALSE)</f>
        <v>#N/A</v>
      </c>
      <c r="G2481" s="8" t="e">
        <f>VLOOKUP($D2481,설문!$C$2:$G$444,4,FALSE)</f>
        <v>#N/A</v>
      </c>
      <c r="H2481" s="8" t="e">
        <f>VLOOKUP($D2481,설문!$C$2:$G$444,5,FALSE)</f>
        <v>#N/A</v>
      </c>
    </row>
    <row r="2482" spans="1:8">
      <c r="A2482" s="6" t="s">
        <v>235</v>
      </c>
      <c r="B2482" s="7" t="s">
        <v>6145</v>
      </c>
      <c r="C2482" s="7" t="s">
        <v>6145</v>
      </c>
      <c r="D2482" s="7" t="s">
        <v>6149</v>
      </c>
      <c r="E2482" s="6" t="s">
        <v>6150</v>
      </c>
      <c r="F2482" s="8" t="e">
        <f>VLOOKUP($D2482,설문!$C$2:$G$444,3,FALSE)</f>
        <v>#N/A</v>
      </c>
      <c r="G2482" s="8" t="e">
        <f>VLOOKUP($D2482,설문!$C$2:$G$444,4,FALSE)</f>
        <v>#N/A</v>
      </c>
      <c r="H2482" s="8" t="e">
        <f>VLOOKUP($D2482,설문!$C$2:$G$444,5,FALSE)</f>
        <v>#N/A</v>
      </c>
    </row>
    <row r="2483" spans="1:8">
      <c r="A2483" s="6" t="s">
        <v>235</v>
      </c>
      <c r="B2483" s="7" t="s">
        <v>6151</v>
      </c>
      <c r="C2483" s="7" t="s">
        <v>6151</v>
      </c>
      <c r="D2483" s="7" t="s">
        <v>6152</v>
      </c>
      <c r="E2483" s="6" t="s">
        <v>6153</v>
      </c>
      <c r="F2483" s="8" t="str">
        <f>VLOOKUP($D2483,설문!$C$2:$G$444,3,FALSE)</f>
        <v>트레이더,딜러</v>
      </c>
      <c r="G2483" s="8" t="str">
        <f>VLOOKUP($D2483,설문!$C$2:$G$444,4,FALSE)</f>
        <v>금융회사</v>
      </c>
      <c r="H2483" s="8" t="str">
        <f>VLOOKUP($D2483,설문!$C$2:$G$444,5,FALSE)</f>
        <v>국내주식/지수,해외주식/지수</v>
      </c>
    </row>
    <row r="2484" spans="1:8">
      <c r="A2484" s="6" t="s">
        <v>235</v>
      </c>
      <c r="B2484" s="7" t="s">
        <v>6154</v>
      </c>
      <c r="C2484" s="7" t="s">
        <v>6154</v>
      </c>
      <c r="D2484" s="7" t="s">
        <v>6155</v>
      </c>
      <c r="E2484" s="6" t="s">
        <v>6156</v>
      </c>
      <c r="F2484" s="8" t="str">
        <f>VLOOKUP($D2484,설문!$C$2:$G$444,3,FALSE)</f>
        <v>딜러,리스크관리(미들)</v>
      </c>
      <c r="G2484" s="8" t="str">
        <f>VLOOKUP($D2484,설문!$C$2:$G$444,4,FALSE)</f>
        <v>금융회사,금융 유관기관,일반기업고객,개인고객</v>
      </c>
      <c r="H2484" s="8" t="str">
        <f>VLOOKUP($D2484,설문!$C$2:$G$444,5,FALSE)</f>
        <v>국내주식/지수,국내주식/지수관련파생,해외주식/지수,해외주식/지수관련파생,ELS/DLS</v>
      </c>
    </row>
    <row r="2485" spans="1:8">
      <c r="A2485" s="6" t="s">
        <v>235</v>
      </c>
      <c r="B2485" s="7" t="s">
        <v>6157</v>
      </c>
      <c r="C2485" s="7" t="s">
        <v>6157</v>
      </c>
      <c r="D2485" s="7" t="s">
        <v>6158</v>
      </c>
      <c r="E2485" s="6" t="s">
        <v>6159</v>
      </c>
      <c r="F2485" s="8" t="e">
        <f>VLOOKUP($D2485,설문!$C$2:$G$444,3,FALSE)</f>
        <v>#N/A</v>
      </c>
      <c r="G2485" s="8" t="e">
        <f>VLOOKUP($D2485,설문!$C$2:$G$444,4,FALSE)</f>
        <v>#N/A</v>
      </c>
      <c r="H2485" s="8" t="e">
        <f>VLOOKUP($D2485,설문!$C$2:$G$444,5,FALSE)</f>
        <v>#N/A</v>
      </c>
    </row>
    <row r="2486" spans="1:8">
      <c r="A2486" s="6" t="s">
        <v>235</v>
      </c>
      <c r="B2486" s="7" t="s">
        <v>6157</v>
      </c>
      <c r="C2486" s="7" t="s">
        <v>6160</v>
      </c>
      <c r="D2486" s="7" t="s">
        <v>6161</v>
      </c>
      <c r="E2486" s="6" t="s">
        <v>6162</v>
      </c>
      <c r="F2486" s="8" t="e">
        <f>VLOOKUP($D2486,설문!$C$2:$G$444,3,FALSE)</f>
        <v>#N/A</v>
      </c>
      <c r="G2486" s="8" t="e">
        <f>VLOOKUP($D2486,설문!$C$2:$G$444,4,FALSE)</f>
        <v>#N/A</v>
      </c>
      <c r="H2486" s="8" t="e">
        <f>VLOOKUP($D2486,설문!$C$2:$G$444,5,FALSE)</f>
        <v>#N/A</v>
      </c>
    </row>
    <row r="2487" spans="1:8">
      <c r="A2487" s="6" t="s">
        <v>235</v>
      </c>
      <c r="B2487" s="7" t="s">
        <v>6157</v>
      </c>
      <c r="C2487" s="7" t="s">
        <v>6160</v>
      </c>
      <c r="D2487" s="7" t="s">
        <v>6163</v>
      </c>
      <c r="E2487" s="6" t="s">
        <v>6164</v>
      </c>
      <c r="F2487" s="8" t="e">
        <f>VLOOKUP($D2487,설문!$C$2:$G$444,3,FALSE)</f>
        <v>#N/A</v>
      </c>
      <c r="G2487" s="8" t="e">
        <f>VLOOKUP($D2487,설문!$C$2:$G$444,4,FALSE)</f>
        <v>#N/A</v>
      </c>
      <c r="H2487" s="8" t="e">
        <f>VLOOKUP($D2487,설문!$C$2:$G$444,5,FALSE)</f>
        <v>#N/A</v>
      </c>
    </row>
    <row r="2488" spans="1:8">
      <c r="A2488" s="6" t="s">
        <v>235</v>
      </c>
      <c r="B2488" s="7" t="s">
        <v>6157</v>
      </c>
      <c r="C2488" s="7" t="s">
        <v>6160</v>
      </c>
      <c r="D2488" s="7" t="s">
        <v>6165</v>
      </c>
      <c r="E2488" s="6" t="s">
        <v>6166</v>
      </c>
      <c r="F2488" s="8" t="e">
        <f>VLOOKUP($D2488,설문!$C$2:$G$444,3,FALSE)</f>
        <v>#N/A</v>
      </c>
      <c r="G2488" s="8" t="e">
        <f>VLOOKUP($D2488,설문!$C$2:$G$444,4,FALSE)</f>
        <v>#N/A</v>
      </c>
      <c r="H2488" s="8" t="e">
        <f>VLOOKUP($D2488,설문!$C$2:$G$444,5,FALSE)</f>
        <v>#N/A</v>
      </c>
    </row>
    <row r="2489" spans="1:8">
      <c r="A2489" s="6" t="s">
        <v>235</v>
      </c>
      <c r="B2489" s="7" t="s">
        <v>6157</v>
      </c>
      <c r="C2489" s="7" t="s">
        <v>6160</v>
      </c>
      <c r="D2489" s="7" t="s">
        <v>6167</v>
      </c>
      <c r="E2489" s="6" t="s">
        <v>6168</v>
      </c>
      <c r="F2489" s="8" t="e">
        <f>VLOOKUP($D2489,설문!$C$2:$G$444,3,FALSE)</f>
        <v>#N/A</v>
      </c>
      <c r="G2489" s="8" t="e">
        <f>VLOOKUP($D2489,설문!$C$2:$G$444,4,FALSE)</f>
        <v>#N/A</v>
      </c>
      <c r="H2489" s="8" t="e">
        <f>VLOOKUP($D2489,설문!$C$2:$G$444,5,FALSE)</f>
        <v>#N/A</v>
      </c>
    </row>
    <row r="2490" spans="1:8">
      <c r="A2490" s="6" t="s">
        <v>235</v>
      </c>
      <c r="B2490" s="7" t="s">
        <v>6169</v>
      </c>
      <c r="C2490" s="7" t="s">
        <v>6170</v>
      </c>
      <c r="D2490" s="7" t="s">
        <v>6171</v>
      </c>
      <c r="E2490" s="6" t="s">
        <v>6172</v>
      </c>
      <c r="F2490" s="8" t="e">
        <f>VLOOKUP($D2490,설문!$C$2:$G$444,3,FALSE)</f>
        <v>#N/A</v>
      </c>
      <c r="G2490" s="8" t="e">
        <f>VLOOKUP($D2490,설문!$C$2:$G$444,4,FALSE)</f>
        <v>#N/A</v>
      </c>
      <c r="H2490" s="8" t="e">
        <f>VLOOKUP($D2490,설문!$C$2:$G$444,5,FALSE)</f>
        <v>#N/A</v>
      </c>
    </row>
    <row r="2491" spans="1:8">
      <c r="A2491" s="6" t="s">
        <v>235</v>
      </c>
      <c r="B2491" s="7" t="s">
        <v>6173</v>
      </c>
      <c r="C2491" s="7" t="s">
        <v>6173</v>
      </c>
      <c r="D2491" s="7" t="s">
        <v>6174</v>
      </c>
      <c r="E2491" s="6" t="s">
        <v>6175</v>
      </c>
      <c r="F2491" s="8" t="e">
        <f>VLOOKUP($D2491,설문!$C$2:$G$444,3,FALSE)</f>
        <v>#N/A</v>
      </c>
      <c r="G2491" s="8" t="e">
        <f>VLOOKUP($D2491,설문!$C$2:$G$444,4,FALSE)</f>
        <v>#N/A</v>
      </c>
      <c r="H2491" s="8" t="e">
        <f>VLOOKUP($D2491,설문!$C$2:$G$444,5,FALSE)</f>
        <v>#N/A</v>
      </c>
    </row>
    <row r="2492" spans="1:8">
      <c r="A2492" s="6" t="s">
        <v>235</v>
      </c>
      <c r="B2492" s="7" t="s">
        <v>6173</v>
      </c>
      <c r="C2492" s="7" t="s">
        <v>6173</v>
      </c>
      <c r="D2492" s="7" t="s">
        <v>6176</v>
      </c>
      <c r="E2492" s="6" t="s">
        <v>6177</v>
      </c>
      <c r="F2492" s="8" t="e">
        <f>VLOOKUP($D2492,설문!$C$2:$G$444,3,FALSE)</f>
        <v>#N/A</v>
      </c>
      <c r="G2492" s="8" t="e">
        <f>VLOOKUP($D2492,설문!$C$2:$G$444,4,FALSE)</f>
        <v>#N/A</v>
      </c>
      <c r="H2492" s="8" t="e">
        <f>VLOOKUP($D2492,설문!$C$2:$G$444,5,FALSE)</f>
        <v>#N/A</v>
      </c>
    </row>
    <row r="2493" spans="1:8">
      <c r="A2493" s="6" t="s">
        <v>235</v>
      </c>
      <c r="B2493" s="7" t="s">
        <v>6173</v>
      </c>
      <c r="C2493" s="7" t="s">
        <v>6173</v>
      </c>
      <c r="D2493" s="7" t="s">
        <v>6178</v>
      </c>
      <c r="E2493" s="6" t="s">
        <v>6179</v>
      </c>
      <c r="F2493" s="8" t="e">
        <f>VLOOKUP($D2493,설문!$C$2:$G$444,3,FALSE)</f>
        <v>#N/A</v>
      </c>
      <c r="G2493" s="8" t="e">
        <f>VLOOKUP($D2493,설문!$C$2:$G$444,4,FALSE)</f>
        <v>#N/A</v>
      </c>
      <c r="H2493" s="8" t="e">
        <f>VLOOKUP($D2493,설문!$C$2:$G$444,5,FALSE)</f>
        <v>#N/A</v>
      </c>
    </row>
    <row r="2494" spans="1:8">
      <c r="A2494" s="6" t="s">
        <v>235</v>
      </c>
      <c r="B2494" s="7" t="s">
        <v>6173</v>
      </c>
      <c r="C2494" s="7" t="s">
        <v>6173</v>
      </c>
      <c r="D2494" s="7" t="s">
        <v>6180</v>
      </c>
      <c r="E2494" s="6" t="s">
        <v>6179</v>
      </c>
      <c r="F2494" s="8" t="e">
        <f>VLOOKUP($D2494,설문!$C$2:$G$444,3,FALSE)</f>
        <v>#N/A</v>
      </c>
      <c r="G2494" s="8" t="e">
        <f>VLOOKUP($D2494,설문!$C$2:$G$444,4,FALSE)</f>
        <v>#N/A</v>
      </c>
      <c r="H2494" s="8" t="e">
        <f>VLOOKUP($D2494,설문!$C$2:$G$444,5,FALSE)</f>
        <v>#N/A</v>
      </c>
    </row>
    <row r="2495" spans="1:8">
      <c r="A2495" s="6" t="s">
        <v>235</v>
      </c>
      <c r="B2495" s="7" t="s">
        <v>6173</v>
      </c>
      <c r="C2495" s="7" t="s">
        <v>6173</v>
      </c>
      <c r="D2495" s="7" t="s">
        <v>6181</v>
      </c>
      <c r="E2495" s="6" t="s">
        <v>6182</v>
      </c>
      <c r="F2495" s="8" t="e">
        <f>VLOOKUP($D2495,설문!$C$2:$G$444,3,FALSE)</f>
        <v>#N/A</v>
      </c>
      <c r="G2495" s="8" t="e">
        <f>VLOOKUP($D2495,설문!$C$2:$G$444,4,FALSE)</f>
        <v>#N/A</v>
      </c>
      <c r="H2495" s="8" t="e">
        <f>VLOOKUP($D2495,설문!$C$2:$G$444,5,FALSE)</f>
        <v>#N/A</v>
      </c>
    </row>
    <row r="2496" spans="1:8">
      <c r="A2496" s="6" t="s">
        <v>235</v>
      </c>
      <c r="B2496" s="7" t="s">
        <v>6173</v>
      </c>
      <c r="C2496" s="7" t="s">
        <v>6173</v>
      </c>
      <c r="D2496" s="7" t="s">
        <v>6183</v>
      </c>
      <c r="E2496" s="6" t="s">
        <v>6184</v>
      </c>
      <c r="F2496" s="8" t="e">
        <f>VLOOKUP($D2496,설문!$C$2:$G$444,3,FALSE)</f>
        <v>#N/A</v>
      </c>
      <c r="G2496" s="8" t="e">
        <f>VLOOKUP($D2496,설문!$C$2:$G$444,4,FALSE)</f>
        <v>#N/A</v>
      </c>
      <c r="H2496" s="8" t="e">
        <f>VLOOKUP($D2496,설문!$C$2:$G$444,5,FALSE)</f>
        <v>#N/A</v>
      </c>
    </row>
    <row r="2497" spans="1:8">
      <c r="A2497" s="6" t="s">
        <v>235</v>
      </c>
      <c r="B2497" s="7" t="s">
        <v>6173</v>
      </c>
      <c r="C2497" s="7" t="s">
        <v>6173</v>
      </c>
      <c r="D2497" s="7" t="s">
        <v>6185</v>
      </c>
      <c r="E2497" s="6" t="s">
        <v>6186</v>
      </c>
      <c r="F2497" s="8" t="e">
        <f>VLOOKUP($D2497,설문!$C$2:$G$444,3,FALSE)</f>
        <v>#N/A</v>
      </c>
      <c r="G2497" s="8" t="e">
        <f>VLOOKUP($D2497,설문!$C$2:$G$444,4,FALSE)</f>
        <v>#N/A</v>
      </c>
      <c r="H2497" s="8" t="e">
        <f>VLOOKUP($D2497,설문!$C$2:$G$444,5,FALSE)</f>
        <v>#N/A</v>
      </c>
    </row>
    <row r="2498" spans="1:8">
      <c r="A2498" s="6" t="s">
        <v>235</v>
      </c>
      <c r="B2498" s="7" t="s">
        <v>6173</v>
      </c>
      <c r="C2498" s="7" t="s">
        <v>6173</v>
      </c>
      <c r="D2498" s="7" t="s">
        <v>6187</v>
      </c>
      <c r="E2498" s="6" t="s">
        <v>6188</v>
      </c>
      <c r="F2498" s="8" t="str">
        <f>VLOOKUP($D2498,설문!$C$2:$G$444,3,FALSE)</f>
        <v>세일즈</v>
      </c>
      <c r="G2498" s="8" t="str">
        <f>VLOOKUP($D2498,설문!$C$2:$G$444,4,FALSE)</f>
        <v>금융회사</v>
      </c>
      <c r="H2498" s="8" t="str">
        <f>VLOOKUP($D2498,설문!$C$2:$G$444,5,FALSE)</f>
        <v>국고채/통안채,회사채,원화 구조화채권</v>
      </c>
    </row>
    <row r="2499" spans="1:8">
      <c r="A2499" s="6" t="s">
        <v>235</v>
      </c>
      <c r="B2499" s="7" t="s">
        <v>6173</v>
      </c>
      <c r="C2499" s="7" t="s">
        <v>6173</v>
      </c>
      <c r="D2499" s="7" t="s">
        <v>6189</v>
      </c>
      <c r="E2499" s="6" t="s">
        <v>6175</v>
      </c>
      <c r="F2499" s="8" t="e">
        <f>VLOOKUP($D2499,설문!$C$2:$G$444,3,FALSE)</f>
        <v>#N/A</v>
      </c>
      <c r="G2499" s="8" t="e">
        <f>VLOOKUP($D2499,설문!$C$2:$G$444,4,FALSE)</f>
        <v>#N/A</v>
      </c>
      <c r="H2499" s="8" t="e">
        <f>VLOOKUP($D2499,설문!$C$2:$G$444,5,FALSE)</f>
        <v>#N/A</v>
      </c>
    </row>
    <row r="2500" spans="1:8">
      <c r="A2500" s="6" t="s">
        <v>235</v>
      </c>
      <c r="B2500" s="7" t="s">
        <v>6190</v>
      </c>
      <c r="C2500" s="7" t="s">
        <v>6191</v>
      </c>
      <c r="D2500" s="7" t="s">
        <v>6192</v>
      </c>
      <c r="E2500" s="6" t="s">
        <v>6193</v>
      </c>
      <c r="F2500" s="8" t="e">
        <f>VLOOKUP($D2500,설문!$C$2:$G$444,3,FALSE)</f>
        <v>#N/A</v>
      </c>
      <c r="G2500" s="8" t="e">
        <f>VLOOKUP($D2500,설문!$C$2:$G$444,4,FALSE)</f>
        <v>#N/A</v>
      </c>
      <c r="H2500" s="8" t="e">
        <f>VLOOKUP($D2500,설문!$C$2:$G$444,5,FALSE)</f>
        <v>#N/A</v>
      </c>
    </row>
    <row r="2501" spans="1:8">
      <c r="A2501" s="6" t="s">
        <v>235</v>
      </c>
      <c r="B2501" s="7" t="s">
        <v>1668</v>
      </c>
      <c r="C2501" s="7" t="s">
        <v>1668</v>
      </c>
      <c r="D2501" s="7" t="s">
        <v>6194</v>
      </c>
      <c r="E2501" s="6" t="s">
        <v>6195</v>
      </c>
      <c r="F2501" s="8" t="e">
        <f>VLOOKUP($D2501,설문!$C$2:$G$444,3,FALSE)</f>
        <v>#N/A</v>
      </c>
      <c r="G2501" s="8" t="e">
        <f>VLOOKUP($D2501,설문!$C$2:$G$444,4,FALSE)</f>
        <v>#N/A</v>
      </c>
      <c r="H2501" s="8" t="e">
        <f>VLOOKUP($D2501,설문!$C$2:$G$444,5,FALSE)</f>
        <v>#N/A</v>
      </c>
    </row>
    <row r="2502" spans="1:8">
      <c r="A2502" s="6" t="s">
        <v>235</v>
      </c>
      <c r="B2502" s="7" t="s">
        <v>6196</v>
      </c>
      <c r="C2502" s="7" t="s">
        <v>6196</v>
      </c>
      <c r="D2502" s="7" t="s">
        <v>6197</v>
      </c>
      <c r="E2502" s="6" t="s">
        <v>6198</v>
      </c>
      <c r="F2502" s="8" t="str">
        <f>VLOOKUP($D2502,설문!$C$2:$G$444,3,FALSE)</f>
        <v>펀드매니저,트레이더,딜러</v>
      </c>
      <c r="G2502" s="8" t="str">
        <f>VLOOKUP($D2502,설문!$C$2:$G$444,4,FALSE)</f>
        <v>금융회사</v>
      </c>
      <c r="H2502" s="8" t="str">
        <f>VLOOKUP($D2502,설문!$C$2:$G$444,5,FALSE)</f>
        <v>국고채/통안채,원화 구조화채권</v>
      </c>
    </row>
    <row r="2503" spans="1:8">
      <c r="A2503" s="6" t="s">
        <v>235</v>
      </c>
      <c r="B2503" s="7" t="s">
        <v>6196</v>
      </c>
      <c r="C2503" s="7" t="s">
        <v>5526</v>
      </c>
      <c r="D2503" s="7" t="s">
        <v>6199</v>
      </c>
      <c r="E2503" s="6" t="s">
        <v>6200</v>
      </c>
      <c r="F2503" s="8" t="e">
        <f>VLOOKUP($D2503,설문!$C$2:$G$444,3,FALSE)</f>
        <v>#N/A</v>
      </c>
      <c r="G2503" s="8" t="e">
        <f>VLOOKUP($D2503,설문!$C$2:$G$444,4,FALSE)</f>
        <v>#N/A</v>
      </c>
      <c r="H2503" s="8" t="e">
        <f>VLOOKUP($D2503,설문!$C$2:$G$444,5,FALSE)</f>
        <v>#N/A</v>
      </c>
    </row>
    <row r="2504" spans="1:8">
      <c r="A2504" s="6" t="s">
        <v>235</v>
      </c>
      <c r="B2504" s="7" t="s">
        <v>6201</v>
      </c>
      <c r="C2504" s="7" t="s">
        <v>6202</v>
      </c>
      <c r="D2504" s="7" t="s">
        <v>6203</v>
      </c>
      <c r="E2504" s="6" t="s">
        <v>6204</v>
      </c>
      <c r="F2504" s="8" t="e">
        <f>VLOOKUP($D2504,설문!$C$2:$G$444,3,FALSE)</f>
        <v>#N/A</v>
      </c>
      <c r="G2504" s="8" t="e">
        <f>VLOOKUP($D2504,설문!$C$2:$G$444,4,FALSE)</f>
        <v>#N/A</v>
      </c>
      <c r="H2504" s="8" t="e">
        <f>VLOOKUP($D2504,설문!$C$2:$G$444,5,FALSE)</f>
        <v>#N/A</v>
      </c>
    </row>
    <row r="2505" spans="1:8">
      <c r="A2505" s="6" t="s">
        <v>235</v>
      </c>
      <c r="B2505" s="7" t="s">
        <v>6145</v>
      </c>
      <c r="C2505" s="7" t="s">
        <v>6145</v>
      </c>
      <c r="D2505" s="7" t="s">
        <v>6205</v>
      </c>
      <c r="E2505" s="6" t="s">
        <v>6206</v>
      </c>
      <c r="F2505" s="8" t="e">
        <f>VLOOKUP($D2505,설문!$C$2:$G$444,3,FALSE)</f>
        <v>#N/A</v>
      </c>
      <c r="G2505" s="8" t="e">
        <f>VLOOKUP($D2505,설문!$C$2:$G$444,4,FALSE)</f>
        <v>#N/A</v>
      </c>
      <c r="H2505" s="8" t="e">
        <f>VLOOKUP($D2505,설문!$C$2:$G$444,5,FALSE)</f>
        <v>#N/A</v>
      </c>
    </row>
    <row r="2506" spans="1:8">
      <c r="A2506" s="6" t="s">
        <v>235</v>
      </c>
      <c r="B2506" s="7" t="s">
        <v>700</v>
      </c>
      <c r="C2506" s="7" t="s">
        <v>700</v>
      </c>
      <c r="D2506" s="7" t="s">
        <v>6207</v>
      </c>
      <c r="E2506" s="6" t="s">
        <v>6208</v>
      </c>
      <c r="F2506" s="8" t="e">
        <f>VLOOKUP($D2506,설문!$C$2:$G$444,3,FALSE)</f>
        <v>#N/A</v>
      </c>
      <c r="G2506" s="8" t="e">
        <f>VLOOKUP($D2506,설문!$C$2:$G$444,4,FALSE)</f>
        <v>#N/A</v>
      </c>
      <c r="H2506" s="8" t="e">
        <f>VLOOKUP($D2506,설문!$C$2:$G$444,5,FALSE)</f>
        <v>#N/A</v>
      </c>
    </row>
    <row r="2507" spans="1:8">
      <c r="A2507" s="6" t="s">
        <v>235</v>
      </c>
      <c r="B2507" s="7" t="s">
        <v>1079</v>
      </c>
      <c r="C2507" s="7" t="s">
        <v>1512</v>
      </c>
      <c r="D2507" s="7" t="s">
        <v>6209</v>
      </c>
      <c r="E2507" s="6" t="s">
        <v>6210</v>
      </c>
      <c r="F2507" s="8" t="e">
        <f>VLOOKUP($D2507,설문!$C$2:$G$444,3,FALSE)</f>
        <v>#N/A</v>
      </c>
      <c r="G2507" s="8" t="e">
        <f>VLOOKUP($D2507,설문!$C$2:$G$444,4,FALSE)</f>
        <v>#N/A</v>
      </c>
      <c r="H2507" s="8" t="e">
        <f>VLOOKUP($D2507,설문!$C$2:$G$444,5,FALSE)</f>
        <v>#N/A</v>
      </c>
    </row>
    <row r="2508" spans="1:8">
      <c r="A2508" s="6" t="s">
        <v>235</v>
      </c>
      <c r="B2508" s="7" t="s">
        <v>4636</v>
      </c>
      <c r="C2508" s="7" t="s">
        <v>6211</v>
      </c>
      <c r="D2508" s="7" t="s">
        <v>6212</v>
      </c>
      <c r="E2508" s="6" t="s">
        <v>6213</v>
      </c>
      <c r="F2508" s="8" t="str">
        <f>VLOOKUP($D2508,설문!$C$2:$G$444,3,FALSE)</f>
        <v>세일즈,브로커</v>
      </c>
      <c r="G2508" s="8" t="str">
        <f>VLOOKUP($D2508,설문!$C$2:$G$444,4,FALSE)</f>
        <v>금융회사,일반기업고객</v>
      </c>
      <c r="H2508" s="8" t="str">
        <f>VLOOKUP($D2508,설문!$C$2:$G$444,5,FALSE)</f>
        <v>회사채,원화 구조화채권</v>
      </c>
    </row>
    <row r="2509" spans="1:8">
      <c r="A2509" s="6" t="s">
        <v>235</v>
      </c>
      <c r="B2509" s="7" t="s">
        <v>6214</v>
      </c>
      <c r="C2509" s="7" t="s">
        <v>1119</v>
      </c>
      <c r="D2509" s="7" t="s">
        <v>6215</v>
      </c>
      <c r="E2509" s="6" t="s">
        <v>866</v>
      </c>
      <c r="F2509" s="8" t="e">
        <f>VLOOKUP($D2509,설문!$C$2:$G$444,3,FALSE)</f>
        <v>#N/A</v>
      </c>
      <c r="G2509" s="8" t="e">
        <f>VLOOKUP($D2509,설문!$C$2:$G$444,4,FALSE)</f>
        <v>#N/A</v>
      </c>
      <c r="H2509" s="8" t="e">
        <f>VLOOKUP($D2509,설문!$C$2:$G$444,5,FALSE)</f>
        <v>#N/A</v>
      </c>
    </row>
    <row r="2510" spans="1:8">
      <c r="A2510" s="6" t="s">
        <v>235</v>
      </c>
      <c r="B2510" s="7" t="s">
        <v>6214</v>
      </c>
      <c r="C2510" s="7" t="s">
        <v>1119</v>
      </c>
      <c r="D2510" s="7" t="s">
        <v>6216</v>
      </c>
      <c r="E2510" s="6" t="s">
        <v>6217</v>
      </c>
      <c r="F2510" s="8" t="e">
        <f>VLOOKUP($D2510,설문!$C$2:$G$444,3,FALSE)</f>
        <v>#N/A</v>
      </c>
      <c r="G2510" s="8" t="e">
        <f>VLOOKUP($D2510,설문!$C$2:$G$444,4,FALSE)</f>
        <v>#N/A</v>
      </c>
      <c r="H2510" s="8" t="e">
        <f>VLOOKUP($D2510,설문!$C$2:$G$444,5,FALSE)</f>
        <v>#N/A</v>
      </c>
    </row>
    <row r="2511" spans="1:8">
      <c r="A2511" s="6" t="s">
        <v>235</v>
      </c>
      <c r="B2511" s="7" t="s">
        <v>6214</v>
      </c>
      <c r="C2511" s="7" t="s">
        <v>1119</v>
      </c>
      <c r="D2511" s="7" t="s">
        <v>6218</v>
      </c>
      <c r="E2511" s="6" t="s">
        <v>1176</v>
      </c>
      <c r="F2511" s="8" t="e">
        <f>VLOOKUP($D2511,설문!$C$2:$G$444,3,FALSE)</f>
        <v>#N/A</v>
      </c>
      <c r="G2511" s="8" t="e">
        <f>VLOOKUP($D2511,설문!$C$2:$G$444,4,FALSE)</f>
        <v>#N/A</v>
      </c>
      <c r="H2511" s="8" t="e">
        <f>VLOOKUP($D2511,설문!$C$2:$G$444,5,FALSE)</f>
        <v>#N/A</v>
      </c>
    </row>
    <row r="2512" spans="1:8">
      <c r="A2512" s="6" t="s">
        <v>235</v>
      </c>
      <c r="B2512" s="7" t="s">
        <v>6219</v>
      </c>
      <c r="C2512" s="7" t="s">
        <v>365</v>
      </c>
      <c r="D2512" s="7" t="s">
        <v>6220</v>
      </c>
      <c r="E2512" s="6" t="s">
        <v>972</v>
      </c>
      <c r="F2512" s="8" t="e">
        <f>VLOOKUP($D2512,설문!$C$2:$G$444,3,FALSE)</f>
        <v>#N/A</v>
      </c>
      <c r="G2512" s="8" t="e">
        <f>VLOOKUP($D2512,설문!$C$2:$G$444,4,FALSE)</f>
        <v>#N/A</v>
      </c>
      <c r="H2512" s="8" t="e">
        <f>VLOOKUP($D2512,설문!$C$2:$G$444,5,FALSE)</f>
        <v>#N/A</v>
      </c>
    </row>
    <row r="2513" spans="1:8">
      <c r="A2513" s="6" t="s">
        <v>235</v>
      </c>
      <c r="B2513" s="7" t="s">
        <v>6219</v>
      </c>
      <c r="C2513" s="7" t="s">
        <v>365</v>
      </c>
      <c r="D2513" s="7" t="s">
        <v>6221</v>
      </c>
      <c r="E2513" s="6" t="s">
        <v>6222</v>
      </c>
      <c r="F2513" s="8" t="str">
        <f>VLOOKUP($D2513,설문!$C$2:$G$444,3,FALSE)</f>
        <v>트레이더</v>
      </c>
      <c r="G2513" s="8" t="str">
        <f>VLOOKUP($D2513,설문!$C$2:$G$444,4,FALSE)</f>
        <v>금융회사</v>
      </c>
      <c r="H2513" s="8" t="str">
        <f>VLOOKUP($D2513,설문!$C$2:$G$444,5,FALSE)</f>
        <v>국고채/통안채,회사채,국채선물,Korean Paper,외화채권(KP제외),외화채권선물,원화 구조화채권,외화 구조화채권,원화 이자율스왑,외화 이자율스왑,FX Spot &amp; FX Swap,CRS &amp; FX Option,신용파생,원자재파생,ELS/DLS</v>
      </c>
    </row>
    <row r="2514" spans="1:8">
      <c r="A2514" s="6" t="s">
        <v>235</v>
      </c>
      <c r="B2514" s="7" t="s">
        <v>6219</v>
      </c>
      <c r="C2514" s="7" t="s">
        <v>365</v>
      </c>
      <c r="D2514" s="7" t="s">
        <v>6223</v>
      </c>
      <c r="E2514" s="6" t="s">
        <v>6224</v>
      </c>
      <c r="F2514" s="8" t="e">
        <f>VLOOKUP($D2514,설문!$C$2:$G$444,3,FALSE)</f>
        <v>#N/A</v>
      </c>
      <c r="G2514" s="8" t="e">
        <f>VLOOKUP($D2514,설문!$C$2:$G$444,4,FALSE)</f>
        <v>#N/A</v>
      </c>
      <c r="H2514" s="8" t="e">
        <f>VLOOKUP($D2514,설문!$C$2:$G$444,5,FALSE)</f>
        <v>#N/A</v>
      </c>
    </row>
    <row r="2515" spans="1:8">
      <c r="A2515" s="6" t="s">
        <v>235</v>
      </c>
      <c r="B2515" s="7" t="s">
        <v>6219</v>
      </c>
      <c r="C2515" s="7" t="s">
        <v>365</v>
      </c>
      <c r="D2515" s="7" t="s">
        <v>6225</v>
      </c>
      <c r="E2515" s="6" t="s">
        <v>591</v>
      </c>
      <c r="F2515" s="8" t="e">
        <f>VLOOKUP($D2515,설문!$C$2:$G$444,3,FALSE)</f>
        <v>#N/A</v>
      </c>
      <c r="G2515" s="8" t="e">
        <f>VLOOKUP($D2515,설문!$C$2:$G$444,4,FALSE)</f>
        <v>#N/A</v>
      </c>
      <c r="H2515" s="8" t="e">
        <f>VLOOKUP($D2515,설문!$C$2:$G$444,5,FALSE)</f>
        <v>#N/A</v>
      </c>
    </row>
    <row r="2516" spans="1:8">
      <c r="A2516" s="6" t="s">
        <v>235</v>
      </c>
      <c r="B2516" s="7" t="s">
        <v>6219</v>
      </c>
      <c r="C2516" s="7" t="s">
        <v>365</v>
      </c>
      <c r="D2516" s="7" t="s">
        <v>6226</v>
      </c>
      <c r="E2516" s="6" t="s">
        <v>6227</v>
      </c>
      <c r="F2516" s="8" t="e">
        <f>VLOOKUP($D2516,설문!$C$2:$G$444,3,FALSE)</f>
        <v>#N/A</v>
      </c>
      <c r="G2516" s="8" t="e">
        <f>VLOOKUP($D2516,설문!$C$2:$G$444,4,FALSE)</f>
        <v>#N/A</v>
      </c>
      <c r="H2516" s="8" t="e">
        <f>VLOOKUP($D2516,설문!$C$2:$G$444,5,FALSE)</f>
        <v>#N/A</v>
      </c>
    </row>
    <row r="2517" spans="1:8">
      <c r="A2517" s="6" t="s">
        <v>235</v>
      </c>
      <c r="B2517" s="7" t="s">
        <v>6228</v>
      </c>
      <c r="C2517" s="7" t="s">
        <v>6229</v>
      </c>
      <c r="D2517" s="7" t="s">
        <v>6230</v>
      </c>
      <c r="E2517" s="6" t="s">
        <v>6231</v>
      </c>
      <c r="F2517" s="8" t="e">
        <f>VLOOKUP($D2517,설문!$C$2:$G$444,3,FALSE)</f>
        <v>#N/A</v>
      </c>
      <c r="G2517" s="8" t="e">
        <f>VLOOKUP($D2517,설문!$C$2:$G$444,4,FALSE)</f>
        <v>#N/A</v>
      </c>
      <c r="H2517" s="8" t="e">
        <f>VLOOKUP($D2517,설문!$C$2:$G$444,5,FALSE)</f>
        <v>#N/A</v>
      </c>
    </row>
    <row r="2518" spans="1:8">
      <c r="A2518" s="6" t="s">
        <v>235</v>
      </c>
      <c r="B2518" s="7" t="s">
        <v>6228</v>
      </c>
      <c r="C2518" s="7" t="s">
        <v>6229</v>
      </c>
      <c r="D2518" s="7" t="s">
        <v>6232</v>
      </c>
      <c r="E2518" s="6" t="s">
        <v>6233</v>
      </c>
      <c r="F2518" s="8" t="e">
        <f>VLOOKUP($D2518,설문!$C$2:$G$444,3,FALSE)</f>
        <v>#N/A</v>
      </c>
      <c r="G2518" s="8" t="e">
        <f>VLOOKUP($D2518,설문!$C$2:$G$444,4,FALSE)</f>
        <v>#N/A</v>
      </c>
      <c r="H2518" s="8" t="e">
        <f>VLOOKUP($D2518,설문!$C$2:$G$444,5,FALSE)</f>
        <v>#N/A</v>
      </c>
    </row>
    <row r="2519" spans="1:8">
      <c r="A2519" s="6" t="s">
        <v>235</v>
      </c>
      <c r="B2519" s="7" t="s">
        <v>6154</v>
      </c>
      <c r="C2519" s="7" t="s">
        <v>6154</v>
      </c>
      <c r="D2519" s="7" t="s">
        <v>6234</v>
      </c>
      <c r="E2519" s="6" t="s">
        <v>6235</v>
      </c>
      <c r="F2519" s="8" t="e">
        <f>VLOOKUP($D2519,설문!$C$2:$G$444,3,FALSE)</f>
        <v>#N/A</v>
      </c>
      <c r="G2519" s="8" t="e">
        <f>VLOOKUP($D2519,설문!$C$2:$G$444,4,FALSE)</f>
        <v>#N/A</v>
      </c>
      <c r="H2519" s="8" t="e">
        <f>VLOOKUP($D2519,설문!$C$2:$G$444,5,FALSE)</f>
        <v>#N/A</v>
      </c>
    </row>
    <row r="2520" spans="1:8">
      <c r="A2520" s="6" t="s">
        <v>235</v>
      </c>
      <c r="B2520" s="7" t="s">
        <v>6236</v>
      </c>
      <c r="C2520" s="7" t="s">
        <v>881</v>
      </c>
      <c r="D2520" s="7" t="s">
        <v>6237</v>
      </c>
      <c r="E2520" s="6" t="s">
        <v>2583</v>
      </c>
      <c r="F2520" s="8" t="e">
        <f>VLOOKUP($D2520,설문!$C$2:$G$444,3,FALSE)</f>
        <v>#N/A</v>
      </c>
      <c r="G2520" s="8" t="e">
        <f>VLOOKUP($D2520,설문!$C$2:$G$444,4,FALSE)</f>
        <v>#N/A</v>
      </c>
      <c r="H2520" s="8" t="e">
        <f>VLOOKUP($D2520,설문!$C$2:$G$444,5,FALSE)</f>
        <v>#N/A</v>
      </c>
    </row>
    <row r="2521" spans="1:8">
      <c r="A2521" s="6" t="s">
        <v>235</v>
      </c>
      <c r="B2521" s="7" t="s">
        <v>6236</v>
      </c>
      <c r="C2521" s="7" t="s">
        <v>881</v>
      </c>
      <c r="D2521" s="7" t="s">
        <v>6238</v>
      </c>
      <c r="E2521" s="6" t="s">
        <v>4206</v>
      </c>
      <c r="F2521" s="8" t="e">
        <f>VLOOKUP($D2521,설문!$C$2:$G$444,3,FALSE)</f>
        <v>#N/A</v>
      </c>
      <c r="G2521" s="8" t="e">
        <f>VLOOKUP($D2521,설문!$C$2:$G$444,4,FALSE)</f>
        <v>#N/A</v>
      </c>
      <c r="H2521" s="8" t="e">
        <f>VLOOKUP($D2521,설문!$C$2:$G$444,5,FALSE)</f>
        <v>#N/A</v>
      </c>
    </row>
    <row r="2522" spans="1:8">
      <c r="A2522" s="6" t="s">
        <v>564</v>
      </c>
      <c r="B2522" s="7" t="s">
        <v>565</v>
      </c>
      <c r="C2522" s="7" t="s">
        <v>566</v>
      </c>
      <c r="D2522" s="7" t="s">
        <v>567</v>
      </c>
      <c r="E2522" s="6" t="s">
        <v>568</v>
      </c>
      <c r="F2522" s="8" t="e">
        <f>VLOOKUP($D2522,설문!$C$2:$G$444,3,FALSE)</f>
        <v>#N/A</v>
      </c>
      <c r="G2522" s="8" t="e">
        <f>VLOOKUP($D2522,설문!$C$2:$G$444,4,FALSE)</f>
        <v>#N/A</v>
      </c>
      <c r="H2522" s="8" t="e">
        <f>VLOOKUP($D2522,설문!$C$2:$G$444,5,FALSE)</f>
        <v>#N/A</v>
      </c>
    </row>
    <row r="2523" spans="1:8">
      <c r="A2523" s="6" t="s">
        <v>564</v>
      </c>
      <c r="B2523" s="7" t="s">
        <v>565</v>
      </c>
      <c r="C2523" s="7" t="s">
        <v>3703</v>
      </c>
      <c r="D2523" s="7" t="s">
        <v>3704</v>
      </c>
      <c r="E2523" s="6" t="s">
        <v>3705</v>
      </c>
      <c r="F2523" s="8" t="e">
        <f>VLOOKUP($D2523,설문!$C$2:$G$444,3,FALSE)</f>
        <v>#N/A</v>
      </c>
      <c r="G2523" s="8" t="e">
        <f>VLOOKUP($D2523,설문!$C$2:$G$444,4,FALSE)</f>
        <v>#N/A</v>
      </c>
      <c r="H2523" s="8" t="e">
        <f>VLOOKUP($D2523,설문!$C$2:$G$444,5,FALSE)</f>
        <v>#N/A</v>
      </c>
    </row>
    <row r="2524" spans="1:8">
      <c r="A2524" s="6" t="s">
        <v>564</v>
      </c>
      <c r="B2524" s="7" t="s">
        <v>565</v>
      </c>
      <c r="C2524" s="7" t="s">
        <v>3703</v>
      </c>
      <c r="D2524" s="7" t="s">
        <v>3706</v>
      </c>
      <c r="E2524" s="6" t="s">
        <v>3707</v>
      </c>
      <c r="F2524" s="8" t="e">
        <f>VLOOKUP($D2524,설문!$C$2:$G$444,3,FALSE)</f>
        <v>#N/A</v>
      </c>
      <c r="G2524" s="8" t="e">
        <f>VLOOKUP($D2524,설문!$C$2:$G$444,4,FALSE)</f>
        <v>#N/A</v>
      </c>
      <c r="H2524" s="8" t="e">
        <f>VLOOKUP($D2524,설문!$C$2:$G$444,5,FALSE)</f>
        <v>#N/A</v>
      </c>
    </row>
    <row r="2525" spans="1:8">
      <c r="A2525" s="6" t="s">
        <v>564</v>
      </c>
      <c r="B2525" s="7" t="s">
        <v>565</v>
      </c>
      <c r="C2525" s="7" t="s">
        <v>3703</v>
      </c>
      <c r="D2525" s="7" t="s">
        <v>3708</v>
      </c>
      <c r="E2525" s="6" t="s">
        <v>3709</v>
      </c>
      <c r="F2525" s="8" t="e">
        <f>VLOOKUP($D2525,설문!$C$2:$G$444,3,FALSE)</f>
        <v>#N/A</v>
      </c>
      <c r="G2525" s="8" t="e">
        <f>VLOOKUP($D2525,설문!$C$2:$G$444,4,FALSE)</f>
        <v>#N/A</v>
      </c>
      <c r="H2525" s="8" t="e">
        <f>VLOOKUP($D2525,설문!$C$2:$G$444,5,FALSE)</f>
        <v>#N/A</v>
      </c>
    </row>
    <row r="2526" spans="1:8">
      <c r="A2526" s="6" t="s">
        <v>564</v>
      </c>
      <c r="B2526" s="7" t="s">
        <v>565</v>
      </c>
      <c r="C2526" s="7" t="s">
        <v>566</v>
      </c>
      <c r="D2526" s="7" t="s">
        <v>3710</v>
      </c>
      <c r="E2526" s="6" t="s">
        <v>3711</v>
      </c>
      <c r="F2526" s="8" t="e">
        <f>VLOOKUP($D2526,설문!$C$2:$G$444,3,FALSE)</f>
        <v>#N/A</v>
      </c>
      <c r="G2526" s="8" t="e">
        <f>VLOOKUP($D2526,설문!$C$2:$G$444,4,FALSE)</f>
        <v>#N/A</v>
      </c>
      <c r="H2526" s="8" t="e">
        <f>VLOOKUP($D2526,설문!$C$2:$G$444,5,FALSE)</f>
        <v>#N/A</v>
      </c>
    </row>
    <row r="2527" spans="1:8">
      <c r="A2527" s="6" t="s">
        <v>564</v>
      </c>
      <c r="B2527" s="7" t="s">
        <v>565</v>
      </c>
      <c r="C2527" s="7" t="s">
        <v>3703</v>
      </c>
      <c r="D2527" s="7" t="s">
        <v>3712</v>
      </c>
      <c r="E2527" s="6" t="s">
        <v>3713</v>
      </c>
      <c r="F2527" s="8" t="e">
        <f>VLOOKUP($D2527,설문!$C$2:$G$444,3,FALSE)</f>
        <v>#N/A</v>
      </c>
      <c r="G2527" s="8" t="e">
        <f>VLOOKUP($D2527,설문!$C$2:$G$444,4,FALSE)</f>
        <v>#N/A</v>
      </c>
      <c r="H2527" s="8" t="e">
        <f>VLOOKUP($D2527,설문!$C$2:$G$444,5,FALSE)</f>
        <v>#N/A</v>
      </c>
    </row>
    <row r="2528" spans="1:8">
      <c r="A2528" s="6" t="s">
        <v>564</v>
      </c>
      <c r="B2528" s="7" t="s">
        <v>69</v>
      </c>
      <c r="C2528" s="7" t="s">
        <v>69</v>
      </c>
      <c r="D2528" s="7" t="s">
        <v>3714</v>
      </c>
      <c r="E2528" s="6" t="s">
        <v>3715</v>
      </c>
      <c r="F2528" s="8" t="e">
        <f>VLOOKUP($D2528,설문!$C$2:$G$444,3,FALSE)</f>
        <v>#N/A</v>
      </c>
      <c r="G2528" s="8" t="e">
        <f>VLOOKUP($D2528,설문!$C$2:$G$444,4,FALSE)</f>
        <v>#N/A</v>
      </c>
      <c r="H2528" s="8" t="e">
        <f>VLOOKUP($D2528,설문!$C$2:$G$444,5,FALSE)</f>
        <v>#N/A</v>
      </c>
    </row>
    <row r="2529" spans="1:8">
      <c r="A2529" s="6" t="s">
        <v>564</v>
      </c>
      <c r="B2529" s="7" t="s">
        <v>565</v>
      </c>
      <c r="C2529" s="7" t="s">
        <v>566</v>
      </c>
      <c r="D2529" s="7" t="s">
        <v>3716</v>
      </c>
      <c r="E2529" s="6" t="s">
        <v>3717</v>
      </c>
      <c r="F2529" s="8" t="e">
        <f>VLOOKUP($D2529,설문!$C$2:$G$444,3,FALSE)</f>
        <v>#N/A</v>
      </c>
      <c r="G2529" s="8" t="e">
        <f>VLOOKUP($D2529,설문!$C$2:$G$444,4,FALSE)</f>
        <v>#N/A</v>
      </c>
      <c r="H2529" s="8" t="e">
        <f>VLOOKUP($D2529,설문!$C$2:$G$444,5,FALSE)</f>
        <v>#N/A</v>
      </c>
    </row>
    <row r="2530" spans="1:8">
      <c r="A2530" s="6" t="s">
        <v>564</v>
      </c>
      <c r="B2530" s="7" t="s">
        <v>3718</v>
      </c>
      <c r="C2530" s="7" t="s">
        <v>3718</v>
      </c>
      <c r="D2530" s="7" t="s">
        <v>3719</v>
      </c>
      <c r="E2530" s="6" t="s">
        <v>3720</v>
      </c>
      <c r="F2530" s="8" t="e">
        <f>VLOOKUP($D2530,설문!$C$2:$G$444,3,FALSE)</f>
        <v>#N/A</v>
      </c>
      <c r="G2530" s="8" t="e">
        <f>VLOOKUP($D2530,설문!$C$2:$G$444,4,FALSE)</f>
        <v>#N/A</v>
      </c>
      <c r="H2530" s="8" t="e">
        <f>VLOOKUP($D2530,설문!$C$2:$G$444,5,FALSE)</f>
        <v>#N/A</v>
      </c>
    </row>
    <row r="2531" spans="1:8">
      <c r="A2531" s="6" t="s">
        <v>1214</v>
      </c>
      <c r="B2531" s="7" t="s">
        <v>1215</v>
      </c>
      <c r="C2531" s="7" t="s">
        <v>1215</v>
      </c>
      <c r="D2531" s="7" t="s">
        <v>1216</v>
      </c>
      <c r="E2531" s="6" t="s">
        <v>1217</v>
      </c>
      <c r="F2531" s="8" t="e">
        <f>VLOOKUP($D2531,설문!$C$2:$G$444,3,FALSE)</f>
        <v>#N/A</v>
      </c>
      <c r="G2531" s="8" t="e">
        <f>VLOOKUP($D2531,설문!$C$2:$G$444,4,FALSE)</f>
        <v>#N/A</v>
      </c>
      <c r="H2531" s="8" t="e">
        <f>VLOOKUP($D2531,설문!$C$2:$G$444,5,FALSE)</f>
        <v>#N/A</v>
      </c>
    </row>
    <row r="2532" spans="1:8">
      <c r="A2532" s="6" t="s">
        <v>1214</v>
      </c>
      <c r="B2532" s="7" t="s">
        <v>69</v>
      </c>
      <c r="C2532" s="7" t="s">
        <v>1215</v>
      </c>
      <c r="D2532" s="7" t="s">
        <v>1479</v>
      </c>
      <c r="E2532" s="6" t="s">
        <v>1480</v>
      </c>
      <c r="F2532" s="8" t="e">
        <f>VLOOKUP($D2532,설문!$C$2:$G$444,3,FALSE)</f>
        <v>#N/A</v>
      </c>
      <c r="G2532" s="8" t="e">
        <f>VLOOKUP($D2532,설문!$C$2:$G$444,4,FALSE)</f>
        <v>#N/A</v>
      </c>
      <c r="H2532" s="8" t="e">
        <f>VLOOKUP($D2532,설문!$C$2:$G$444,5,FALSE)</f>
        <v>#N/A</v>
      </c>
    </row>
    <row r="2533" spans="1:8">
      <c r="A2533" s="6" t="s">
        <v>1214</v>
      </c>
      <c r="B2533" s="7" t="s">
        <v>134</v>
      </c>
      <c r="C2533" s="7" t="s">
        <v>135</v>
      </c>
      <c r="D2533" s="7" t="s">
        <v>3517</v>
      </c>
      <c r="E2533" s="6" t="s">
        <v>3518</v>
      </c>
      <c r="F2533" s="8" t="str">
        <f>VLOOKUP($D2533,설문!$C$2:$G$444,3,FALSE)</f>
        <v>펀드매니저</v>
      </c>
      <c r="G2533" s="8" t="str">
        <f>VLOOKUP($D2533,설문!$C$2:$G$444,4,FALSE)</f>
        <v>금융회사</v>
      </c>
      <c r="H2533" s="8" t="str">
        <f>VLOOKUP($D2533,설문!$C$2:$G$444,5,FALSE)</f>
        <v>국고채/통안채,회사채,소액채권,RP,단기자금,국채선물,Korean Paper,외화채권(KP제외)</v>
      </c>
    </row>
    <row r="2534" spans="1:8">
      <c r="A2534" s="6" t="s">
        <v>1214</v>
      </c>
      <c r="B2534" s="7" t="s">
        <v>134</v>
      </c>
      <c r="C2534" s="7" t="s">
        <v>135</v>
      </c>
      <c r="D2534" s="7" t="s">
        <v>3519</v>
      </c>
      <c r="E2534" s="6" t="s">
        <v>3520</v>
      </c>
      <c r="F2534" s="8" t="e">
        <f>VLOOKUP($D2534,설문!$C$2:$G$444,3,FALSE)</f>
        <v>#N/A</v>
      </c>
      <c r="G2534" s="8" t="e">
        <f>VLOOKUP($D2534,설문!$C$2:$G$444,4,FALSE)</f>
        <v>#N/A</v>
      </c>
      <c r="H2534" s="8" t="e">
        <f>VLOOKUP($D2534,설문!$C$2:$G$444,5,FALSE)</f>
        <v>#N/A</v>
      </c>
    </row>
    <row r="2535" spans="1:8">
      <c r="A2535" s="6" t="s">
        <v>1214</v>
      </c>
      <c r="B2535" s="7" t="s">
        <v>69</v>
      </c>
      <c r="C2535" s="7" t="s">
        <v>1431</v>
      </c>
      <c r="D2535" s="7" t="s">
        <v>3521</v>
      </c>
      <c r="E2535" s="6" t="s">
        <v>2638</v>
      </c>
      <c r="F2535" s="8" t="str">
        <f>VLOOKUP($D2535,설문!$C$2:$G$444,3,FALSE)</f>
        <v>트레이더</v>
      </c>
      <c r="G2535" s="8" t="str">
        <f>VLOOKUP($D2535,설문!$C$2:$G$444,4,FALSE)</f>
        <v>금융회사</v>
      </c>
      <c r="H2535" s="8" t="str">
        <f>VLOOKUP($D2535,설문!$C$2:$G$444,5,FALSE)</f>
        <v>국고채/통안채,회사채,소액채권,단기자금</v>
      </c>
    </row>
    <row r="2536" spans="1:8">
      <c r="A2536" s="6" t="s">
        <v>1214</v>
      </c>
      <c r="B2536" s="7" t="s">
        <v>69</v>
      </c>
      <c r="C2536" s="7" t="s">
        <v>78</v>
      </c>
      <c r="D2536" s="7" t="s">
        <v>3522</v>
      </c>
      <c r="E2536" s="6" t="s">
        <v>3523</v>
      </c>
      <c r="F2536" s="8" t="e">
        <f>VLOOKUP($D2536,설문!$C$2:$G$444,3,FALSE)</f>
        <v>#N/A</v>
      </c>
      <c r="G2536" s="8" t="e">
        <f>VLOOKUP($D2536,설문!$C$2:$G$444,4,FALSE)</f>
        <v>#N/A</v>
      </c>
      <c r="H2536" s="8" t="e">
        <f>VLOOKUP($D2536,설문!$C$2:$G$444,5,FALSE)</f>
        <v>#N/A</v>
      </c>
    </row>
    <row r="2537" spans="1:8">
      <c r="A2537" s="6" t="s">
        <v>59</v>
      </c>
      <c r="B2537" s="7" t="s">
        <v>60</v>
      </c>
      <c r="C2537" s="7" t="s">
        <v>60</v>
      </c>
      <c r="D2537" s="7" t="s">
        <v>61</v>
      </c>
      <c r="E2537" s="6" t="s">
        <v>62</v>
      </c>
      <c r="F2537" s="8" t="e">
        <f>VLOOKUP($D2537,설문!$C$2:$G$444,3,FALSE)</f>
        <v>#N/A</v>
      </c>
      <c r="G2537" s="8" t="e">
        <f>VLOOKUP($D2537,설문!$C$2:$G$444,4,FALSE)</f>
        <v>#N/A</v>
      </c>
      <c r="H2537" s="8" t="e">
        <f>VLOOKUP($D2537,설문!$C$2:$G$444,5,FALSE)</f>
        <v>#N/A</v>
      </c>
    </row>
    <row r="2538" spans="1:8">
      <c r="A2538" s="6" t="s">
        <v>59</v>
      </c>
      <c r="B2538" s="7" t="s">
        <v>257</v>
      </c>
      <c r="C2538" s="7" t="s">
        <v>257</v>
      </c>
      <c r="D2538" s="7" t="s">
        <v>258</v>
      </c>
      <c r="E2538" s="6" t="s">
        <v>259</v>
      </c>
      <c r="F2538" s="8" t="e">
        <f>VLOOKUP($D2538,설문!$C$2:$G$444,3,FALSE)</f>
        <v>#N/A</v>
      </c>
      <c r="G2538" s="8" t="e">
        <f>VLOOKUP($D2538,설문!$C$2:$G$444,4,FALSE)</f>
        <v>#N/A</v>
      </c>
      <c r="H2538" s="8" t="e">
        <f>VLOOKUP($D2538,설문!$C$2:$G$444,5,FALSE)</f>
        <v>#N/A</v>
      </c>
    </row>
    <row r="2539" spans="1:8">
      <c r="A2539" s="6" t="s">
        <v>59</v>
      </c>
      <c r="B2539" s="7" t="s">
        <v>60</v>
      </c>
      <c r="C2539" s="7" t="s">
        <v>60</v>
      </c>
      <c r="D2539" s="7" t="s">
        <v>421</v>
      </c>
      <c r="E2539" s="6" t="s">
        <v>422</v>
      </c>
      <c r="F2539" s="8" t="e">
        <f>VLOOKUP($D2539,설문!$C$2:$G$444,3,FALSE)</f>
        <v>#N/A</v>
      </c>
      <c r="G2539" s="8" t="e">
        <f>VLOOKUP($D2539,설문!$C$2:$G$444,4,FALSE)</f>
        <v>#N/A</v>
      </c>
      <c r="H2539" s="8" t="e">
        <f>VLOOKUP($D2539,설문!$C$2:$G$444,5,FALSE)</f>
        <v>#N/A</v>
      </c>
    </row>
    <row r="2540" spans="1:8">
      <c r="A2540" s="6" t="s">
        <v>59</v>
      </c>
      <c r="B2540" s="7" t="s">
        <v>578</v>
      </c>
      <c r="C2540" s="7" t="s">
        <v>578</v>
      </c>
      <c r="D2540" s="7" t="s">
        <v>579</v>
      </c>
      <c r="E2540" s="6" t="s">
        <v>580</v>
      </c>
      <c r="F2540" s="8" t="e">
        <f>VLOOKUP($D2540,설문!$C$2:$G$444,3,FALSE)</f>
        <v>#N/A</v>
      </c>
      <c r="G2540" s="8" t="e">
        <f>VLOOKUP($D2540,설문!$C$2:$G$444,4,FALSE)</f>
        <v>#N/A</v>
      </c>
      <c r="H2540" s="8" t="e">
        <f>VLOOKUP($D2540,설문!$C$2:$G$444,5,FALSE)</f>
        <v>#N/A</v>
      </c>
    </row>
    <row r="2541" spans="1:8">
      <c r="A2541" s="6" t="s">
        <v>59</v>
      </c>
      <c r="B2541" s="7" t="s">
        <v>760</v>
      </c>
      <c r="C2541" s="7" t="s">
        <v>760</v>
      </c>
      <c r="D2541" s="7" t="s">
        <v>761</v>
      </c>
      <c r="E2541" s="6" t="s">
        <v>762</v>
      </c>
      <c r="F2541" s="8" t="str">
        <f>VLOOKUP($D2541,설문!$C$2:$G$444,3,FALSE)</f>
        <v>트레이더</v>
      </c>
      <c r="G2541" s="8" t="str">
        <f>VLOOKUP($D2541,설문!$C$2:$G$444,4,FALSE)</f>
        <v>금융회사,금융 유관기관</v>
      </c>
      <c r="H2541" s="8" t="str">
        <f>VLOOKUP($D2541,설문!$C$2:$G$444,5,FALSE)</f>
        <v>국내주식/지수,국내주식/지수관련파생,해외주식/지수,해외주식/지수관련파생,ETF/ETN</v>
      </c>
    </row>
    <row r="2542" spans="1:8">
      <c r="A2542" s="6" t="s">
        <v>59</v>
      </c>
      <c r="B2542" s="7" t="s">
        <v>940</v>
      </c>
      <c r="C2542" s="7" t="s">
        <v>940</v>
      </c>
      <c r="D2542" s="7" t="s">
        <v>941</v>
      </c>
      <c r="E2542" s="6" t="s">
        <v>942</v>
      </c>
      <c r="F2542" s="8" t="e">
        <f>VLOOKUP($D2542,설문!$C$2:$G$444,3,FALSE)</f>
        <v>#N/A</v>
      </c>
      <c r="G2542" s="8" t="e">
        <f>VLOOKUP($D2542,설문!$C$2:$G$444,4,FALSE)</f>
        <v>#N/A</v>
      </c>
      <c r="H2542" s="8" t="e">
        <f>VLOOKUP($D2542,설문!$C$2:$G$444,5,FALSE)</f>
        <v>#N/A</v>
      </c>
    </row>
    <row r="2543" spans="1:8">
      <c r="A2543" s="6" t="s">
        <v>59</v>
      </c>
      <c r="B2543" s="7" t="s">
        <v>578</v>
      </c>
      <c r="C2543" s="7" t="s">
        <v>578</v>
      </c>
      <c r="D2543" s="7" t="s">
        <v>973</v>
      </c>
      <c r="E2543" s="6" t="s">
        <v>974</v>
      </c>
      <c r="F2543" s="8" t="e">
        <f>VLOOKUP($D2543,설문!$C$2:$G$444,3,FALSE)</f>
        <v>#N/A</v>
      </c>
      <c r="G2543" s="8" t="e">
        <f>VLOOKUP($D2543,설문!$C$2:$G$444,4,FALSE)</f>
        <v>#N/A</v>
      </c>
      <c r="H2543" s="8" t="e">
        <f>VLOOKUP($D2543,설문!$C$2:$G$444,5,FALSE)</f>
        <v>#N/A</v>
      </c>
    </row>
    <row r="2544" spans="1:8">
      <c r="A2544" s="6" t="s">
        <v>59</v>
      </c>
      <c r="B2544" s="7" t="s">
        <v>60</v>
      </c>
      <c r="C2544" s="7" t="s">
        <v>60</v>
      </c>
      <c r="D2544" s="7" t="s">
        <v>999</v>
      </c>
      <c r="E2544" s="6" t="s">
        <v>1000</v>
      </c>
      <c r="F2544" s="8" t="e">
        <f>VLOOKUP($D2544,설문!$C$2:$G$444,3,FALSE)</f>
        <v>#N/A</v>
      </c>
      <c r="G2544" s="8" t="e">
        <f>VLOOKUP($D2544,설문!$C$2:$G$444,4,FALSE)</f>
        <v>#N/A</v>
      </c>
      <c r="H2544" s="8" t="e">
        <f>VLOOKUP($D2544,설문!$C$2:$G$444,5,FALSE)</f>
        <v>#N/A</v>
      </c>
    </row>
    <row r="2545" spans="1:8">
      <c r="A2545" s="6" t="s">
        <v>59</v>
      </c>
      <c r="B2545" s="7" t="s">
        <v>60</v>
      </c>
      <c r="C2545" s="7" t="s">
        <v>60</v>
      </c>
      <c r="D2545" s="7" t="s">
        <v>1003</v>
      </c>
      <c r="E2545" s="6" t="s">
        <v>1004</v>
      </c>
      <c r="F2545" s="8" t="e">
        <f>VLOOKUP($D2545,설문!$C$2:$G$444,3,FALSE)</f>
        <v>#N/A</v>
      </c>
      <c r="G2545" s="8" t="e">
        <f>VLOOKUP($D2545,설문!$C$2:$G$444,4,FALSE)</f>
        <v>#N/A</v>
      </c>
      <c r="H2545" s="8" t="e">
        <f>VLOOKUP($D2545,설문!$C$2:$G$444,5,FALSE)</f>
        <v>#N/A</v>
      </c>
    </row>
    <row r="2546" spans="1:8">
      <c r="A2546" s="6" t="s">
        <v>59</v>
      </c>
      <c r="B2546" s="7" t="s">
        <v>1258</v>
      </c>
      <c r="C2546" s="7" t="s">
        <v>1258</v>
      </c>
      <c r="D2546" s="7" t="s">
        <v>1259</v>
      </c>
      <c r="E2546" s="6" t="s">
        <v>1260</v>
      </c>
      <c r="F2546" s="8" t="str">
        <f>VLOOKUP($D2546,설문!$C$2:$G$444,3,FALSE)</f>
        <v>트레이더,딜러,분석 및 전략</v>
      </c>
      <c r="G2546" s="8" t="str">
        <f>VLOOKUP($D2546,설문!$C$2:$G$444,4,FALSE)</f>
        <v>금융회사,금융 유관기관,일반기업고객,개인고객</v>
      </c>
      <c r="H2546" s="8" t="str">
        <f>VLOOKUP($D2546,설문!$C$2:$G$444,5,FALSE)</f>
        <v>국고채/통안채,회사채,소액채권,RP,단기자금,국채선물,원화 구조화채권,외화 구조화채권,IB(발행, M&amp;A 등),대체투자(부동산/인프라)</v>
      </c>
    </row>
    <row r="2547" spans="1:8">
      <c r="A2547" s="6" t="s">
        <v>59</v>
      </c>
      <c r="B2547" s="7" t="s">
        <v>78</v>
      </c>
      <c r="C2547" s="7" t="s">
        <v>1301</v>
      </c>
      <c r="D2547" s="7" t="s">
        <v>1302</v>
      </c>
      <c r="E2547" s="6" t="s">
        <v>1303</v>
      </c>
      <c r="F2547" s="8" t="str">
        <f>VLOOKUP($D2547,설문!$C$2:$G$444,3,FALSE)</f>
        <v>펀드매니저</v>
      </c>
      <c r="G2547" s="8" t="str">
        <f>VLOOKUP($D2547,설문!$C$2:$G$444,4,FALSE)</f>
        <v>기타</v>
      </c>
      <c r="H2547" s="8" t="str">
        <f>VLOOKUP($D2547,설문!$C$2:$G$444,5,FALSE)</f>
        <v>국내주식/지수,국내주식/지수관련파생</v>
      </c>
    </row>
    <row r="2548" spans="1:8">
      <c r="A2548" s="6" t="s">
        <v>59</v>
      </c>
      <c r="B2548" s="7" t="s">
        <v>264</v>
      </c>
      <c r="C2548" s="7" t="s">
        <v>264</v>
      </c>
      <c r="D2548" s="7" t="s">
        <v>1787</v>
      </c>
      <c r="E2548" s="6" t="s">
        <v>1788</v>
      </c>
      <c r="F2548" s="8" t="str">
        <f>VLOOKUP($D2548,설문!$C$2:$G$444,3,FALSE)</f>
        <v>딜러</v>
      </c>
      <c r="G2548" s="8" t="str">
        <f>VLOOKUP($D2548,설문!$C$2:$G$444,4,FALSE)</f>
        <v>금융회사,금융 유관기관</v>
      </c>
      <c r="H2548" s="8" t="str">
        <f>VLOOKUP($D2548,설문!$C$2:$G$444,5,FALSE)</f>
        <v>국고채/통안채,회사채,소액채권,RP,국채선물,원화 구조화채권</v>
      </c>
    </row>
    <row r="2549" spans="1:8">
      <c r="A2549" s="6" t="s">
        <v>59</v>
      </c>
      <c r="B2549" s="7" t="s">
        <v>264</v>
      </c>
      <c r="C2549" s="7" t="s">
        <v>264</v>
      </c>
      <c r="D2549" s="7" t="s">
        <v>1846</v>
      </c>
      <c r="E2549" s="6" t="s">
        <v>1847</v>
      </c>
      <c r="F2549" s="8" t="str">
        <f>VLOOKUP($D2549,설문!$C$2:$G$444,3,FALSE)</f>
        <v>딜러</v>
      </c>
      <c r="G2549" s="8" t="str">
        <f>VLOOKUP($D2549,설문!$C$2:$G$444,4,FALSE)</f>
        <v>금융회사</v>
      </c>
      <c r="H2549" s="8" t="str">
        <f>VLOOKUP($D2549,설문!$C$2:$G$444,5,FALSE)</f>
        <v>소액채권</v>
      </c>
    </row>
    <row r="2550" spans="1:8">
      <c r="A2550" s="6" t="s">
        <v>59</v>
      </c>
      <c r="B2550" s="7" t="s">
        <v>609</v>
      </c>
      <c r="C2550" s="7" t="s">
        <v>609</v>
      </c>
      <c r="D2550" s="7" t="s">
        <v>5378</v>
      </c>
      <c r="E2550" s="6" t="s">
        <v>5379</v>
      </c>
      <c r="F2550" s="8" t="e">
        <f>VLOOKUP($D2550,설문!$C$2:$G$444,3,FALSE)</f>
        <v>#N/A</v>
      </c>
      <c r="G2550" s="8" t="e">
        <f>VLOOKUP($D2550,설문!$C$2:$G$444,4,FALSE)</f>
        <v>#N/A</v>
      </c>
      <c r="H2550" s="8" t="e">
        <f>VLOOKUP($D2550,설문!$C$2:$G$444,5,FALSE)</f>
        <v>#N/A</v>
      </c>
    </row>
    <row r="2551" spans="1:8">
      <c r="A2551" s="6" t="s">
        <v>59</v>
      </c>
      <c r="B2551" s="7" t="s">
        <v>5380</v>
      </c>
      <c r="C2551" s="7" t="s">
        <v>5381</v>
      </c>
      <c r="D2551" s="7" t="s">
        <v>5382</v>
      </c>
      <c r="E2551" s="6" t="s">
        <v>5383</v>
      </c>
      <c r="F2551" s="8" t="e">
        <f>VLOOKUP($D2551,설문!$C$2:$G$444,3,FALSE)</f>
        <v>#N/A</v>
      </c>
      <c r="G2551" s="8" t="e">
        <f>VLOOKUP($D2551,설문!$C$2:$G$444,4,FALSE)</f>
        <v>#N/A</v>
      </c>
      <c r="H2551" s="8" t="e">
        <f>VLOOKUP($D2551,설문!$C$2:$G$444,5,FALSE)</f>
        <v>#N/A</v>
      </c>
    </row>
    <row r="2552" spans="1:8">
      <c r="A2552" s="6" t="s">
        <v>59</v>
      </c>
      <c r="B2552" s="7" t="s">
        <v>5384</v>
      </c>
      <c r="C2552" s="7" t="s">
        <v>5384</v>
      </c>
      <c r="D2552" s="7" t="s">
        <v>5385</v>
      </c>
      <c r="E2552" s="6" t="s">
        <v>5386</v>
      </c>
      <c r="F2552" s="8" t="e">
        <f>VLOOKUP($D2552,설문!$C$2:$G$444,3,FALSE)</f>
        <v>#N/A</v>
      </c>
      <c r="G2552" s="8" t="e">
        <f>VLOOKUP($D2552,설문!$C$2:$G$444,4,FALSE)</f>
        <v>#N/A</v>
      </c>
      <c r="H2552" s="8" t="e">
        <f>VLOOKUP($D2552,설문!$C$2:$G$444,5,FALSE)</f>
        <v>#N/A</v>
      </c>
    </row>
    <row r="2553" spans="1:8">
      <c r="A2553" s="6" t="s">
        <v>59</v>
      </c>
      <c r="B2553" s="7" t="s">
        <v>60</v>
      </c>
      <c r="C2553" s="7" t="s">
        <v>5387</v>
      </c>
      <c r="D2553" s="7" t="s">
        <v>5388</v>
      </c>
      <c r="E2553" s="6" t="s">
        <v>5389</v>
      </c>
      <c r="F2553" s="8" t="e">
        <f>VLOOKUP($D2553,설문!$C$2:$G$444,3,FALSE)</f>
        <v>#N/A</v>
      </c>
      <c r="G2553" s="8" t="e">
        <f>VLOOKUP($D2553,설문!$C$2:$G$444,4,FALSE)</f>
        <v>#N/A</v>
      </c>
      <c r="H2553" s="8" t="e">
        <f>VLOOKUP($D2553,설문!$C$2:$G$444,5,FALSE)</f>
        <v>#N/A</v>
      </c>
    </row>
    <row r="2554" spans="1:8">
      <c r="A2554" s="6" t="s">
        <v>59</v>
      </c>
      <c r="B2554" s="7" t="s">
        <v>60</v>
      </c>
      <c r="C2554" s="7" t="s">
        <v>5387</v>
      </c>
      <c r="D2554" s="7" t="s">
        <v>5390</v>
      </c>
      <c r="E2554" s="6" t="s">
        <v>5391</v>
      </c>
      <c r="F2554" s="8" t="e">
        <f>VLOOKUP($D2554,설문!$C$2:$G$444,3,FALSE)</f>
        <v>#N/A</v>
      </c>
      <c r="G2554" s="8" t="e">
        <f>VLOOKUP($D2554,설문!$C$2:$G$444,4,FALSE)</f>
        <v>#N/A</v>
      </c>
      <c r="H2554" s="8" t="e">
        <f>VLOOKUP($D2554,설문!$C$2:$G$444,5,FALSE)</f>
        <v>#N/A</v>
      </c>
    </row>
    <row r="2555" spans="1:8">
      <c r="A2555" s="6" t="s">
        <v>59</v>
      </c>
      <c r="B2555" s="7" t="s">
        <v>60</v>
      </c>
      <c r="C2555" s="7" t="s">
        <v>5387</v>
      </c>
      <c r="D2555" s="7" t="s">
        <v>5392</v>
      </c>
      <c r="E2555" s="6" t="s">
        <v>5393</v>
      </c>
      <c r="F2555" s="8" t="e">
        <f>VLOOKUP($D2555,설문!$C$2:$G$444,3,FALSE)</f>
        <v>#N/A</v>
      </c>
      <c r="G2555" s="8" t="e">
        <f>VLOOKUP($D2555,설문!$C$2:$G$444,4,FALSE)</f>
        <v>#N/A</v>
      </c>
      <c r="H2555" s="8" t="e">
        <f>VLOOKUP($D2555,설문!$C$2:$G$444,5,FALSE)</f>
        <v>#N/A</v>
      </c>
    </row>
    <row r="2556" spans="1:8">
      <c r="A2556" s="6" t="s">
        <v>59</v>
      </c>
      <c r="B2556" s="7" t="s">
        <v>60</v>
      </c>
      <c r="C2556" s="7" t="s">
        <v>5387</v>
      </c>
      <c r="D2556" s="7" t="s">
        <v>5394</v>
      </c>
      <c r="E2556" s="6" t="s">
        <v>5395</v>
      </c>
      <c r="F2556" s="8" t="e">
        <f>VLOOKUP($D2556,설문!$C$2:$G$444,3,FALSE)</f>
        <v>#N/A</v>
      </c>
      <c r="G2556" s="8" t="e">
        <f>VLOOKUP($D2556,설문!$C$2:$G$444,4,FALSE)</f>
        <v>#N/A</v>
      </c>
      <c r="H2556" s="8" t="e">
        <f>VLOOKUP($D2556,설문!$C$2:$G$444,5,FALSE)</f>
        <v>#N/A</v>
      </c>
    </row>
    <row r="2557" spans="1:8">
      <c r="A2557" s="6" t="s">
        <v>59</v>
      </c>
      <c r="B2557" s="7" t="s">
        <v>60</v>
      </c>
      <c r="C2557" s="7" t="s">
        <v>5387</v>
      </c>
      <c r="D2557" s="7" t="s">
        <v>5396</v>
      </c>
      <c r="E2557" s="6" t="s">
        <v>2300</v>
      </c>
      <c r="F2557" s="8" t="str">
        <f>VLOOKUP($D2557,설문!$C$2:$G$444,3,FALSE)</f>
        <v>백오피스</v>
      </c>
      <c r="G2557" s="8" t="str">
        <f>VLOOKUP($D2557,설문!$C$2:$G$444,4,FALSE)</f>
        <v>금융회사,금융 유관기관</v>
      </c>
      <c r="H2557" s="8" t="str">
        <f>VLOOKUP($D2557,설문!$C$2:$G$444,5,FALSE)</f>
        <v>국고채/통안채,RP,단기자금,국채선물</v>
      </c>
    </row>
    <row r="2558" spans="1:8">
      <c r="A2558" s="6" t="s">
        <v>59</v>
      </c>
      <c r="B2558" s="7" t="s">
        <v>60</v>
      </c>
      <c r="C2558" s="7" t="s">
        <v>5387</v>
      </c>
      <c r="D2558" s="7" t="s">
        <v>5397</v>
      </c>
      <c r="E2558" s="6" t="s">
        <v>5398</v>
      </c>
      <c r="F2558" s="8" t="e">
        <f>VLOOKUP($D2558,설문!$C$2:$G$444,3,FALSE)</f>
        <v>#N/A</v>
      </c>
      <c r="G2558" s="8" t="e">
        <f>VLOOKUP($D2558,설문!$C$2:$G$444,4,FALSE)</f>
        <v>#N/A</v>
      </c>
      <c r="H2558" s="8" t="e">
        <f>VLOOKUP($D2558,설문!$C$2:$G$444,5,FALSE)</f>
        <v>#N/A</v>
      </c>
    </row>
    <row r="2559" spans="1:8">
      <c r="A2559" s="6" t="s">
        <v>59</v>
      </c>
      <c r="B2559" s="7" t="s">
        <v>60</v>
      </c>
      <c r="C2559" s="7" t="s">
        <v>5387</v>
      </c>
      <c r="D2559" s="7" t="s">
        <v>5399</v>
      </c>
      <c r="E2559" s="6" t="s">
        <v>5400</v>
      </c>
      <c r="F2559" s="8" t="e">
        <f>VLOOKUP($D2559,설문!$C$2:$G$444,3,FALSE)</f>
        <v>#N/A</v>
      </c>
      <c r="G2559" s="8" t="e">
        <f>VLOOKUP($D2559,설문!$C$2:$G$444,4,FALSE)</f>
        <v>#N/A</v>
      </c>
      <c r="H2559" s="8" t="e">
        <f>VLOOKUP($D2559,설문!$C$2:$G$444,5,FALSE)</f>
        <v>#N/A</v>
      </c>
    </row>
    <row r="2560" spans="1:8">
      <c r="A2560" s="6" t="s">
        <v>59</v>
      </c>
      <c r="B2560" s="7" t="s">
        <v>5401</v>
      </c>
      <c r="C2560" s="7" t="s">
        <v>5401</v>
      </c>
      <c r="D2560" s="7" t="s">
        <v>5402</v>
      </c>
      <c r="E2560" s="6" t="s">
        <v>5403</v>
      </c>
      <c r="F2560" s="8" t="e">
        <f>VLOOKUP($D2560,설문!$C$2:$G$444,3,FALSE)</f>
        <v>#N/A</v>
      </c>
      <c r="G2560" s="8" t="e">
        <f>VLOOKUP($D2560,설문!$C$2:$G$444,4,FALSE)</f>
        <v>#N/A</v>
      </c>
      <c r="H2560" s="8" t="e">
        <f>VLOOKUP($D2560,설문!$C$2:$G$444,5,FALSE)</f>
        <v>#N/A</v>
      </c>
    </row>
    <row r="2561" spans="1:8">
      <c r="A2561" s="6" t="s">
        <v>59</v>
      </c>
      <c r="B2561" s="7" t="s">
        <v>5401</v>
      </c>
      <c r="C2561" s="7" t="s">
        <v>5401</v>
      </c>
      <c r="D2561" s="7" t="s">
        <v>5404</v>
      </c>
      <c r="E2561" s="6" t="s">
        <v>5405</v>
      </c>
      <c r="F2561" s="8" t="e">
        <f>VLOOKUP($D2561,설문!$C$2:$G$444,3,FALSE)</f>
        <v>#N/A</v>
      </c>
      <c r="G2561" s="8" t="e">
        <f>VLOOKUP($D2561,설문!$C$2:$G$444,4,FALSE)</f>
        <v>#N/A</v>
      </c>
      <c r="H2561" s="8" t="e">
        <f>VLOOKUP($D2561,설문!$C$2:$G$444,5,FALSE)</f>
        <v>#N/A</v>
      </c>
    </row>
    <row r="2562" spans="1:8">
      <c r="A2562" s="6" t="s">
        <v>59</v>
      </c>
      <c r="B2562" s="7" t="s">
        <v>116</v>
      </c>
      <c r="C2562" s="7" t="s">
        <v>116</v>
      </c>
      <c r="D2562" s="7" t="s">
        <v>5406</v>
      </c>
      <c r="E2562" s="6" t="s">
        <v>5407</v>
      </c>
      <c r="F2562" s="8" t="e">
        <f>VLOOKUP($D2562,설문!$C$2:$G$444,3,FALSE)</f>
        <v>#N/A</v>
      </c>
      <c r="G2562" s="8" t="e">
        <f>VLOOKUP($D2562,설문!$C$2:$G$444,4,FALSE)</f>
        <v>#N/A</v>
      </c>
      <c r="H2562" s="8" t="e">
        <f>VLOOKUP($D2562,설문!$C$2:$G$444,5,FALSE)</f>
        <v>#N/A</v>
      </c>
    </row>
    <row r="2563" spans="1:8">
      <c r="A2563" s="6" t="s">
        <v>59</v>
      </c>
      <c r="B2563" s="7" t="s">
        <v>264</v>
      </c>
      <c r="C2563" s="7" t="s">
        <v>264</v>
      </c>
      <c r="D2563" s="7" t="s">
        <v>5408</v>
      </c>
      <c r="E2563" s="6" t="s">
        <v>5409</v>
      </c>
      <c r="F2563" s="8" t="e">
        <f>VLOOKUP($D2563,설문!$C$2:$G$444,3,FALSE)</f>
        <v>#N/A</v>
      </c>
      <c r="G2563" s="8" t="e">
        <f>VLOOKUP($D2563,설문!$C$2:$G$444,4,FALSE)</f>
        <v>#N/A</v>
      </c>
      <c r="H2563" s="8" t="e">
        <f>VLOOKUP($D2563,설문!$C$2:$G$444,5,FALSE)</f>
        <v>#N/A</v>
      </c>
    </row>
    <row r="2564" spans="1:8">
      <c r="A2564" s="6" t="s">
        <v>59</v>
      </c>
      <c r="B2564" s="7" t="s">
        <v>264</v>
      </c>
      <c r="C2564" s="7" t="s">
        <v>264</v>
      </c>
      <c r="D2564" s="7" t="s">
        <v>5410</v>
      </c>
      <c r="E2564" s="6" t="s">
        <v>5411</v>
      </c>
      <c r="F2564" s="8" t="e">
        <f>VLOOKUP($D2564,설문!$C$2:$G$444,3,FALSE)</f>
        <v>#N/A</v>
      </c>
      <c r="G2564" s="8" t="e">
        <f>VLOOKUP($D2564,설문!$C$2:$G$444,4,FALSE)</f>
        <v>#N/A</v>
      </c>
      <c r="H2564" s="8" t="e">
        <f>VLOOKUP($D2564,설문!$C$2:$G$444,5,FALSE)</f>
        <v>#N/A</v>
      </c>
    </row>
    <row r="2565" spans="1:8">
      <c r="A2565" s="6" t="s">
        <v>59</v>
      </c>
      <c r="B2565" s="7" t="s">
        <v>149</v>
      </c>
      <c r="C2565" s="7" t="s">
        <v>149</v>
      </c>
      <c r="D2565" s="7" t="s">
        <v>5412</v>
      </c>
      <c r="E2565" s="6" t="s">
        <v>5413</v>
      </c>
      <c r="F2565" s="8" t="e">
        <f>VLOOKUP($D2565,설문!$C$2:$G$444,3,FALSE)</f>
        <v>#N/A</v>
      </c>
      <c r="G2565" s="8" t="e">
        <f>VLOOKUP($D2565,설문!$C$2:$G$444,4,FALSE)</f>
        <v>#N/A</v>
      </c>
      <c r="H2565" s="8" t="e">
        <f>VLOOKUP($D2565,설문!$C$2:$G$444,5,FALSE)</f>
        <v>#N/A</v>
      </c>
    </row>
    <row r="2566" spans="1:8">
      <c r="A2566" s="6" t="s">
        <v>59</v>
      </c>
      <c r="B2566" s="7" t="s">
        <v>149</v>
      </c>
      <c r="C2566" s="7" t="s">
        <v>149</v>
      </c>
      <c r="D2566" s="7" t="s">
        <v>5414</v>
      </c>
      <c r="E2566" s="6" t="s">
        <v>4650</v>
      </c>
      <c r="F2566" s="8" t="e">
        <f>VLOOKUP($D2566,설문!$C$2:$G$444,3,FALSE)</f>
        <v>#N/A</v>
      </c>
      <c r="G2566" s="8" t="e">
        <f>VLOOKUP($D2566,설문!$C$2:$G$444,4,FALSE)</f>
        <v>#N/A</v>
      </c>
      <c r="H2566" s="8" t="e">
        <f>VLOOKUP($D2566,설문!$C$2:$G$444,5,FALSE)</f>
        <v>#N/A</v>
      </c>
    </row>
    <row r="2567" spans="1:8">
      <c r="A2567" s="6" t="s">
        <v>59</v>
      </c>
      <c r="B2567" s="7" t="s">
        <v>149</v>
      </c>
      <c r="C2567" s="7" t="s">
        <v>149</v>
      </c>
      <c r="D2567" s="7" t="s">
        <v>5415</v>
      </c>
      <c r="E2567" s="6" t="s">
        <v>5416</v>
      </c>
      <c r="F2567" s="8" t="e">
        <f>VLOOKUP($D2567,설문!$C$2:$G$444,3,FALSE)</f>
        <v>#N/A</v>
      </c>
      <c r="G2567" s="8" t="e">
        <f>VLOOKUP($D2567,설문!$C$2:$G$444,4,FALSE)</f>
        <v>#N/A</v>
      </c>
      <c r="H2567" s="8" t="e">
        <f>VLOOKUP($D2567,설문!$C$2:$G$444,5,FALSE)</f>
        <v>#N/A</v>
      </c>
    </row>
    <row r="2568" spans="1:8">
      <c r="A2568" s="6" t="s">
        <v>59</v>
      </c>
      <c r="B2568" s="7" t="s">
        <v>149</v>
      </c>
      <c r="C2568" s="7" t="s">
        <v>149</v>
      </c>
      <c r="D2568" s="7" t="s">
        <v>5417</v>
      </c>
      <c r="E2568" s="6" t="s">
        <v>5418</v>
      </c>
      <c r="F2568" s="8" t="str">
        <f>VLOOKUP($D2568,설문!$C$2:$G$444,3,FALSE)</f>
        <v>브로커</v>
      </c>
      <c r="G2568" s="8" t="str">
        <f>VLOOKUP($D2568,설문!$C$2:$G$444,4,FALSE)</f>
        <v>금융회사</v>
      </c>
      <c r="H2568" s="8" t="str">
        <f>VLOOKUP($D2568,설문!$C$2:$G$444,5,FALSE)</f>
        <v>국고채/통안채,회사채</v>
      </c>
    </row>
    <row r="2569" spans="1:8">
      <c r="A2569" s="6" t="s">
        <v>59</v>
      </c>
      <c r="B2569" s="7" t="s">
        <v>149</v>
      </c>
      <c r="C2569" s="7" t="s">
        <v>149</v>
      </c>
      <c r="D2569" s="7" t="s">
        <v>5419</v>
      </c>
      <c r="E2569" s="6" t="s">
        <v>2914</v>
      </c>
      <c r="F2569" s="8" t="e">
        <f>VLOOKUP($D2569,설문!$C$2:$G$444,3,FALSE)</f>
        <v>#N/A</v>
      </c>
      <c r="G2569" s="8" t="e">
        <f>VLOOKUP($D2569,설문!$C$2:$G$444,4,FALSE)</f>
        <v>#N/A</v>
      </c>
      <c r="H2569" s="8" t="e">
        <f>VLOOKUP($D2569,설문!$C$2:$G$444,5,FALSE)</f>
        <v>#N/A</v>
      </c>
    </row>
    <row r="2570" spans="1:8">
      <c r="A2570" s="6" t="s">
        <v>59</v>
      </c>
      <c r="B2570" s="7" t="s">
        <v>898</v>
      </c>
      <c r="C2570" s="7" t="s">
        <v>898</v>
      </c>
      <c r="D2570" s="7" t="s">
        <v>5420</v>
      </c>
      <c r="E2570" s="6" t="s">
        <v>5421</v>
      </c>
      <c r="F2570" s="8" t="e">
        <f>VLOOKUP($D2570,설문!$C$2:$G$444,3,FALSE)</f>
        <v>#N/A</v>
      </c>
      <c r="G2570" s="8" t="e">
        <f>VLOOKUP($D2570,설문!$C$2:$G$444,4,FALSE)</f>
        <v>#N/A</v>
      </c>
      <c r="H2570" s="8" t="e">
        <f>VLOOKUP($D2570,설문!$C$2:$G$444,5,FALSE)</f>
        <v>#N/A</v>
      </c>
    </row>
    <row r="2571" spans="1:8">
      <c r="A2571" s="6" t="s">
        <v>59</v>
      </c>
      <c r="B2571" s="7" t="s">
        <v>898</v>
      </c>
      <c r="C2571" s="7" t="s">
        <v>898</v>
      </c>
      <c r="D2571" s="7" t="s">
        <v>5422</v>
      </c>
      <c r="E2571" s="6" t="s">
        <v>5423</v>
      </c>
      <c r="F2571" s="8" t="str">
        <f>VLOOKUP($D2571,설문!$C$2:$G$444,3,FALSE)</f>
        <v>백오피스</v>
      </c>
      <c r="G2571" s="8" t="str">
        <f>VLOOKUP($D2571,설문!$C$2:$G$444,4,FALSE)</f>
        <v>금융회사</v>
      </c>
      <c r="H2571" s="8" t="str">
        <f>VLOOKUP($D2571,설문!$C$2:$G$444,5,FALSE)</f>
        <v>국고채/통안채,회사채</v>
      </c>
    </row>
    <row r="2572" spans="1:8">
      <c r="A2572" s="6" t="s">
        <v>59</v>
      </c>
      <c r="B2572" s="7" t="s">
        <v>448</v>
      </c>
      <c r="C2572" s="7" t="s">
        <v>448</v>
      </c>
      <c r="D2572" s="7" t="s">
        <v>5424</v>
      </c>
      <c r="E2572" s="6" t="s">
        <v>5425</v>
      </c>
      <c r="F2572" s="8" t="str">
        <f>VLOOKUP($D2572,설문!$C$2:$G$444,3,FALSE)</f>
        <v>백오피스</v>
      </c>
      <c r="G2572" s="8" t="str">
        <f>VLOOKUP($D2572,설문!$C$2:$G$444,4,FALSE)</f>
        <v>금융회사</v>
      </c>
      <c r="H2572" s="8" t="str">
        <f>VLOOKUP($D2572,설문!$C$2:$G$444,5,FALSE)</f>
        <v>회사채,IB(발행, M&amp;A 등)</v>
      </c>
    </row>
    <row r="2573" spans="1:8">
      <c r="A2573" s="6" t="s">
        <v>59</v>
      </c>
      <c r="B2573" s="7" t="s">
        <v>760</v>
      </c>
      <c r="C2573" s="7" t="s">
        <v>760</v>
      </c>
      <c r="D2573" s="7" t="s">
        <v>5426</v>
      </c>
      <c r="E2573" s="6" t="s">
        <v>2675</v>
      </c>
      <c r="F2573" s="8" t="e">
        <f>VLOOKUP($D2573,설문!$C$2:$G$444,3,FALSE)</f>
        <v>#N/A</v>
      </c>
      <c r="G2573" s="8" t="e">
        <f>VLOOKUP($D2573,설문!$C$2:$G$444,4,FALSE)</f>
        <v>#N/A</v>
      </c>
      <c r="H2573" s="8" t="e">
        <f>VLOOKUP($D2573,설문!$C$2:$G$444,5,FALSE)</f>
        <v>#N/A</v>
      </c>
    </row>
    <row r="2574" spans="1:8">
      <c r="A2574" s="6" t="s">
        <v>59</v>
      </c>
      <c r="B2574" s="7" t="s">
        <v>5427</v>
      </c>
      <c r="C2574" s="7" t="s">
        <v>5427</v>
      </c>
      <c r="D2574" s="7" t="s">
        <v>5428</v>
      </c>
      <c r="E2574" s="6" t="s">
        <v>5429</v>
      </c>
      <c r="F2574" s="8" t="e">
        <f>VLOOKUP($D2574,설문!$C$2:$G$444,3,FALSE)</f>
        <v>#N/A</v>
      </c>
      <c r="G2574" s="8" t="e">
        <f>VLOOKUP($D2574,설문!$C$2:$G$444,4,FALSE)</f>
        <v>#N/A</v>
      </c>
      <c r="H2574" s="8" t="e">
        <f>VLOOKUP($D2574,설문!$C$2:$G$444,5,FALSE)</f>
        <v>#N/A</v>
      </c>
    </row>
    <row r="2575" spans="1:8">
      <c r="A2575" s="6" t="s">
        <v>59</v>
      </c>
      <c r="B2575" s="7" t="s">
        <v>78</v>
      </c>
      <c r="C2575" s="7" t="s">
        <v>1301</v>
      </c>
      <c r="D2575" s="7" t="s">
        <v>5430</v>
      </c>
      <c r="E2575" s="6" t="s">
        <v>5431</v>
      </c>
      <c r="F2575" s="8" t="e">
        <f>VLOOKUP($D2575,설문!$C$2:$G$444,3,FALSE)</f>
        <v>#N/A</v>
      </c>
      <c r="G2575" s="8" t="e">
        <f>VLOOKUP($D2575,설문!$C$2:$G$444,4,FALSE)</f>
        <v>#N/A</v>
      </c>
      <c r="H2575" s="8" t="e">
        <f>VLOOKUP($D2575,설문!$C$2:$G$444,5,FALSE)</f>
        <v>#N/A</v>
      </c>
    </row>
    <row r="2576" spans="1:8">
      <c r="A2576" s="6" t="s">
        <v>59</v>
      </c>
      <c r="B2576" s="7" t="s">
        <v>74</v>
      </c>
      <c r="C2576" s="7" t="s">
        <v>74</v>
      </c>
      <c r="D2576" s="7" t="s">
        <v>5432</v>
      </c>
      <c r="E2576" s="6" t="s">
        <v>5433</v>
      </c>
      <c r="F2576" s="8" t="e">
        <f>VLOOKUP($D2576,설문!$C$2:$G$444,3,FALSE)</f>
        <v>#N/A</v>
      </c>
      <c r="G2576" s="8" t="e">
        <f>VLOOKUP($D2576,설문!$C$2:$G$444,4,FALSE)</f>
        <v>#N/A</v>
      </c>
      <c r="H2576" s="8" t="e">
        <f>VLOOKUP($D2576,설문!$C$2:$G$444,5,FALSE)</f>
        <v>#N/A</v>
      </c>
    </row>
    <row r="2577" spans="1:8">
      <c r="A2577" s="6" t="s">
        <v>59</v>
      </c>
      <c r="B2577" s="7" t="s">
        <v>1131</v>
      </c>
      <c r="C2577" s="7" t="s">
        <v>1131</v>
      </c>
      <c r="D2577" s="7" t="s">
        <v>5434</v>
      </c>
      <c r="E2577" s="6" t="s">
        <v>5435</v>
      </c>
      <c r="F2577" s="8" t="e">
        <f>VLOOKUP($D2577,설문!$C$2:$G$444,3,FALSE)</f>
        <v>#N/A</v>
      </c>
      <c r="G2577" s="8" t="e">
        <f>VLOOKUP($D2577,설문!$C$2:$G$444,4,FALSE)</f>
        <v>#N/A</v>
      </c>
      <c r="H2577" s="8" t="e">
        <f>VLOOKUP($D2577,설문!$C$2:$G$444,5,FALSE)</f>
        <v>#N/A</v>
      </c>
    </row>
    <row r="2578" spans="1:8">
      <c r="A2578" s="6" t="s">
        <v>59</v>
      </c>
      <c r="B2578" s="7" t="s">
        <v>5436</v>
      </c>
      <c r="C2578" s="7" t="s">
        <v>5436</v>
      </c>
      <c r="D2578" s="7" t="s">
        <v>5437</v>
      </c>
      <c r="E2578" s="6" t="s">
        <v>5438</v>
      </c>
      <c r="F2578" s="8" t="e">
        <f>VLOOKUP($D2578,설문!$C$2:$G$444,3,FALSE)</f>
        <v>#N/A</v>
      </c>
      <c r="G2578" s="8" t="e">
        <f>VLOOKUP($D2578,설문!$C$2:$G$444,4,FALSE)</f>
        <v>#N/A</v>
      </c>
      <c r="H2578" s="8" t="e">
        <f>VLOOKUP($D2578,설문!$C$2:$G$444,5,FALSE)</f>
        <v>#N/A</v>
      </c>
    </row>
    <row r="2579" spans="1:8">
      <c r="A2579" s="6" t="s">
        <v>59</v>
      </c>
      <c r="B2579" s="7" t="s">
        <v>4716</v>
      </c>
      <c r="C2579" s="7" t="s">
        <v>5439</v>
      </c>
      <c r="D2579" s="7" t="s">
        <v>5440</v>
      </c>
      <c r="E2579" s="6" t="s">
        <v>5178</v>
      </c>
      <c r="F2579" s="8" t="e">
        <f>VLOOKUP($D2579,설문!$C$2:$G$444,3,FALSE)</f>
        <v>#N/A</v>
      </c>
      <c r="G2579" s="8" t="e">
        <f>VLOOKUP($D2579,설문!$C$2:$G$444,4,FALSE)</f>
        <v>#N/A</v>
      </c>
      <c r="H2579" s="8" t="e">
        <f>VLOOKUP($D2579,설문!$C$2:$G$444,5,FALSE)</f>
        <v>#N/A</v>
      </c>
    </row>
    <row r="2580" spans="1:8">
      <c r="A2580" s="6" t="s">
        <v>252</v>
      </c>
      <c r="B2580" s="7" t="s">
        <v>149</v>
      </c>
      <c r="C2580" s="7" t="s">
        <v>149</v>
      </c>
      <c r="D2580" s="7" t="s">
        <v>253</v>
      </c>
      <c r="E2580" s="6" t="s">
        <v>254</v>
      </c>
      <c r="F2580" s="8" t="e">
        <f>VLOOKUP($D2580,설문!$C$2:$G$444,3,FALSE)</f>
        <v>#N/A</v>
      </c>
      <c r="G2580" s="8" t="e">
        <f>VLOOKUP($D2580,설문!$C$2:$G$444,4,FALSE)</f>
        <v>#N/A</v>
      </c>
      <c r="H2580" s="8" t="e">
        <f>VLOOKUP($D2580,설문!$C$2:$G$444,5,FALSE)</f>
        <v>#N/A</v>
      </c>
    </row>
    <row r="2581" spans="1:8">
      <c r="A2581" s="6" t="s">
        <v>252</v>
      </c>
      <c r="B2581" s="7" t="s">
        <v>390</v>
      </c>
      <c r="C2581" s="7" t="s">
        <v>390</v>
      </c>
      <c r="D2581" s="7" t="s">
        <v>391</v>
      </c>
      <c r="E2581" s="6" t="s">
        <v>338</v>
      </c>
      <c r="F2581" s="8" t="e">
        <f>VLOOKUP($D2581,설문!$C$2:$G$444,3,FALSE)</f>
        <v>#N/A</v>
      </c>
      <c r="G2581" s="8" t="e">
        <f>VLOOKUP($D2581,설문!$C$2:$G$444,4,FALSE)</f>
        <v>#N/A</v>
      </c>
      <c r="H2581" s="8" t="e">
        <f>VLOOKUP($D2581,설문!$C$2:$G$444,5,FALSE)</f>
        <v>#N/A</v>
      </c>
    </row>
    <row r="2582" spans="1:8">
      <c r="A2582" s="6" t="s">
        <v>252</v>
      </c>
      <c r="B2582" s="7" t="s">
        <v>202</v>
      </c>
      <c r="C2582" s="7" t="s">
        <v>202</v>
      </c>
      <c r="D2582" s="7" t="s">
        <v>4852</v>
      </c>
      <c r="E2582" s="6" t="s">
        <v>1809</v>
      </c>
      <c r="F2582" s="8" t="e">
        <f>VLOOKUP($D2582,설문!$C$2:$G$444,3,FALSE)</f>
        <v>#N/A</v>
      </c>
      <c r="G2582" s="8" t="e">
        <f>VLOOKUP($D2582,설문!$C$2:$G$444,4,FALSE)</f>
        <v>#N/A</v>
      </c>
      <c r="H2582" s="8" t="e">
        <f>VLOOKUP($D2582,설문!$C$2:$G$444,5,FALSE)</f>
        <v>#N/A</v>
      </c>
    </row>
    <row r="2583" spans="1:8">
      <c r="A2583" s="6" t="s">
        <v>252</v>
      </c>
      <c r="B2583" s="7" t="s">
        <v>202</v>
      </c>
      <c r="C2583" s="7" t="s">
        <v>202</v>
      </c>
      <c r="D2583" s="7" t="s">
        <v>4853</v>
      </c>
      <c r="E2583" s="6" t="s">
        <v>4854</v>
      </c>
      <c r="F2583" s="8" t="e">
        <f>VLOOKUP($D2583,설문!$C$2:$G$444,3,FALSE)</f>
        <v>#N/A</v>
      </c>
      <c r="G2583" s="8" t="e">
        <f>VLOOKUP($D2583,설문!$C$2:$G$444,4,FALSE)</f>
        <v>#N/A</v>
      </c>
      <c r="H2583" s="8" t="e">
        <f>VLOOKUP($D2583,설문!$C$2:$G$444,5,FALSE)</f>
        <v>#N/A</v>
      </c>
    </row>
    <row r="2584" spans="1:8">
      <c r="A2584" s="6" t="s">
        <v>252</v>
      </c>
      <c r="B2584" s="7" t="s">
        <v>202</v>
      </c>
      <c r="C2584" s="7" t="s">
        <v>202</v>
      </c>
      <c r="D2584" s="7" t="s">
        <v>4855</v>
      </c>
      <c r="E2584" s="6" t="s">
        <v>4856</v>
      </c>
      <c r="F2584" s="8" t="e">
        <f>VLOOKUP($D2584,설문!$C$2:$G$444,3,FALSE)</f>
        <v>#N/A</v>
      </c>
      <c r="G2584" s="8" t="e">
        <f>VLOOKUP($D2584,설문!$C$2:$G$444,4,FALSE)</f>
        <v>#N/A</v>
      </c>
      <c r="H2584" s="8" t="e">
        <f>VLOOKUP($D2584,설문!$C$2:$G$444,5,FALSE)</f>
        <v>#N/A</v>
      </c>
    </row>
    <row r="2585" spans="1:8">
      <c r="A2585" s="6" t="s">
        <v>252</v>
      </c>
      <c r="B2585" s="7" t="s">
        <v>202</v>
      </c>
      <c r="C2585" s="7" t="s">
        <v>202</v>
      </c>
      <c r="D2585" s="7" t="s">
        <v>4857</v>
      </c>
      <c r="E2585" s="6" t="s">
        <v>4858</v>
      </c>
      <c r="F2585" s="8" t="e">
        <f>VLOOKUP($D2585,설문!$C$2:$G$444,3,FALSE)</f>
        <v>#N/A</v>
      </c>
      <c r="G2585" s="8" t="e">
        <f>VLOOKUP($D2585,설문!$C$2:$G$444,4,FALSE)</f>
        <v>#N/A</v>
      </c>
      <c r="H2585" s="8" t="e">
        <f>VLOOKUP($D2585,설문!$C$2:$G$444,5,FALSE)</f>
        <v>#N/A</v>
      </c>
    </row>
    <row r="2586" spans="1:8">
      <c r="A2586" s="6" t="s">
        <v>252</v>
      </c>
      <c r="B2586" s="7" t="s">
        <v>149</v>
      </c>
      <c r="C2586" s="7" t="s">
        <v>149</v>
      </c>
      <c r="D2586" s="7" t="s">
        <v>4859</v>
      </c>
      <c r="E2586" s="6" t="s">
        <v>4860</v>
      </c>
      <c r="F2586" s="8" t="e">
        <f>VLOOKUP($D2586,설문!$C$2:$G$444,3,FALSE)</f>
        <v>#N/A</v>
      </c>
      <c r="G2586" s="8" t="e">
        <f>VLOOKUP($D2586,설문!$C$2:$G$444,4,FALSE)</f>
        <v>#N/A</v>
      </c>
      <c r="H2586" s="8" t="e">
        <f>VLOOKUP($D2586,설문!$C$2:$G$444,5,FALSE)</f>
        <v>#N/A</v>
      </c>
    </row>
    <row r="2587" spans="1:8">
      <c r="A2587" s="6" t="s">
        <v>252</v>
      </c>
      <c r="B2587" s="7" t="s">
        <v>149</v>
      </c>
      <c r="C2587" s="7" t="s">
        <v>149</v>
      </c>
      <c r="D2587" s="7" t="s">
        <v>4861</v>
      </c>
      <c r="E2587" s="6" t="s">
        <v>4862</v>
      </c>
      <c r="F2587" s="8" t="e">
        <f>VLOOKUP($D2587,설문!$C$2:$G$444,3,FALSE)</f>
        <v>#N/A</v>
      </c>
      <c r="G2587" s="8" t="e">
        <f>VLOOKUP($D2587,설문!$C$2:$G$444,4,FALSE)</f>
        <v>#N/A</v>
      </c>
      <c r="H2587" s="8" t="e">
        <f>VLOOKUP($D2587,설문!$C$2:$G$444,5,FALSE)</f>
        <v>#N/A</v>
      </c>
    </row>
    <row r="2588" spans="1:8">
      <c r="A2588" s="6" t="s">
        <v>252</v>
      </c>
      <c r="B2588" s="7" t="s">
        <v>149</v>
      </c>
      <c r="C2588" s="7" t="s">
        <v>149</v>
      </c>
      <c r="D2588" s="7" t="s">
        <v>4863</v>
      </c>
      <c r="E2588" s="6" t="s">
        <v>4864</v>
      </c>
      <c r="F2588" s="8" t="e">
        <f>VLOOKUP($D2588,설문!$C$2:$G$444,3,FALSE)</f>
        <v>#N/A</v>
      </c>
      <c r="G2588" s="8" t="e">
        <f>VLOOKUP($D2588,설문!$C$2:$G$444,4,FALSE)</f>
        <v>#N/A</v>
      </c>
      <c r="H2588" s="8" t="e">
        <f>VLOOKUP($D2588,설문!$C$2:$G$444,5,FALSE)</f>
        <v>#N/A</v>
      </c>
    </row>
    <row r="2589" spans="1:8">
      <c r="A2589" s="6" t="s">
        <v>252</v>
      </c>
      <c r="B2589" s="7" t="s">
        <v>202</v>
      </c>
      <c r="C2589" s="7" t="s">
        <v>202</v>
      </c>
      <c r="D2589" s="7" t="s">
        <v>4865</v>
      </c>
      <c r="E2589" s="6" t="s">
        <v>4866</v>
      </c>
      <c r="F2589" s="8" t="e">
        <f>VLOOKUP($D2589,설문!$C$2:$G$444,3,FALSE)</f>
        <v>#N/A</v>
      </c>
      <c r="G2589" s="8" t="e">
        <f>VLOOKUP($D2589,설문!$C$2:$G$444,4,FALSE)</f>
        <v>#N/A</v>
      </c>
      <c r="H2589" s="8" t="e">
        <f>VLOOKUP($D2589,설문!$C$2:$G$444,5,FALSE)</f>
        <v>#N/A</v>
      </c>
    </row>
    <row r="2590" spans="1:8">
      <c r="A2590" s="6" t="s">
        <v>252</v>
      </c>
      <c r="B2590" s="7" t="s">
        <v>202</v>
      </c>
      <c r="C2590" s="7" t="s">
        <v>202</v>
      </c>
      <c r="D2590" s="7" t="s">
        <v>4867</v>
      </c>
      <c r="E2590" s="6" t="s">
        <v>1634</v>
      </c>
      <c r="F2590" s="8" t="e">
        <f>VLOOKUP($D2590,설문!$C$2:$G$444,3,FALSE)</f>
        <v>#N/A</v>
      </c>
      <c r="G2590" s="8" t="e">
        <f>VLOOKUP($D2590,설문!$C$2:$G$444,4,FALSE)</f>
        <v>#N/A</v>
      </c>
      <c r="H2590" s="8" t="e">
        <f>VLOOKUP($D2590,설문!$C$2:$G$444,5,FALSE)</f>
        <v>#N/A</v>
      </c>
    </row>
    <row r="2591" spans="1:8">
      <c r="A2591" s="6" t="s">
        <v>252</v>
      </c>
      <c r="B2591" s="7" t="s">
        <v>4868</v>
      </c>
      <c r="C2591" s="7" t="s">
        <v>4868</v>
      </c>
      <c r="D2591" s="7" t="s">
        <v>4869</v>
      </c>
      <c r="E2591" s="6" t="s">
        <v>4870</v>
      </c>
      <c r="F2591" s="8" t="e">
        <f>VLOOKUP($D2591,설문!$C$2:$G$444,3,FALSE)</f>
        <v>#N/A</v>
      </c>
      <c r="G2591" s="8" t="e">
        <f>VLOOKUP($D2591,설문!$C$2:$G$444,4,FALSE)</f>
        <v>#N/A</v>
      </c>
      <c r="H2591" s="8" t="e">
        <f>VLOOKUP($D2591,설문!$C$2:$G$444,5,FALSE)</f>
        <v>#N/A</v>
      </c>
    </row>
    <row r="2592" spans="1:8">
      <c r="A2592" s="6" t="s">
        <v>81</v>
      </c>
      <c r="B2592" s="7" t="s">
        <v>82</v>
      </c>
      <c r="C2592" s="7" t="s">
        <v>78</v>
      </c>
      <c r="D2592" s="7" t="s">
        <v>83</v>
      </c>
      <c r="E2592" s="6" t="s">
        <v>84</v>
      </c>
      <c r="F2592" s="8" t="e">
        <f>VLOOKUP($D2592,설문!$C$2:$G$444,3,FALSE)</f>
        <v>#N/A</v>
      </c>
      <c r="G2592" s="8" t="e">
        <f>VLOOKUP($D2592,설문!$C$2:$G$444,4,FALSE)</f>
        <v>#N/A</v>
      </c>
      <c r="H2592" s="8" t="e">
        <f>VLOOKUP($D2592,설문!$C$2:$G$444,5,FALSE)</f>
        <v>#N/A</v>
      </c>
    </row>
    <row r="2593" spans="1:8">
      <c r="A2593" s="6" t="s">
        <v>81</v>
      </c>
      <c r="B2593" s="7" t="s">
        <v>92</v>
      </c>
      <c r="C2593" s="7" t="s">
        <v>93</v>
      </c>
      <c r="D2593" s="7" t="s">
        <v>94</v>
      </c>
      <c r="E2593" s="6" t="s">
        <v>95</v>
      </c>
      <c r="F2593" s="8" t="e">
        <f>VLOOKUP($D2593,설문!$C$2:$G$444,3,FALSE)</f>
        <v>#N/A</v>
      </c>
      <c r="G2593" s="8" t="e">
        <f>VLOOKUP($D2593,설문!$C$2:$G$444,4,FALSE)</f>
        <v>#N/A</v>
      </c>
      <c r="H2593" s="8" t="e">
        <f>VLOOKUP($D2593,설문!$C$2:$G$444,5,FALSE)</f>
        <v>#N/A</v>
      </c>
    </row>
    <row r="2594" spans="1:8">
      <c r="A2594" s="6" t="s">
        <v>81</v>
      </c>
      <c r="B2594" s="7" t="s">
        <v>92</v>
      </c>
      <c r="C2594" s="7" t="s">
        <v>245</v>
      </c>
      <c r="D2594" s="7" t="s">
        <v>246</v>
      </c>
      <c r="E2594" s="6" t="s">
        <v>247</v>
      </c>
      <c r="F2594" s="8" t="e">
        <f>VLOOKUP($D2594,설문!$C$2:$G$444,3,FALSE)</f>
        <v>#N/A</v>
      </c>
      <c r="G2594" s="8" t="e">
        <f>VLOOKUP($D2594,설문!$C$2:$G$444,4,FALSE)</f>
        <v>#N/A</v>
      </c>
      <c r="H2594" s="8" t="e">
        <f>VLOOKUP($D2594,설문!$C$2:$G$444,5,FALSE)</f>
        <v>#N/A</v>
      </c>
    </row>
    <row r="2595" spans="1:8">
      <c r="A2595" s="6" t="s">
        <v>81</v>
      </c>
      <c r="B2595" s="7" t="s">
        <v>82</v>
      </c>
      <c r="C2595" s="7" t="s">
        <v>617</v>
      </c>
      <c r="D2595" s="7" t="s">
        <v>618</v>
      </c>
      <c r="E2595" s="6" t="s">
        <v>619</v>
      </c>
      <c r="F2595" s="8" t="e">
        <f>VLOOKUP($D2595,설문!$C$2:$G$444,3,FALSE)</f>
        <v>#N/A</v>
      </c>
      <c r="G2595" s="8" t="e">
        <f>VLOOKUP($D2595,설문!$C$2:$G$444,4,FALSE)</f>
        <v>#N/A</v>
      </c>
      <c r="H2595" s="8" t="e">
        <f>VLOOKUP($D2595,설문!$C$2:$G$444,5,FALSE)</f>
        <v>#N/A</v>
      </c>
    </row>
    <row r="2596" spans="1:8">
      <c r="A2596" s="6" t="s">
        <v>81</v>
      </c>
      <c r="B2596" s="7" t="s">
        <v>82</v>
      </c>
      <c r="C2596" s="7" t="s">
        <v>78</v>
      </c>
      <c r="D2596" s="7" t="s">
        <v>826</v>
      </c>
      <c r="E2596" s="6" t="s">
        <v>827</v>
      </c>
      <c r="F2596" s="8" t="e">
        <f>VLOOKUP($D2596,설문!$C$2:$G$444,3,FALSE)</f>
        <v>#N/A</v>
      </c>
      <c r="G2596" s="8" t="e">
        <f>VLOOKUP($D2596,설문!$C$2:$G$444,4,FALSE)</f>
        <v>#N/A</v>
      </c>
      <c r="H2596" s="8" t="e">
        <f>VLOOKUP($D2596,설문!$C$2:$G$444,5,FALSE)</f>
        <v>#N/A</v>
      </c>
    </row>
    <row r="2597" spans="1:8">
      <c r="A2597" s="6" t="s">
        <v>81</v>
      </c>
      <c r="B2597" s="7" t="s">
        <v>92</v>
      </c>
      <c r="C2597" s="7" t="s">
        <v>245</v>
      </c>
      <c r="D2597" s="7" t="s">
        <v>828</v>
      </c>
      <c r="E2597" s="6" t="s">
        <v>829</v>
      </c>
      <c r="F2597" s="8" t="str">
        <f>VLOOKUP($D2597,설문!$C$2:$G$444,3,FALSE)</f>
        <v>분석 및 전략</v>
      </c>
      <c r="G2597" s="8" t="str">
        <f>VLOOKUP($D2597,설문!$C$2:$G$444,4,FALSE)</f>
        <v>금융 유관기관</v>
      </c>
      <c r="H2597" s="8" t="str">
        <f>VLOOKUP($D2597,설문!$C$2:$G$444,5,FALSE)</f>
        <v>국내주식/지수</v>
      </c>
    </row>
    <row r="2598" spans="1:8">
      <c r="A2598" s="6" t="s">
        <v>81</v>
      </c>
      <c r="B2598" s="7" t="s">
        <v>82</v>
      </c>
      <c r="C2598" s="7" t="s">
        <v>264</v>
      </c>
      <c r="D2598" s="7" t="s">
        <v>1364</v>
      </c>
      <c r="E2598" s="6" t="s">
        <v>1365</v>
      </c>
      <c r="F2598" s="8" t="e">
        <f>VLOOKUP($D2598,설문!$C$2:$G$444,3,FALSE)</f>
        <v>#N/A</v>
      </c>
      <c r="G2598" s="8" t="e">
        <f>VLOOKUP($D2598,설문!$C$2:$G$444,4,FALSE)</f>
        <v>#N/A</v>
      </c>
      <c r="H2598" s="8" t="e">
        <f>VLOOKUP($D2598,설문!$C$2:$G$444,5,FALSE)</f>
        <v>#N/A</v>
      </c>
    </row>
    <row r="2599" spans="1:8">
      <c r="A2599" s="6" t="s">
        <v>81</v>
      </c>
      <c r="B2599" s="7" t="s">
        <v>2961</v>
      </c>
      <c r="C2599" s="7" t="s">
        <v>1131</v>
      </c>
      <c r="D2599" s="7" t="s">
        <v>2962</v>
      </c>
      <c r="E2599" s="6" t="s">
        <v>2963</v>
      </c>
      <c r="F2599" s="8" t="e">
        <f>VLOOKUP($D2599,설문!$C$2:$G$444,3,FALSE)</f>
        <v>#N/A</v>
      </c>
      <c r="G2599" s="8" t="e">
        <f>VLOOKUP($D2599,설문!$C$2:$G$444,4,FALSE)</f>
        <v>#N/A</v>
      </c>
      <c r="H2599" s="8" t="e">
        <f>VLOOKUP($D2599,설문!$C$2:$G$444,5,FALSE)</f>
        <v>#N/A</v>
      </c>
    </row>
    <row r="2600" spans="1:8">
      <c r="A2600" s="6" t="s">
        <v>81</v>
      </c>
      <c r="B2600" s="7" t="s">
        <v>2964</v>
      </c>
      <c r="C2600" s="7" t="s">
        <v>2965</v>
      </c>
      <c r="D2600" s="7" t="s">
        <v>2966</v>
      </c>
      <c r="E2600" s="6" t="s">
        <v>2967</v>
      </c>
      <c r="F2600" s="8" t="e">
        <f>VLOOKUP($D2600,설문!$C$2:$G$444,3,FALSE)</f>
        <v>#N/A</v>
      </c>
      <c r="G2600" s="8" t="e">
        <f>VLOOKUP($D2600,설문!$C$2:$G$444,4,FALSE)</f>
        <v>#N/A</v>
      </c>
      <c r="H2600" s="8" t="e">
        <f>VLOOKUP($D2600,설문!$C$2:$G$444,5,FALSE)</f>
        <v>#N/A</v>
      </c>
    </row>
    <row r="2601" spans="1:8">
      <c r="A2601" s="6" t="s">
        <v>81</v>
      </c>
      <c r="B2601" s="7" t="s">
        <v>2964</v>
      </c>
      <c r="C2601" s="7" t="s">
        <v>448</v>
      </c>
      <c r="D2601" s="7" t="s">
        <v>2968</v>
      </c>
      <c r="E2601" s="6" t="s">
        <v>2969</v>
      </c>
      <c r="F2601" s="8" t="e">
        <f>VLOOKUP($D2601,설문!$C$2:$G$444,3,FALSE)</f>
        <v>#N/A</v>
      </c>
      <c r="G2601" s="8" t="e">
        <f>VLOOKUP($D2601,설문!$C$2:$G$444,4,FALSE)</f>
        <v>#N/A</v>
      </c>
      <c r="H2601" s="8" t="e">
        <f>VLOOKUP($D2601,설문!$C$2:$G$444,5,FALSE)</f>
        <v>#N/A</v>
      </c>
    </row>
    <row r="2602" spans="1:8">
      <c r="A2602" s="6" t="s">
        <v>81</v>
      </c>
      <c r="B2602" s="7" t="s">
        <v>82</v>
      </c>
      <c r="C2602" s="7" t="s">
        <v>2970</v>
      </c>
      <c r="D2602" s="7" t="s">
        <v>2971</v>
      </c>
      <c r="E2602" s="6" t="s">
        <v>2972</v>
      </c>
      <c r="F2602" s="8" t="e">
        <f>VLOOKUP($D2602,설문!$C$2:$G$444,3,FALSE)</f>
        <v>#N/A</v>
      </c>
      <c r="G2602" s="8" t="e">
        <f>VLOOKUP($D2602,설문!$C$2:$G$444,4,FALSE)</f>
        <v>#N/A</v>
      </c>
      <c r="H2602" s="8" t="e">
        <f>VLOOKUP($D2602,설문!$C$2:$G$444,5,FALSE)</f>
        <v>#N/A</v>
      </c>
    </row>
    <row r="2603" spans="1:8">
      <c r="A2603" s="6" t="s">
        <v>81</v>
      </c>
      <c r="B2603" s="7" t="s">
        <v>2964</v>
      </c>
      <c r="C2603" s="7" t="s">
        <v>2973</v>
      </c>
      <c r="D2603" s="7" t="s">
        <v>2974</v>
      </c>
      <c r="E2603" s="6" t="s">
        <v>2975</v>
      </c>
      <c r="F2603" s="8" t="e">
        <f>VLOOKUP($D2603,설문!$C$2:$G$444,3,FALSE)</f>
        <v>#N/A</v>
      </c>
      <c r="G2603" s="8" t="e">
        <f>VLOOKUP($D2603,설문!$C$2:$G$444,4,FALSE)</f>
        <v>#N/A</v>
      </c>
      <c r="H2603" s="8" t="e">
        <f>VLOOKUP($D2603,설문!$C$2:$G$444,5,FALSE)</f>
        <v>#N/A</v>
      </c>
    </row>
    <row r="2604" spans="1:8">
      <c r="A2604" s="6" t="s">
        <v>81</v>
      </c>
      <c r="B2604" s="7" t="s">
        <v>92</v>
      </c>
      <c r="C2604" s="7" t="s">
        <v>245</v>
      </c>
      <c r="D2604" s="7" t="s">
        <v>2976</v>
      </c>
      <c r="E2604" s="6" t="s">
        <v>2977</v>
      </c>
      <c r="F2604" s="8" t="e">
        <f>VLOOKUP($D2604,설문!$C$2:$G$444,3,FALSE)</f>
        <v>#N/A</v>
      </c>
      <c r="G2604" s="8" t="e">
        <f>VLOOKUP($D2604,설문!$C$2:$G$444,4,FALSE)</f>
        <v>#N/A</v>
      </c>
      <c r="H2604" s="8" t="e">
        <f>VLOOKUP($D2604,설문!$C$2:$G$444,5,FALSE)</f>
        <v>#N/A</v>
      </c>
    </row>
    <row r="2605" spans="1:8">
      <c r="A2605" s="6" t="s">
        <v>81</v>
      </c>
      <c r="B2605" s="7" t="s">
        <v>92</v>
      </c>
      <c r="C2605" s="7" t="s">
        <v>245</v>
      </c>
      <c r="D2605" s="7" t="s">
        <v>2978</v>
      </c>
      <c r="E2605" s="6" t="s">
        <v>2979</v>
      </c>
      <c r="F2605" s="8" t="e">
        <f>VLOOKUP($D2605,설문!$C$2:$G$444,3,FALSE)</f>
        <v>#N/A</v>
      </c>
      <c r="G2605" s="8" t="e">
        <f>VLOOKUP($D2605,설문!$C$2:$G$444,4,FALSE)</f>
        <v>#N/A</v>
      </c>
      <c r="H2605" s="8" t="e">
        <f>VLOOKUP($D2605,설문!$C$2:$G$444,5,FALSE)</f>
        <v>#N/A</v>
      </c>
    </row>
    <row r="2606" spans="1:8">
      <c r="A2606" s="6" t="s">
        <v>81</v>
      </c>
      <c r="B2606" s="7" t="s">
        <v>92</v>
      </c>
      <c r="C2606" s="7" t="s">
        <v>245</v>
      </c>
      <c r="D2606" s="7" t="s">
        <v>2980</v>
      </c>
      <c r="E2606" s="6" t="s">
        <v>498</v>
      </c>
      <c r="F2606" s="8" t="e">
        <f>VLOOKUP($D2606,설문!$C$2:$G$444,3,FALSE)</f>
        <v>#N/A</v>
      </c>
      <c r="G2606" s="8" t="e">
        <f>VLOOKUP($D2606,설문!$C$2:$G$444,4,FALSE)</f>
        <v>#N/A</v>
      </c>
      <c r="H2606" s="8" t="e">
        <f>VLOOKUP($D2606,설문!$C$2:$G$444,5,FALSE)</f>
        <v>#N/A</v>
      </c>
    </row>
    <row r="2607" spans="1:8">
      <c r="A2607" s="6" t="s">
        <v>81</v>
      </c>
      <c r="B2607" s="7" t="s">
        <v>92</v>
      </c>
      <c r="C2607" s="7" t="s">
        <v>245</v>
      </c>
      <c r="D2607" s="7" t="s">
        <v>2981</v>
      </c>
      <c r="E2607" s="6" t="s">
        <v>2982</v>
      </c>
      <c r="F2607" s="8" t="e">
        <f>VLOOKUP($D2607,설문!$C$2:$G$444,3,FALSE)</f>
        <v>#N/A</v>
      </c>
      <c r="G2607" s="8" t="e">
        <f>VLOOKUP($D2607,설문!$C$2:$G$444,4,FALSE)</f>
        <v>#N/A</v>
      </c>
      <c r="H2607" s="8" t="e">
        <f>VLOOKUP($D2607,설문!$C$2:$G$444,5,FALSE)</f>
        <v>#N/A</v>
      </c>
    </row>
    <row r="2608" spans="1:8">
      <c r="A2608" s="6" t="s">
        <v>81</v>
      </c>
      <c r="B2608" s="7" t="s">
        <v>92</v>
      </c>
      <c r="C2608" s="7" t="s">
        <v>245</v>
      </c>
      <c r="D2608" s="7" t="s">
        <v>2983</v>
      </c>
      <c r="E2608" s="6" t="s">
        <v>2984</v>
      </c>
      <c r="F2608" s="8" t="e">
        <f>VLOOKUP($D2608,설문!$C$2:$G$444,3,FALSE)</f>
        <v>#N/A</v>
      </c>
      <c r="G2608" s="8" t="e">
        <f>VLOOKUP($D2608,설문!$C$2:$G$444,4,FALSE)</f>
        <v>#N/A</v>
      </c>
      <c r="H2608" s="8" t="e">
        <f>VLOOKUP($D2608,설문!$C$2:$G$444,5,FALSE)</f>
        <v>#N/A</v>
      </c>
    </row>
    <row r="2609" spans="1:8">
      <c r="A2609" s="6" t="s">
        <v>81</v>
      </c>
      <c r="B2609" s="7" t="s">
        <v>92</v>
      </c>
      <c r="C2609" s="7" t="s">
        <v>245</v>
      </c>
      <c r="D2609" s="7" t="s">
        <v>2985</v>
      </c>
      <c r="E2609" s="6" t="s">
        <v>2986</v>
      </c>
      <c r="F2609" s="8" t="e">
        <f>VLOOKUP($D2609,설문!$C$2:$G$444,3,FALSE)</f>
        <v>#N/A</v>
      </c>
      <c r="G2609" s="8" t="e">
        <f>VLOOKUP($D2609,설문!$C$2:$G$444,4,FALSE)</f>
        <v>#N/A</v>
      </c>
      <c r="H2609" s="8" t="e">
        <f>VLOOKUP($D2609,설문!$C$2:$G$444,5,FALSE)</f>
        <v>#N/A</v>
      </c>
    </row>
    <row r="2610" spans="1:8">
      <c r="A2610" s="6" t="s">
        <v>81</v>
      </c>
      <c r="B2610" s="7" t="s">
        <v>82</v>
      </c>
      <c r="C2610" s="7" t="s">
        <v>264</v>
      </c>
      <c r="D2610" s="7" t="s">
        <v>2987</v>
      </c>
      <c r="E2610" s="6" t="s">
        <v>2988</v>
      </c>
      <c r="F2610" s="8" t="e">
        <f>VLOOKUP($D2610,설문!$C$2:$G$444,3,FALSE)</f>
        <v>#N/A</v>
      </c>
      <c r="G2610" s="8" t="e">
        <f>VLOOKUP($D2610,설문!$C$2:$G$444,4,FALSE)</f>
        <v>#N/A</v>
      </c>
      <c r="H2610" s="8" t="e">
        <f>VLOOKUP($D2610,설문!$C$2:$G$444,5,FALSE)</f>
        <v>#N/A</v>
      </c>
    </row>
    <row r="2611" spans="1:8">
      <c r="A2611" s="6" t="s">
        <v>81</v>
      </c>
      <c r="B2611" s="7" t="s">
        <v>82</v>
      </c>
      <c r="C2611" s="7" t="s">
        <v>264</v>
      </c>
      <c r="D2611" s="7" t="s">
        <v>2989</v>
      </c>
      <c r="E2611" s="6" t="s">
        <v>2990</v>
      </c>
      <c r="F2611" s="8" t="e">
        <f>VLOOKUP($D2611,설문!$C$2:$G$444,3,FALSE)</f>
        <v>#N/A</v>
      </c>
      <c r="G2611" s="8" t="e">
        <f>VLOOKUP($D2611,설문!$C$2:$G$444,4,FALSE)</f>
        <v>#N/A</v>
      </c>
      <c r="H2611" s="8" t="e">
        <f>VLOOKUP($D2611,설문!$C$2:$G$444,5,FALSE)</f>
        <v>#N/A</v>
      </c>
    </row>
    <row r="2612" spans="1:8">
      <c r="A2612" s="6" t="s">
        <v>81</v>
      </c>
      <c r="B2612" s="7" t="s">
        <v>92</v>
      </c>
      <c r="C2612" s="7" t="s">
        <v>245</v>
      </c>
      <c r="D2612" s="7" t="s">
        <v>2991</v>
      </c>
      <c r="E2612" s="6" t="s">
        <v>2992</v>
      </c>
      <c r="F2612" s="8" t="str">
        <f>VLOOKUP($D2612,설문!$C$2:$G$444,3,FALSE)</f>
        <v>분석 및 전략</v>
      </c>
      <c r="G2612" s="8" t="str">
        <f>VLOOKUP($D2612,설문!$C$2:$G$444,4,FALSE)</f>
        <v>금융회사</v>
      </c>
      <c r="H2612" s="8" t="str">
        <f>VLOOKUP($D2612,설문!$C$2:$G$444,5,FALSE)</f>
        <v>ETF/ETN</v>
      </c>
    </row>
    <row r="2613" spans="1:8">
      <c r="A2613" s="6" t="s">
        <v>81</v>
      </c>
      <c r="B2613" s="7" t="s">
        <v>82</v>
      </c>
      <c r="C2613" s="7" t="s">
        <v>264</v>
      </c>
      <c r="D2613" s="7" t="s">
        <v>2993</v>
      </c>
      <c r="E2613" s="6" t="s">
        <v>2994</v>
      </c>
      <c r="F2613" s="8" t="str">
        <f>VLOOKUP($D2613,설문!$C$2:$G$444,3,FALSE)</f>
        <v>펀드매니저</v>
      </c>
      <c r="G2613" s="8" t="str">
        <f>VLOOKUP($D2613,설문!$C$2:$G$444,4,FALSE)</f>
        <v>금융회사</v>
      </c>
      <c r="H2613" s="8" t="str">
        <f>VLOOKUP($D2613,설문!$C$2:$G$444,5,FALSE)</f>
        <v>국고채/통안채,회사채,단기자금,IB(발행, M&amp;A 등)</v>
      </c>
    </row>
    <row r="2614" spans="1:8">
      <c r="A2614" s="6" t="s">
        <v>81</v>
      </c>
      <c r="B2614" s="7" t="s">
        <v>82</v>
      </c>
      <c r="C2614" s="7" t="s">
        <v>264</v>
      </c>
      <c r="D2614" s="7" t="s">
        <v>2995</v>
      </c>
      <c r="E2614" s="6" t="s">
        <v>2996</v>
      </c>
      <c r="F2614" s="8" t="str">
        <f>VLOOKUP($D2614,설문!$C$2:$G$444,3,FALSE)</f>
        <v>펀드매니저</v>
      </c>
      <c r="G2614" s="8" t="str">
        <f>VLOOKUP($D2614,설문!$C$2:$G$444,4,FALSE)</f>
        <v>금융회사</v>
      </c>
      <c r="H2614" s="8" t="str">
        <f>VLOOKUP($D2614,설문!$C$2:$G$444,5,FALSE)</f>
        <v>국고채/통안채,회사채,원화 구조화채권,국내주식/지수관련파생,원화 이자율스왑,신용파생,ELS/DLS</v>
      </c>
    </row>
    <row r="2615" spans="1:8">
      <c r="A2615" s="6" t="s">
        <v>81</v>
      </c>
      <c r="B2615" s="7" t="s">
        <v>92</v>
      </c>
      <c r="C2615" s="7" t="s">
        <v>245</v>
      </c>
      <c r="D2615" s="7" t="s">
        <v>2997</v>
      </c>
      <c r="E2615" s="6" t="s">
        <v>2998</v>
      </c>
      <c r="F2615" s="8" t="e">
        <f>VLOOKUP($D2615,설문!$C$2:$G$444,3,FALSE)</f>
        <v>#N/A</v>
      </c>
      <c r="G2615" s="8" t="e">
        <f>VLOOKUP($D2615,설문!$C$2:$G$444,4,FALSE)</f>
        <v>#N/A</v>
      </c>
      <c r="H2615" s="8" t="e">
        <f>VLOOKUP($D2615,설문!$C$2:$G$444,5,FALSE)</f>
        <v>#N/A</v>
      </c>
    </row>
    <row r="2616" spans="1:8">
      <c r="A2616" s="6" t="s">
        <v>81</v>
      </c>
      <c r="B2616" s="7" t="s">
        <v>82</v>
      </c>
      <c r="C2616" s="7" t="s">
        <v>78</v>
      </c>
      <c r="D2616" s="7" t="s">
        <v>2999</v>
      </c>
      <c r="E2616" s="6" t="s">
        <v>3000</v>
      </c>
      <c r="F2616" s="8" t="e">
        <f>VLOOKUP($D2616,설문!$C$2:$G$444,3,FALSE)</f>
        <v>#N/A</v>
      </c>
      <c r="G2616" s="8" t="e">
        <f>VLOOKUP($D2616,설문!$C$2:$G$444,4,FALSE)</f>
        <v>#N/A</v>
      </c>
      <c r="H2616" s="8" t="e">
        <f>VLOOKUP($D2616,설문!$C$2:$G$444,5,FALSE)</f>
        <v>#N/A</v>
      </c>
    </row>
    <row r="2617" spans="1:8">
      <c r="A2617" s="6" t="s">
        <v>81</v>
      </c>
      <c r="B2617" s="7" t="s">
        <v>82</v>
      </c>
      <c r="C2617" s="7" t="s">
        <v>78</v>
      </c>
      <c r="D2617" s="7" t="s">
        <v>3001</v>
      </c>
      <c r="E2617" s="6" t="s">
        <v>3002</v>
      </c>
      <c r="F2617" s="8" t="e">
        <f>VLOOKUP($D2617,설문!$C$2:$G$444,3,FALSE)</f>
        <v>#N/A</v>
      </c>
      <c r="G2617" s="8" t="e">
        <f>VLOOKUP($D2617,설문!$C$2:$G$444,4,FALSE)</f>
        <v>#N/A</v>
      </c>
      <c r="H2617" s="8" t="e">
        <f>VLOOKUP($D2617,설문!$C$2:$G$444,5,FALSE)</f>
        <v>#N/A</v>
      </c>
    </row>
    <row r="2618" spans="1:8">
      <c r="A2618" s="6" t="s">
        <v>81</v>
      </c>
      <c r="B2618" s="7" t="s">
        <v>82</v>
      </c>
      <c r="C2618" s="7" t="s">
        <v>78</v>
      </c>
      <c r="D2618" s="7" t="s">
        <v>3003</v>
      </c>
      <c r="E2618" s="6" t="s">
        <v>3004</v>
      </c>
      <c r="F2618" s="8" t="e">
        <f>VLOOKUP($D2618,설문!$C$2:$G$444,3,FALSE)</f>
        <v>#N/A</v>
      </c>
      <c r="G2618" s="8" t="e">
        <f>VLOOKUP($D2618,설문!$C$2:$G$444,4,FALSE)</f>
        <v>#N/A</v>
      </c>
      <c r="H2618" s="8" t="e">
        <f>VLOOKUP($D2618,설문!$C$2:$G$444,5,FALSE)</f>
        <v>#N/A</v>
      </c>
    </row>
    <row r="2619" spans="1:8">
      <c r="A2619" s="6" t="s">
        <v>81</v>
      </c>
      <c r="B2619" s="7" t="s">
        <v>82</v>
      </c>
      <c r="C2619" s="7" t="s">
        <v>78</v>
      </c>
      <c r="D2619" s="7" t="s">
        <v>3005</v>
      </c>
      <c r="E2619" s="6" t="s">
        <v>3006</v>
      </c>
      <c r="F2619" s="8" t="e">
        <f>VLOOKUP($D2619,설문!$C$2:$G$444,3,FALSE)</f>
        <v>#N/A</v>
      </c>
      <c r="G2619" s="8" t="e">
        <f>VLOOKUP($D2619,설문!$C$2:$G$444,4,FALSE)</f>
        <v>#N/A</v>
      </c>
      <c r="H2619" s="8" t="e">
        <f>VLOOKUP($D2619,설문!$C$2:$G$444,5,FALSE)</f>
        <v>#N/A</v>
      </c>
    </row>
    <row r="2620" spans="1:8">
      <c r="A2620" s="6" t="s">
        <v>81</v>
      </c>
      <c r="B2620" s="7" t="s">
        <v>82</v>
      </c>
      <c r="C2620" s="7" t="s">
        <v>78</v>
      </c>
      <c r="D2620" s="7" t="s">
        <v>3007</v>
      </c>
      <c r="E2620" s="6" t="s">
        <v>3008</v>
      </c>
      <c r="F2620" s="8" t="e">
        <f>VLOOKUP($D2620,설문!$C$2:$G$444,3,FALSE)</f>
        <v>#N/A</v>
      </c>
      <c r="G2620" s="8" t="e">
        <f>VLOOKUP($D2620,설문!$C$2:$G$444,4,FALSE)</f>
        <v>#N/A</v>
      </c>
      <c r="H2620" s="8" t="e">
        <f>VLOOKUP($D2620,설문!$C$2:$G$444,5,FALSE)</f>
        <v>#N/A</v>
      </c>
    </row>
    <row r="2621" spans="1:8">
      <c r="A2621" s="6" t="s">
        <v>81</v>
      </c>
      <c r="B2621" s="7" t="s">
        <v>82</v>
      </c>
      <c r="C2621" s="7" t="s">
        <v>78</v>
      </c>
      <c r="D2621" s="7" t="s">
        <v>3009</v>
      </c>
      <c r="E2621" s="6" t="s">
        <v>3010</v>
      </c>
      <c r="F2621" s="8" t="e">
        <f>VLOOKUP($D2621,설문!$C$2:$G$444,3,FALSE)</f>
        <v>#N/A</v>
      </c>
      <c r="G2621" s="8" t="e">
        <f>VLOOKUP($D2621,설문!$C$2:$G$444,4,FALSE)</f>
        <v>#N/A</v>
      </c>
      <c r="H2621" s="8" t="e">
        <f>VLOOKUP($D2621,설문!$C$2:$G$444,5,FALSE)</f>
        <v>#N/A</v>
      </c>
    </row>
    <row r="2622" spans="1:8">
      <c r="A2622" s="6" t="s">
        <v>81</v>
      </c>
      <c r="B2622" s="7" t="s">
        <v>82</v>
      </c>
      <c r="C2622" s="7" t="s">
        <v>78</v>
      </c>
      <c r="D2622" s="7" t="s">
        <v>3011</v>
      </c>
      <c r="E2622" s="6" t="s">
        <v>3012</v>
      </c>
      <c r="F2622" s="8" t="str">
        <f>VLOOKUP($D2622,설문!$C$2:$G$444,3,FALSE)</f>
        <v>펀드매니저</v>
      </c>
      <c r="G2622" s="8" t="str">
        <f>VLOOKUP($D2622,설문!$C$2:$G$444,4,FALSE)</f>
        <v>금융회사</v>
      </c>
      <c r="H2622" s="8" t="str">
        <f>VLOOKUP($D2622,설문!$C$2:$G$444,5,FALSE)</f>
        <v>국내주식/지수,ETF/ETN</v>
      </c>
    </row>
    <row r="2623" spans="1:8">
      <c r="A2623" s="6" t="s">
        <v>81</v>
      </c>
      <c r="B2623" s="7" t="s">
        <v>92</v>
      </c>
      <c r="C2623" s="7" t="s">
        <v>245</v>
      </c>
      <c r="D2623" s="7" t="s">
        <v>3013</v>
      </c>
      <c r="E2623" s="6" t="s">
        <v>3014</v>
      </c>
      <c r="F2623" s="8" t="e">
        <f>VLOOKUP($D2623,설문!$C$2:$G$444,3,FALSE)</f>
        <v>#N/A</v>
      </c>
      <c r="G2623" s="8" t="e">
        <f>VLOOKUP($D2623,설문!$C$2:$G$444,4,FALSE)</f>
        <v>#N/A</v>
      </c>
      <c r="H2623" s="8" t="e">
        <f>VLOOKUP($D2623,설문!$C$2:$G$444,5,FALSE)</f>
        <v>#N/A</v>
      </c>
    </row>
    <row r="2624" spans="1:8">
      <c r="A2624" s="6" t="s">
        <v>81</v>
      </c>
      <c r="B2624" s="7" t="s">
        <v>92</v>
      </c>
      <c r="C2624" s="7" t="s">
        <v>245</v>
      </c>
      <c r="D2624" s="7" t="s">
        <v>3015</v>
      </c>
      <c r="E2624" s="6" t="s">
        <v>3016</v>
      </c>
      <c r="F2624" s="8" t="e">
        <f>VLOOKUP($D2624,설문!$C$2:$G$444,3,FALSE)</f>
        <v>#N/A</v>
      </c>
      <c r="G2624" s="8" t="e">
        <f>VLOOKUP($D2624,설문!$C$2:$G$444,4,FALSE)</f>
        <v>#N/A</v>
      </c>
      <c r="H2624" s="8" t="e">
        <f>VLOOKUP($D2624,설문!$C$2:$G$444,5,FALSE)</f>
        <v>#N/A</v>
      </c>
    </row>
    <row r="2625" spans="1:8">
      <c r="A2625" s="6" t="s">
        <v>4605</v>
      </c>
      <c r="B2625" s="7" t="s">
        <v>4606</v>
      </c>
      <c r="C2625" s="7" t="s">
        <v>9</v>
      </c>
      <c r="D2625" s="7" t="s">
        <v>4607</v>
      </c>
      <c r="E2625" s="6" t="s">
        <v>4608</v>
      </c>
      <c r="F2625" s="8" t="e">
        <f>VLOOKUP($D2625,설문!$C$2:$G$444,3,FALSE)</f>
        <v>#N/A</v>
      </c>
      <c r="G2625" s="8" t="e">
        <f>VLOOKUP($D2625,설문!$C$2:$G$444,4,FALSE)</f>
        <v>#N/A</v>
      </c>
      <c r="H2625" s="8" t="e">
        <f>VLOOKUP($D2625,설문!$C$2:$G$444,5,FALSE)</f>
        <v>#N/A</v>
      </c>
    </row>
    <row r="2626" spans="1:8">
      <c r="A2626" s="6" t="s">
        <v>4605</v>
      </c>
      <c r="B2626" s="7" t="s">
        <v>4606</v>
      </c>
      <c r="C2626" s="7" t="s">
        <v>9</v>
      </c>
      <c r="D2626" s="7" t="s">
        <v>4609</v>
      </c>
      <c r="E2626" s="6" t="s">
        <v>4608</v>
      </c>
      <c r="F2626" s="8" t="e">
        <f>VLOOKUP($D2626,설문!$C$2:$G$444,3,FALSE)</f>
        <v>#N/A</v>
      </c>
      <c r="G2626" s="8" t="e">
        <f>VLOOKUP($D2626,설문!$C$2:$G$444,4,FALSE)</f>
        <v>#N/A</v>
      </c>
      <c r="H2626" s="8" t="e">
        <f>VLOOKUP($D2626,설문!$C$2:$G$444,5,FALSE)</f>
        <v>#N/A</v>
      </c>
    </row>
    <row r="2627" spans="1:8">
      <c r="A2627" s="6" t="s">
        <v>4605</v>
      </c>
      <c r="B2627" s="7" t="s">
        <v>4610</v>
      </c>
      <c r="C2627" s="7" t="s">
        <v>4611</v>
      </c>
      <c r="D2627" s="7" t="s">
        <v>4612</v>
      </c>
      <c r="E2627" s="6" t="s">
        <v>4613</v>
      </c>
      <c r="F2627" s="8" t="e">
        <f>VLOOKUP($D2627,설문!$C$2:$G$444,3,FALSE)</f>
        <v>#N/A</v>
      </c>
      <c r="G2627" s="8" t="e">
        <f>VLOOKUP($D2627,설문!$C$2:$G$444,4,FALSE)</f>
        <v>#N/A</v>
      </c>
      <c r="H2627" s="8" t="e">
        <f>VLOOKUP($D2627,설문!$C$2:$G$444,5,FALSE)</f>
        <v>#N/A</v>
      </c>
    </row>
    <row r="2628" spans="1:8">
      <c r="A2628" s="6" t="s">
        <v>4605</v>
      </c>
      <c r="B2628" s="7" t="s">
        <v>4614</v>
      </c>
      <c r="C2628" s="7" t="s">
        <v>4615</v>
      </c>
      <c r="D2628" s="7" t="s">
        <v>4616</v>
      </c>
      <c r="E2628" s="6" t="s">
        <v>4617</v>
      </c>
      <c r="F2628" s="8" t="e">
        <f>VLOOKUP($D2628,설문!$C$2:$G$444,3,FALSE)</f>
        <v>#N/A</v>
      </c>
      <c r="G2628" s="8" t="e">
        <f>VLOOKUP($D2628,설문!$C$2:$G$444,4,FALSE)</f>
        <v>#N/A</v>
      </c>
      <c r="H2628" s="8" t="e">
        <f>VLOOKUP($D2628,설문!$C$2:$G$444,5,FALSE)</f>
        <v>#N/A</v>
      </c>
    </row>
    <row r="2629" spans="1:8">
      <c r="A2629" s="6" t="s">
        <v>4605</v>
      </c>
      <c r="B2629" s="7" t="s">
        <v>4618</v>
      </c>
      <c r="C2629" s="7" t="s">
        <v>4619</v>
      </c>
      <c r="D2629" s="7" t="s">
        <v>4620</v>
      </c>
      <c r="E2629" s="6" t="s">
        <v>4621</v>
      </c>
      <c r="F2629" s="8" t="e">
        <f>VLOOKUP($D2629,설문!$C$2:$G$444,3,FALSE)</f>
        <v>#N/A</v>
      </c>
      <c r="G2629" s="8" t="e">
        <f>VLOOKUP($D2629,설문!$C$2:$G$444,4,FALSE)</f>
        <v>#N/A</v>
      </c>
      <c r="H2629" s="8" t="e">
        <f>VLOOKUP($D2629,설문!$C$2:$G$444,5,FALSE)</f>
        <v>#N/A</v>
      </c>
    </row>
    <row r="2630" spans="1:8">
      <c r="A2630" s="6" t="s">
        <v>4605</v>
      </c>
      <c r="B2630" s="7" t="s">
        <v>4622</v>
      </c>
      <c r="C2630" s="7" t="s">
        <v>4623</v>
      </c>
      <c r="D2630" s="7" t="s">
        <v>4624</v>
      </c>
      <c r="E2630" s="6" t="s">
        <v>4625</v>
      </c>
      <c r="F2630" s="8" t="e">
        <f>VLOOKUP($D2630,설문!$C$2:$G$444,3,FALSE)</f>
        <v>#N/A</v>
      </c>
      <c r="G2630" s="8" t="e">
        <f>VLOOKUP($D2630,설문!$C$2:$G$444,4,FALSE)</f>
        <v>#N/A</v>
      </c>
      <c r="H2630" s="8" t="e">
        <f>VLOOKUP($D2630,설문!$C$2:$G$444,5,FALSE)</f>
        <v>#N/A</v>
      </c>
    </row>
    <row r="2631" spans="1:8">
      <c r="A2631" s="6" t="s">
        <v>4605</v>
      </c>
      <c r="B2631" s="7" t="s">
        <v>4622</v>
      </c>
      <c r="C2631" s="7" t="s">
        <v>4626</v>
      </c>
      <c r="D2631" s="7" t="s">
        <v>4627</v>
      </c>
      <c r="E2631" s="6" t="s">
        <v>4628</v>
      </c>
      <c r="F2631" s="8" t="e">
        <f>VLOOKUP($D2631,설문!$C$2:$G$444,3,FALSE)</f>
        <v>#N/A</v>
      </c>
      <c r="G2631" s="8" t="e">
        <f>VLOOKUP($D2631,설문!$C$2:$G$444,4,FALSE)</f>
        <v>#N/A</v>
      </c>
      <c r="H2631" s="8" t="e">
        <f>VLOOKUP($D2631,설문!$C$2:$G$444,5,FALSE)</f>
        <v>#N/A</v>
      </c>
    </row>
    <row r="2632" spans="1:8">
      <c r="A2632" s="6" t="s">
        <v>4605</v>
      </c>
      <c r="B2632" s="7" t="s">
        <v>4622</v>
      </c>
      <c r="C2632" s="7" t="s">
        <v>4629</v>
      </c>
      <c r="D2632" s="7" t="s">
        <v>4630</v>
      </c>
      <c r="E2632" s="6" t="s">
        <v>4631</v>
      </c>
      <c r="F2632" s="8" t="e">
        <f>VLOOKUP($D2632,설문!$C$2:$G$444,3,FALSE)</f>
        <v>#N/A</v>
      </c>
      <c r="G2632" s="8" t="e">
        <f>VLOOKUP($D2632,설문!$C$2:$G$444,4,FALSE)</f>
        <v>#N/A</v>
      </c>
      <c r="H2632" s="8" t="e">
        <f>VLOOKUP($D2632,설문!$C$2:$G$444,5,FALSE)</f>
        <v>#N/A</v>
      </c>
    </row>
    <row r="2633" spans="1:8">
      <c r="A2633" s="6" t="s">
        <v>4605</v>
      </c>
      <c r="B2633" s="7" t="s">
        <v>4622</v>
      </c>
      <c r="C2633" s="7" t="s">
        <v>4629</v>
      </c>
      <c r="D2633" s="7" t="s">
        <v>4632</v>
      </c>
      <c r="E2633" s="6" t="s">
        <v>4633</v>
      </c>
      <c r="F2633" s="8" t="e">
        <f>VLOOKUP($D2633,설문!$C$2:$G$444,3,FALSE)</f>
        <v>#N/A</v>
      </c>
      <c r="G2633" s="8" t="e">
        <f>VLOOKUP($D2633,설문!$C$2:$G$444,4,FALSE)</f>
        <v>#N/A</v>
      </c>
      <c r="H2633" s="8" t="e">
        <f>VLOOKUP($D2633,설문!$C$2:$G$444,5,FALSE)</f>
        <v>#N/A</v>
      </c>
    </row>
    <row r="2634" spans="1:8">
      <c r="A2634" s="6" t="s">
        <v>4605</v>
      </c>
      <c r="B2634" s="7" t="s">
        <v>4622</v>
      </c>
      <c r="C2634" s="7" t="s">
        <v>4629</v>
      </c>
      <c r="D2634" s="7" t="s">
        <v>4634</v>
      </c>
      <c r="E2634" s="6" t="s">
        <v>4635</v>
      </c>
      <c r="F2634" s="8" t="str">
        <f>VLOOKUP($D2634,설문!$C$2:$G$444,3,FALSE)</f>
        <v>펀드매니저,분석 및 전략</v>
      </c>
      <c r="G2634" s="8" t="str">
        <f>VLOOKUP($D2634,설문!$C$2:$G$444,4,FALSE)</f>
        <v>금융 유관기관</v>
      </c>
      <c r="H2634" s="8" t="str">
        <f>VLOOKUP($D2634,설문!$C$2:$G$444,5,FALSE)</f>
        <v>국고채/통안채,회사채,국채선물</v>
      </c>
    </row>
    <row r="2635" spans="1:8">
      <c r="A2635" s="6" t="s">
        <v>4605</v>
      </c>
      <c r="B2635" s="7" t="s">
        <v>4636</v>
      </c>
      <c r="C2635" s="7" t="s">
        <v>4637</v>
      </c>
      <c r="D2635" s="7" t="s">
        <v>4638</v>
      </c>
      <c r="E2635" s="6" t="s">
        <v>4639</v>
      </c>
      <c r="F2635" s="8" t="e">
        <f>VLOOKUP($D2635,설문!$C$2:$G$444,3,FALSE)</f>
        <v>#N/A</v>
      </c>
      <c r="G2635" s="8" t="e">
        <f>VLOOKUP($D2635,설문!$C$2:$G$444,4,FALSE)</f>
        <v>#N/A</v>
      </c>
      <c r="H2635" s="8" t="e">
        <f>VLOOKUP($D2635,설문!$C$2:$G$444,5,FALSE)</f>
        <v>#N/A</v>
      </c>
    </row>
    <row r="2636" spans="1:8">
      <c r="A2636" s="6" t="s">
        <v>4605</v>
      </c>
      <c r="B2636" s="7" t="s">
        <v>4636</v>
      </c>
      <c r="C2636" s="7" t="s">
        <v>4640</v>
      </c>
      <c r="D2636" s="7" t="s">
        <v>4641</v>
      </c>
      <c r="E2636" s="6" t="s">
        <v>4642</v>
      </c>
      <c r="F2636" s="8" t="e">
        <f>VLOOKUP($D2636,설문!$C$2:$G$444,3,FALSE)</f>
        <v>#N/A</v>
      </c>
      <c r="G2636" s="8" t="e">
        <f>VLOOKUP($D2636,설문!$C$2:$G$444,4,FALSE)</f>
        <v>#N/A</v>
      </c>
      <c r="H2636" s="8" t="e">
        <f>VLOOKUP($D2636,설문!$C$2:$G$444,5,FALSE)</f>
        <v>#N/A</v>
      </c>
    </row>
    <row r="2637" spans="1:8">
      <c r="A2637" s="6" t="s">
        <v>4605</v>
      </c>
      <c r="B2637" s="7" t="s">
        <v>4636</v>
      </c>
      <c r="C2637" s="7" t="s">
        <v>4643</v>
      </c>
      <c r="D2637" s="7" t="s">
        <v>4644</v>
      </c>
      <c r="E2637" s="6" t="s">
        <v>749</v>
      </c>
      <c r="F2637" s="8" t="e">
        <f>VLOOKUP($D2637,설문!$C$2:$G$444,3,FALSE)</f>
        <v>#N/A</v>
      </c>
      <c r="G2637" s="8" t="e">
        <f>VLOOKUP($D2637,설문!$C$2:$G$444,4,FALSE)</f>
        <v>#N/A</v>
      </c>
      <c r="H2637" s="8" t="e">
        <f>VLOOKUP($D2637,설문!$C$2:$G$444,5,FALSE)</f>
        <v>#N/A</v>
      </c>
    </row>
    <row r="2638" spans="1:8">
      <c r="A2638" s="6" t="s">
        <v>4605</v>
      </c>
      <c r="B2638" s="7" t="s">
        <v>1319</v>
      </c>
      <c r="C2638" s="7" t="s">
        <v>4645</v>
      </c>
      <c r="D2638" s="7" t="s">
        <v>4646</v>
      </c>
      <c r="E2638" s="6" t="s">
        <v>4647</v>
      </c>
      <c r="F2638" s="8" t="e">
        <f>VLOOKUP($D2638,설문!$C$2:$G$444,3,FALSE)</f>
        <v>#N/A</v>
      </c>
      <c r="G2638" s="8" t="e">
        <f>VLOOKUP($D2638,설문!$C$2:$G$444,4,FALSE)</f>
        <v>#N/A</v>
      </c>
      <c r="H2638" s="8" t="e">
        <f>VLOOKUP($D2638,설문!$C$2:$G$444,5,FALSE)</f>
        <v>#N/A</v>
      </c>
    </row>
    <row r="2639" spans="1:8">
      <c r="A2639" s="6" t="s">
        <v>4605</v>
      </c>
      <c r="B2639" s="7" t="s">
        <v>1319</v>
      </c>
      <c r="C2639" s="7" t="s">
        <v>4648</v>
      </c>
      <c r="D2639" s="7" t="s">
        <v>4649</v>
      </c>
      <c r="E2639" s="6" t="s">
        <v>4650</v>
      </c>
      <c r="F2639" s="8" t="str">
        <f>VLOOKUP($D2639,설문!$C$2:$G$444,3,FALSE)</f>
        <v>딜러</v>
      </c>
      <c r="G2639" s="8" t="str">
        <f>VLOOKUP($D2639,설문!$C$2:$G$444,4,FALSE)</f>
        <v>금융회사,금융 유관기관</v>
      </c>
      <c r="H2639" s="8" t="str">
        <f>VLOOKUP($D2639,설문!$C$2:$G$444,5,FALSE)</f>
        <v>국고채/통안채,RP,단기자금</v>
      </c>
    </row>
    <row r="2640" spans="1:8">
      <c r="A2640" s="6" t="s">
        <v>4605</v>
      </c>
      <c r="B2640" s="7" t="s">
        <v>4651</v>
      </c>
      <c r="C2640" s="7" t="s">
        <v>4652</v>
      </c>
      <c r="D2640" s="7" t="s">
        <v>4653</v>
      </c>
      <c r="E2640" s="6" t="s">
        <v>4654</v>
      </c>
      <c r="F2640" s="8" t="e">
        <f>VLOOKUP($D2640,설문!$C$2:$G$444,3,FALSE)</f>
        <v>#N/A</v>
      </c>
      <c r="G2640" s="8" t="e">
        <f>VLOOKUP($D2640,설문!$C$2:$G$444,4,FALSE)</f>
        <v>#N/A</v>
      </c>
      <c r="H2640" s="8" t="e">
        <f>VLOOKUP($D2640,설문!$C$2:$G$444,5,FALSE)</f>
        <v>#N/A</v>
      </c>
    </row>
    <row r="2641" spans="1:8">
      <c r="A2641" s="6" t="s">
        <v>4605</v>
      </c>
      <c r="B2641" s="7" t="s">
        <v>4655</v>
      </c>
      <c r="C2641" s="7" t="s">
        <v>4656</v>
      </c>
      <c r="D2641" s="7" t="s">
        <v>4657</v>
      </c>
      <c r="E2641" s="6" t="s">
        <v>3006</v>
      </c>
      <c r="F2641" s="8" t="e">
        <f>VLOOKUP($D2641,설문!$C$2:$G$444,3,FALSE)</f>
        <v>#N/A</v>
      </c>
      <c r="G2641" s="8" t="e">
        <f>VLOOKUP($D2641,설문!$C$2:$G$444,4,FALSE)</f>
        <v>#N/A</v>
      </c>
      <c r="H2641" s="8" t="e">
        <f>VLOOKUP($D2641,설문!$C$2:$G$444,5,FALSE)</f>
        <v>#N/A</v>
      </c>
    </row>
    <row r="2642" spans="1:8">
      <c r="A2642" s="6" t="s">
        <v>4605</v>
      </c>
      <c r="B2642" s="7" t="s">
        <v>4658</v>
      </c>
      <c r="C2642" s="7" t="s">
        <v>935</v>
      </c>
      <c r="D2642" s="7" t="s">
        <v>4659</v>
      </c>
      <c r="E2642" s="6" t="s">
        <v>4660</v>
      </c>
      <c r="F2642" s="8" t="e">
        <f>VLOOKUP($D2642,설문!$C$2:$G$444,3,FALSE)</f>
        <v>#N/A</v>
      </c>
      <c r="G2642" s="8" t="e">
        <f>VLOOKUP($D2642,설문!$C$2:$G$444,4,FALSE)</f>
        <v>#N/A</v>
      </c>
      <c r="H2642" s="8" t="e">
        <f>VLOOKUP($D2642,설문!$C$2:$G$444,5,FALSE)</f>
        <v>#N/A</v>
      </c>
    </row>
    <row r="2643" spans="1:8">
      <c r="A2643" s="6" t="s">
        <v>4605</v>
      </c>
      <c r="B2643" s="7" t="s">
        <v>606</v>
      </c>
      <c r="C2643" s="7" t="s">
        <v>4661</v>
      </c>
      <c r="D2643" s="7" t="s">
        <v>4662</v>
      </c>
      <c r="E2643" s="6" t="s">
        <v>4663</v>
      </c>
      <c r="F2643" s="8" t="e">
        <f>VLOOKUP($D2643,설문!$C$2:$G$444,3,FALSE)</f>
        <v>#N/A</v>
      </c>
      <c r="G2643" s="8" t="e">
        <f>VLOOKUP($D2643,설문!$C$2:$G$444,4,FALSE)</f>
        <v>#N/A</v>
      </c>
      <c r="H2643" s="8" t="e">
        <f>VLOOKUP($D2643,설문!$C$2:$G$444,5,FALSE)</f>
        <v>#N/A</v>
      </c>
    </row>
    <row r="2644" spans="1:8">
      <c r="A2644" s="6" t="s">
        <v>4605</v>
      </c>
      <c r="B2644" s="7" t="s">
        <v>606</v>
      </c>
      <c r="C2644" s="7" t="s">
        <v>4664</v>
      </c>
      <c r="D2644" s="7" t="s">
        <v>4665</v>
      </c>
      <c r="E2644" s="6" t="s">
        <v>4666</v>
      </c>
      <c r="F2644" s="8" t="e">
        <f>VLOOKUP($D2644,설문!$C$2:$G$444,3,FALSE)</f>
        <v>#N/A</v>
      </c>
      <c r="G2644" s="8" t="e">
        <f>VLOOKUP($D2644,설문!$C$2:$G$444,4,FALSE)</f>
        <v>#N/A</v>
      </c>
      <c r="H2644" s="8" t="e">
        <f>VLOOKUP($D2644,설문!$C$2:$G$444,5,FALSE)</f>
        <v>#N/A</v>
      </c>
    </row>
    <row r="2645" spans="1:8">
      <c r="A2645" s="6" t="s">
        <v>4605</v>
      </c>
      <c r="B2645" s="7" t="s">
        <v>606</v>
      </c>
      <c r="C2645" s="7" t="s">
        <v>4661</v>
      </c>
      <c r="D2645" s="7" t="s">
        <v>4667</v>
      </c>
      <c r="E2645" s="6" t="s">
        <v>4668</v>
      </c>
      <c r="F2645" s="8" t="e">
        <f>VLOOKUP($D2645,설문!$C$2:$G$444,3,FALSE)</f>
        <v>#N/A</v>
      </c>
      <c r="G2645" s="8" t="e">
        <f>VLOOKUP($D2645,설문!$C$2:$G$444,4,FALSE)</f>
        <v>#N/A</v>
      </c>
      <c r="H2645" s="8" t="e">
        <f>VLOOKUP($D2645,설문!$C$2:$G$444,5,FALSE)</f>
        <v>#N/A</v>
      </c>
    </row>
    <row r="2646" spans="1:8">
      <c r="A2646" s="6" t="s">
        <v>4605</v>
      </c>
      <c r="B2646" s="7" t="s">
        <v>935</v>
      </c>
      <c r="C2646" s="7" t="s">
        <v>935</v>
      </c>
      <c r="D2646" s="7" t="s">
        <v>4669</v>
      </c>
      <c r="E2646" s="6" t="s">
        <v>4670</v>
      </c>
      <c r="F2646" s="8" t="e">
        <f>VLOOKUP($D2646,설문!$C$2:$G$444,3,FALSE)</f>
        <v>#N/A</v>
      </c>
      <c r="G2646" s="8" t="e">
        <f>VLOOKUP($D2646,설문!$C$2:$G$444,4,FALSE)</f>
        <v>#N/A</v>
      </c>
      <c r="H2646" s="8" t="e">
        <f>VLOOKUP($D2646,설문!$C$2:$G$444,5,FALSE)</f>
        <v>#N/A</v>
      </c>
    </row>
    <row r="2647" spans="1:8">
      <c r="A2647" s="6" t="s">
        <v>4605</v>
      </c>
      <c r="B2647" s="7" t="s">
        <v>4671</v>
      </c>
      <c r="C2647" s="7" t="s">
        <v>4672</v>
      </c>
      <c r="D2647" s="7" t="s">
        <v>4673</v>
      </c>
      <c r="E2647" s="6" t="s">
        <v>3733</v>
      </c>
      <c r="F2647" s="8" t="e">
        <f>VLOOKUP($D2647,설문!$C$2:$G$444,3,FALSE)</f>
        <v>#N/A</v>
      </c>
      <c r="G2647" s="8" t="e">
        <f>VLOOKUP($D2647,설문!$C$2:$G$444,4,FALSE)</f>
        <v>#N/A</v>
      </c>
      <c r="H2647" s="8" t="e">
        <f>VLOOKUP($D2647,설문!$C$2:$G$444,5,FALSE)</f>
        <v>#N/A</v>
      </c>
    </row>
    <row r="2648" spans="1:8">
      <c r="A2648" s="6" t="s">
        <v>4605</v>
      </c>
      <c r="B2648" s="7" t="s">
        <v>1383</v>
      </c>
      <c r="C2648" s="7" t="s">
        <v>4674</v>
      </c>
      <c r="D2648" s="7" t="s">
        <v>4675</v>
      </c>
      <c r="E2648" s="6" t="s">
        <v>4676</v>
      </c>
      <c r="F2648" s="8" t="e">
        <f>VLOOKUP($D2648,설문!$C$2:$G$444,3,FALSE)</f>
        <v>#N/A</v>
      </c>
      <c r="G2648" s="8" t="e">
        <f>VLOOKUP($D2648,설문!$C$2:$G$444,4,FALSE)</f>
        <v>#N/A</v>
      </c>
      <c r="H2648" s="8" t="e">
        <f>VLOOKUP($D2648,설문!$C$2:$G$444,5,FALSE)</f>
        <v>#N/A</v>
      </c>
    </row>
    <row r="2649" spans="1:8">
      <c r="A2649" s="6" t="s">
        <v>4605</v>
      </c>
      <c r="B2649" s="7" t="s">
        <v>4677</v>
      </c>
      <c r="C2649" s="7" t="s">
        <v>4678</v>
      </c>
      <c r="D2649" s="7" t="s">
        <v>4679</v>
      </c>
      <c r="E2649" s="6" t="s">
        <v>3409</v>
      </c>
      <c r="F2649" s="8" t="str">
        <f>VLOOKUP($D2649,설문!$C$2:$G$444,3,FALSE)</f>
        <v>트레이더</v>
      </c>
      <c r="G2649" s="8" t="str">
        <f>VLOOKUP($D2649,설문!$C$2:$G$444,4,FALSE)</f>
        <v>금융회사</v>
      </c>
      <c r="H2649" s="8" t="str">
        <f>VLOOKUP($D2649,설문!$C$2:$G$444,5,FALSE)</f>
        <v>국내주식/지수관련파생</v>
      </c>
    </row>
    <row r="2650" spans="1:8">
      <c r="A2650" s="6" t="s">
        <v>4605</v>
      </c>
      <c r="B2650" s="7" t="s">
        <v>4677</v>
      </c>
      <c r="C2650" s="7" t="s">
        <v>4680</v>
      </c>
      <c r="D2650" s="7" t="s">
        <v>4681</v>
      </c>
      <c r="E2650" s="6" t="s">
        <v>4682</v>
      </c>
      <c r="F2650" s="8" t="e">
        <f>VLOOKUP($D2650,설문!$C$2:$G$444,3,FALSE)</f>
        <v>#N/A</v>
      </c>
      <c r="G2650" s="8" t="e">
        <f>VLOOKUP($D2650,설문!$C$2:$G$444,4,FALSE)</f>
        <v>#N/A</v>
      </c>
      <c r="H2650" s="8" t="e">
        <f>VLOOKUP($D2650,설문!$C$2:$G$444,5,FALSE)</f>
        <v>#N/A</v>
      </c>
    </row>
    <row r="2651" spans="1:8">
      <c r="A2651" s="6" t="s">
        <v>4419</v>
      </c>
      <c r="B2651" s="7" t="s">
        <v>4363</v>
      </c>
      <c r="C2651" s="7" t="s">
        <v>4363</v>
      </c>
      <c r="D2651" s="7" t="s">
        <v>4420</v>
      </c>
      <c r="E2651" s="6" t="s">
        <v>4421</v>
      </c>
      <c r="F2651" s="8" t="e">
        <f>VLOOKUP($D2651,설문!$C$2:$G$444,3,FALSE)</f>
        <v>#N/A</v>
      </c>
      <c r="G2651" s="8" t="e">
        <f>VLOOKUP($D2651,설문!$C$2:$G$444,4,FALSE)</f>
        <v>#N/A</v>
      </c>
      <c r="H2651" s="8" t="e">
        <f>VLOOKUP($D2651,설문!$C$2:$G$444,5,FALSE)</f>
        <v>#N/A</v>
      </c>
    </row>
    <row r="2652" spans="1:8">
      <c r="A2652" s="6" t="s">
        <v>4419</v>
      </c>
      <c r="B2652" s="7" t="s">
        <v>4363</v>
      </c>
      <c r="C2652" s="7" t="s">
        <v>4363</v>
      </c>
      <c r="D2652" s="7" t="s">
        <v>4422</v>
      </c>
      <c r="E2652" s="6" t="s">
        <v>4423</v>
      </c>
      <c r="F2652" s="8" t="str">
        <f>VLOOKUP($D2652,설문!$C$2:$G$444,3,FALSE)</f>
        <v>트레이더</v>
      </c>
      <c r="G2652" s="8" t="str">
        <f>VLOOKUP($D2652,설문!$C$2:$G$444,4,FALSE)</f>
        <v>금융회사</v>
      </c>
      <c r="H2652" s="8" t="str">
        <f>VLOOKUP($D2652,설문!$C$2:$G$444,5,FALSE)</f>
        <v>국고채/통안채,국채선물,원화 이자율스왑,CRS &amp; FX Option</v>
      </c>
    </row>
    <row r="2653" spans="1:8">
      <c r="A2653" s="6" t="s">
        <v>4419</v>
      </c>
      <c r="B2653" s="7" t="s">
        <v>4424</v>
      </c>
      <c r="C2653" s="7" t="s">
        <v>4424</v>
      </c>
      <c r="D2653" s="7" t="s">
        <v>4425</v>
      </c>
      <c r="E2653" s="6" t="s">
        <v>3789</v>
      </c>
      <c r="F2653" s="8" t="str">
        <f>VLOOKUP($D2653,설문!$C$2:$G$444,3,FALSE)</f>
        <v>기타</v>
      </c>
      <c r="G2653" s="8" t="str">
        <f>VLOOKUP($D2653,설문!$C$2:$G$444,4,FALSE)</f>
        <v>기타</v>
      </c>
      <c r="H2653" s="8" t="str">
        <f>VLOOKUP($D2653,설문!$C$2:$G$444,5,FALSE)</f>
        <v>해외주식/지수</v>
      </c>
    </row>
    <row r="2654" spans="1:8">
      <c r="A2654" s="6" t="s">
        <v>4415</v>
      </c>
      <c r="B2654" s="7" t="s">
        <v>452</v>
      </c>
      <c r="C2654" s="7" t="s">
        <v>4416</v>
      </c>
      <c r="D2654" s="7" t="s">
        <v>4417</v>
      </c>
      <c r="E2654" s="6" t="s">
        <v>4418</v>
      </c>
      <c r="F2654" s="8" t="e">
        <f>VLOOKUP($D2654,설문!$C$2:$G$444,3,FALSE)</f>
        <v>#N/A</v>
      </c>
      <c r="G2654" s="8" t="e">
        <f>VLOOKUP($D2654,설문!$C$2:$G$444,4,FALSE)</f>
        <v>#N/A</v>
      </c>
      <c r="H2654" s="8" t="e">
        <f>VLOOKUP($D2654,설문!$C$2:$G$444,5,FALSE)</f>
        <v>#N/A</v>
      </c>
    </row>
    <row r="2655" spans="1:8">
      <c r="A2655" s="6" t="s">
        <v>2336</v>
      </c>
      <c r="B2655" s="7" t="s">
        <v>2337</v>
      </c>
      <c r="C2655" s="7" t="s">
        <v>2338</v>
      </c>
      <c r="D2655" s="7" t="s">
        <v>2339</v>
      </c>
      <c r="E2655" s="6" t="s">
        <v>2340</v>
      </c>
      <c r="F2655" s="8" t="e">
        <f>VLOOKUP($D2655,설문!$C$2:$G$444,3,FALSE)</f>
        <v>#N/A</v>
      </c>
      <c r="G2655" s="8" t="e">
        <f>VLOOKUP($D2655,설문!$C$2:$G$444,4,FALSE)</f>
        <v>#N/A</v>
      </c>
      <c r="H2655" s="8" t="e">
        <f>VLOOKUP($D2655,설문!$C$2:$G$444,5,FALSE)</f>
        <v>#N/A</v>
      </c>
    </row>
    <row r="2656" spans="1:8">
      <c r="A2656" s="6" t="s">
        <v>4400</v>
      </c>
      <c r="B2656" s="7" t="s">
        <v>4401</v>
      </c>
      <c r="C2656" s="7" t="s">
        <v>4402</v>
      </c>
      <c r="D2656" s="7" t="s">
        <v>4403</v>
      </c>
      <c r="E2656" s="6" t="s">
        <v>4404</v>
      </c>
      <c r="F2656" s="8" t="e">
        <f>VLOOKUP($D2656,설문!$C$2:$G$444,3,FALSE)</f>
        <v>#N/A</v>
      </c>
      <c r="G2656" s="8" t="e">
        <f>VLOOKUP($D2656,설문!$C$2:$G$444,4,FALSE)</f>
        <v>#N/A</v>
      </c>
      <c r="H2656" s="8" t="e">
        <f>VLOOKUP($D2656,설문!$C$2:$G$444,5,FALSE)</f>
        <v>#N/A</v>
      </c>
    </row>
    <row r="2657" spans="1:8">
      <c r="A2657" s="6" t="s">
        <v>4400</v>
      </c>
      <c r="B2657" s="7" t="s">
        <v>4405</v>
      </c>
      <c r="C2657" s="7" t="s">
        <v>4406</v>
      </c>
      <c r="D2657" s="7" t="s">
        <v>4407</v>
      </c>
      <c r="E2657" s="6" t="s">
        <v>913</v>
      </c>
      <c r="F2657" s="8" t="str">
        <f>VLOOKUP($D2657,설문!$C$2:$G$444,3,FALSE)</f>
        <v>리스크관리(미들)</v>
      </c>
      <c r="G2657" s="8" t="str">
        <f>VLOOKUP($D2657,설문!$C$2:$G$444,4,FALSE)</f>
        <v>금융회사</v>
      </c>
      <c r="H2657" s="8" t="str">
        <f>VLOOKUP($D2657,설문!$C$2:$G$444,5,FALSE)</f>
        <v>국내주식/지수,국고채/통안채,회사채,ELS/DLS</v>
      </c>
    </row>
    <row r="2658" spans="1:8">
      <c r="A2658" s="6" t="s">
        <v>4400</v>
      </c>
      <c r="B2658" s="7" t="s">
        <v>880</v>
      </c>
      <c r="C2658" s="7" t="s">
        <v>74</v>
      </c>
      <c r="D2658" s="7" t="s">
        <v>4408</v>
      </c>
      <c r="E2658" s="6" t="s">
        <v>4409</v>
      </c>
      <c r="F2658" s="8" t="e">
        <f>VLOOKUP($D2658,설문!$C$2:$G$444,3,FALSE)</f>
        <v>#N/A</v>
      </c>
      <c r="G2658" s="8" t="e">
        <f>VLOOKUP($D2658,설문!$C$2:$G$444,4,FALSE)</f>
        <v>#N/A</v>
      </c>
      <c r="H2658" s="8" t="e">
        <f>VLOOKUP($D2658,설문!$C$2:$G$444,5,FALSE)</f>
        <v>#N/A</v>
      </c>
    </row>
    <row r="2659" spans="1:8">
      <c r="A2659" s="6" t="s">
        <v>4400</v>
      </c>
      <c r="B2659" s="7" t="s">
        <v>880</v>
      </c>
      <c r="C2659" s="7" t="s">
        <v>74</v>
      </c>
      <c r="D2659" s="7" t="s">
        <v>4410</v>
      </c>
      <c r="E2659" s="6" t="s">
        <v>866</v>
      </c>
      <c r="F2659" s="8" t="e">
        <f>VLOOKUP($D2659,설문!$C$2:$G$444,3,FALSE)</f>
        <v>#N/A</v>
      </c>
      <c r="G2659" s="8" t="e">
        <f>VLOOKUP($D2659,설문!$C$2:$G$444,4,FALSE)</f>
        <v>#N/A</v>
      </c>
      <c r="H2659" s="8" t="e">
        <f>VLOOKUP($D2659,설문!$C$2:$G$444,5,FALSE)</f>
        <v>#N/A</v>
      </c>
    </row>
    <row r="2660" spans="1:8">
      <c r="A2660" s="6" t="s">
        <v>4400</v>
      </c>
      <c r="B2660" s="7" t="s">
        <v>880</v>
      </c>
      <c r="C2660" s="7" t="s">
        <v>74</v>
      </c>
      <c r="D2660" s="7" t="s">
        <v>4411</v>
      </c>
      <c r="E2660" s="6" t="s">
        <v>4412</v>
      </c>
      <c r="F2660" s="8" t="e">
        <f>VLOOKUP($D2660,설문!$C$2:$G$444,3,FALSE)</f>
        <v>#N/A</v>
      </c>
      <c r="G2660" s="8" t="e">
        <f>VLOOKUP($D2660,설문!$C$2:$G$444,4,FALSE)</f>
        <v>#N/A</v>
      </c>
      <c r="H2660" s="8" t="e">
        <f>VLOOKUP($D2660,설문!$C$2:$G$444,5,FALSE)</f>
        <v>#N/A</v>
      </c>
    </row>
    <row r="2661" spans="1:8">
      <c r="A2661" s="6" t="s">
        <v>4400</v>
      </c>
      <c r="B2661" s="7" t="s">
        <v>880</v>
      </c>
      <c r="C2661" s="7" t="s">
        <v>74</v>
      </c>
      <c r="D2661" s="7" t="s">
        <v>4413</v>
      </c>
      <c r="E2661" s="6" t="s">
        <v>4414</v>
      </c>
      <c r="F2661" s="8" t="str">
        <f>VLOOKUP($D2661,설문!$C$2:$G$444,3,FALSE)</f>
        <v>트레이더</v>
      </c>
      <c r="G2661" s="8" t="str">
        <f>VLOOKUP($D2661,설문!$C$2:$G$444,4,FALSE)</f>
        <v>기타</v>
      </c>
      <c r="H2661" s="8" t="str">
        <f>VLOOKUP($D2661,설문!$C$2:$G$444,5,FALSE)</f>
        <v>외화채권(KP제외)</v>
      </c>
    </row>
    <row r="2662" spans="1:8">
      <c r="A2662" s="6" t="s">
        <v>4532</v>
      </c>
      <c r="B2662" s="7" t="s">
        <v>3785</v>
      </c>
      <c r="C2662" s="7" t="s">
        <v>3785</v>
      </c>
      <c r="D2662" s="7" t="s">
        <v>4533</v>
      </c>
      <c r="E2662" s="6" t="s">
        <v>4534</v>
      </c>
      <c r="F2662" s="8" t="e">
        <f>VLOOKUP($D2662,설문!$C$2:$G$444,3,FALSE)</f>
        <v>#N/A</v>
      </c>
      <c r="G2662" s="8" t="e">
        <f>VLOOKUP($D2662,설문!$C$2:$G$444,4,FALSE)</f>
        <v>#N/A</v>
      </c>
      <c r="H2662" s="8" t="e">
        <f>VLOOKUP($D2662,설문!$C$2:$G$444,5,FALSE)</f>
        <v>#N/A</v>
      </c>
    </row>
    <row r="2663" spans="1:8">
      <c r="A2663" s="6" t="s">
        <v>4532</v>
      </c>
      <c r="B2663" s="7" t="s">
        <v>4535</v>
      </c>
      <c r="C2663" s="7" t="s">
        <v>4535</v>
      </c>
      <c r="D2663" s="7" t="s">
        <v>4536</v>
      </c>
      <c r="E2663" s="6" t="s">
        <v>4537</v>
      </c>
      <c r="F2663" s="8" t="e">
        <f>VLOOKUP($D2663,설문!$C$2:$G$444,3,FALSE)</f>
        <v>#N/A</v>
      </c>
      <c r="G2663" s="8" t="e">
        <f>VLOOKUP($D2663,설문!$C$2:$G$444,4,FALSE)</f>
        <v>#N/A</v>
      </c>
      <c r="H2663" s="8" t="e">
        <f>VLOOKUP($D2663,설문!$C$2:$G$444,5,FALSE)</f>
        <v>#N/A</v>
      </c>
    </row>
    <row r="2664" spans="1:8">
      <c r="A2664" s="6" t="s">
        <v>4532</v>
      </c>
      <c r="B2664" s="7" t="s">
        <v>4538</v>
      </c>
      <c r="C2664" s="7" t="s">
        <v>4538</v>
      </c>
      <c r="D2664" s="7" t="s">
        <v>4539</v>
      </c>
      <c r="E2664" s="6" t="s">
        <v>4540</v>
      </c>
      <c r="F2664" s="8" t="e">
        <f>VLOOKUP($D2664,설문!$C$2:$G$444,3,FALSE)</f>
        <v>#N/A</v>
      </c>
      <c r="G2664" s="8" t="e">
        <f>VLOOKUP($D2664,설문!$C$2:$G$444,4,FALSE)</f>
        <v>#N/A</v>
      </c>
      <c r="H2664" s="8" t="e">
        <f>VLOOKUP($D2664,설문!$C$2:$G$444,5,FALSE)</f>
        <v>#N/A</v>
      </c>
    </row>
    <row r="2665" spans="1:8">
      <c r="A2665" s="6" t="s">
        <v>4532</v>
      </c>
      <c r="B2665" s="7" t="s">
        <v>4541</v>
      </c>
      <c r="C2665" s="7" t="s">
        <v>4541</v>
      </c>
      <c r="D2665" s="7" t="s">
        <v>4542</v>
      </c>
      <c r="E2665" s="6" t="s">
        <v>4543</v>
      </c>
      <c r="F2665" s="8" t="e">
        <f>VLOOKUP($D2665,설문!$C$2:$G$444,3,FALSE)</f>
        <v>#N/A</v>
      </c>
      <c r="G2665" s="8" t="e">
        <f>VLOOKUP($D2665,설문!$C$2:$G$444,4,FALSE)</f>
        <v>#N/A</v>
      </c>
      <c r="H2665" s="8" t="e">
        <f>VLOOKUP($D2665,설문!$C$2:$G$444,5,FALSE)</f>
        <v>#N/A</v>
      </c>
    </row>
    <row r="2666" spans="1:8">
      <c r="A2666" s="6" t="s">
        <v>4532</v>
      </c>
      <c r="B2666" s="7" t="s">
        <v>4544</v>
      </c>
      <c r="C2666" s="7" t="s">
        <v>4544</v>
      </c>
      <c r="D2666" s="7" t="s">
        <v>4545</v>
      </c>
      <c r="E2666" s="6" t="s">
        <v>4546</v>
      </c>
      <c r="F2666" s="8" t="e">
        <f>VLOOKUP($D2666,설문!$C$2:$G$444,3,FALSE)</f>
        <v>#N/A</v>
      </c>
      <c r="G2666" s="8" t="e">
        <f>VLOOKUP($D2666,설문!$C$2:$G$444,4,FALSE)</f>
        <v>#N/A</v>
      </c>
      <c r="H2666" s="8" t="e">
        <f>VLOOKUP($D2666,설문!$C$2:$G$444,5,FALSE)</f>
        <v>#N/A</v>
      </c>
    </row>
    <row r="2667" spans="1:8">
      <c r="A2667" s="6" t="s">
        <v>4532</v>
      </c>
      <c r="B2667" s="7" t="s">
        <v>4547</v>
      </c>
      <c r="C2667" s="7" t="s">
        <v>4547</v>
      </c>
      <c r="D2667" s="7" t="s">
        <v>4548</v>
      </c>
      <c r="E2667" s="6" t="s">
        <v>2331</v>
      </c>
      <c r="F2667" s="8" t="e">
        <f>VLOOKUP($D2667,설문!$C$2:$G$444,3,FALSE)</f>
        <v>#N/A</v>
      </c>
      <c r="G2667" s="8" t="e">
        <f>VLOOKUP($D2667,설문!$C$2:$G$444,4,FALSE)</f>
        <v>#N/A</v>
      </c>
      <c r="H2667" s="8" t="e">
        <f>VLOOKUP($D2667,설문!$C$2:$G$444,5,FALSE)</f>
        <v>#N/A</v>
      </c>
    </row>
    <row r="2668" spans="1:8">
      <c r="A2668" s="6" t="s">
        <v>4532</v>
      </c>
      <c r="B2668" s="7" t="s">
        <v>4549</v>
      </c>
      <c r="C2668" s="7" t="s">
        <v>4549</v>
      </c>
      <c r="D2668" s="7" t="s">
        <v>4550</v>
      </c>
      <c r="E2668" s="6" t="s">
        <v>2331</v>
      </c>
      <c r="F2668" s="8" t="e">
        <f>VLOOKUP($D2668,설문!$C$2:$G$444,3,FALSE)</f>
        <v>#N/A</v>
      </c>
      <c r="G2668" s="8" t="e">
        <f>VLOOKUP($D2668,설문!$C$2:$G$444,4,FALSE)</f>
        <v>#N/A</v>
      </c>
      <c r="H2668" s="8" t="e">
        <f>VLOOKUP($D2668,설문!$C$2:$G$444,5,FALSE)</f>
        <v>#N/A</v>
      </c>
    </row>
    <row r="2669" spans="1:8">
      <c r="A2669" s="6" t="s">
        <v>4532</v>
      </c>
      <c r="B2669" s="7" t="s">
        <v>4551</v>
      </c>
      <c r="C2669" s="7" t="s">
        <v>4551</v>
      </c>
      <c r="D2669" s="7" t="s">
        <v>4552</v>
      </c>
      <c r="E2669" s="6" t="s">
        <v>2331</v>
      </c>
      <c r="F2669" s="8" t="e">
        <f>VLOOKUP($D2669,설문!$C$2:$G$444,3,FALSE)</f>
        <v>#N/A</v>
      </c>
      <c r="G2669" s="8" t="e">
        <f>VLOOKUP($D2669,설문!$C$2:$G$444,4,FALSE)</f>
        <v>#N/A</v>
      </c>
      <c r="H2669" s="8" t="e">
        <f>VLOOKUP($D2669,설문!$C$2:$G$444,5,FALSE)</f>
        <v>#N/A</v>
      </c>
    </row>
    <row r="2670" spans="1:8">
      <c r="A2670" s="6" t="s">
        <v>4532</v>
      </c>
      <c r="B2670" s="7" t="s">
        <v>4551</v>
      </c>
      <c r="C2670" s="7" t="s">
        <v>4551</v>
      </c>
      <c r="D2670" s="7" t="s">
        <v>4553</v>
      </c>
      <c r="E2670" s="6" t="s">
        <v>2331</v>
      </c>
      <c r="F2670" s="8" t="e">
        <f>VLOOKUP($D2670,설문!$C$2:$G$444,3,FALSE)</f>
        <v>#N/A</v>
      </c>
      <c r="G2670" s="8" t="e">
        <f>VLOOKUP($D2670,설문!$C$2:$G$444,4,FALSE)</f>
        <v>#N/A</v>
      </c>
      <c r="H2670" s="8" t="e">
        <f>VLOOKUP($D2670,설문!$C$2:$G$444,5,FALSE)</f>
        <v>#N/A</v>
      </c>
    </row>
    <row r="2671" spans="1:8">
      <c r="A2671" s="6" t="s">
        <v>1674</v>
      </c>
      <c r="B2671" s="7" t="s">
        <v>9</v>
      </c>
      <c r="C2671" s="7" t="s">
        <v>1675</v>
      </c>
      <c r="D2671" s="7" t="s">
        <v>1676</v>
      </c>
      <c r="E2671" s="6" t="s">
        <v>1677</v>
      </c>
      <c r="F2671" s="8" t="e">
        <f>VLOOKUP($D2671,설문!$C$2:$G$444,3,FALSE)</f>
        <v>#N/A</v>
      </c>
      <c r="G2671" s="8" t="e">
        <f>VLOOKUP($D2671,설문!$C$2:$G$444,4,FALSE)</f>
        <v>#N/A</v>
      </c>
      <c r="H2671" s="8" t="e">
        <f>VLOOKUP($D2671,설문!$C$2:$G$444,5,FALSE)</f>
        <v>#N/A</v>
      </c>
    </row>
    <row r="2672" spans="1:8">
      <c r="A2672" s="6" t="s">
        <v>1674</v>
      </c>
      <c r="B2672" s="7" t="s">
        <v>9</v>
      </c>
      <c r="C2672" s="7" t="s">
        <v>1675</v>
      </c>
      <c r="D2672" s="7" t="s">
        <v>1707</v>
      </c>
      <c r="E2672" s="6" t="s">
        <v>1708</v>
      </c>
      <c r="F2672" s="8" t="str">
        <f>VLOOKUP($D2672,설문!$C$2:$G$444,3,FALSE)</f>
        <v>백오피스</v>
      </c>
      <c r="G2672" s="8" t="str">
        <f>VLOOKUP($D2672,설문!$C$2:$G$444,4,FALSE)</f>
        <v>금융회사</v>
      </c>
      <c r="H2672" s="8" t="str">
        <f>VLOOKUP($D2672,설문!$C$2:$G$444,5,FALSE)</f>
        <v>국고채/통안채,회사채,외화채권(KP제외)</v>
      </c>
    </row>
    <row r="2673" spans="1:8">
      <c r="A2673" s="6" t="s">
        <v>1674</v>
      </c>
      <c r="B2673" s="7" t="s">
        <v>9</v>
      </c>
      <c r="C2673" s="7" t="s">
        <v>1675</v>
      </c>
      <c r="D2673" s="7" t="s">
        <v>1709</v>
      </c>
      <c r="E2673" s="6" t="s">
        <v>1710</v>
      </c>
      <c r="F2673" s="8" t="e">
        <f>VLOOKUP($D2673,설문!$C$2:$G$444,3,FALSE)</f>
        <v>#N/A</v>
      </c>
      <c r="G2673" s="8" t="e">
        <f>VLOOKUP($D2673,설문!$C$2:$G$444,4,FALSE)</f>
        <v>#N/A</v>
      </c>
      <c r="H2673" s="8" t="e">
        <f>VLOOKUP($D2673,설문!$C$2:$G$444,5,FALSE)</f>
        <v>#N/A</v>
      </c>
    </row>
    <row r="2674" spans="1:8">
      <c r="A2674" s="6" t="s">
        <v>1674</v>
      </c>
      <c r="B2674" s="7" t="s">
        <v>9</v>
      </c>
      <c r="C2674" s="7" t="s">
        <v>1675</v>
      </c>
      <c r="D2674" s="7" t="s">
        <v>1711</v>
      </c>
      <c r="E2674" s="6" t="s">
        <v>1712</v>
      </c>
      <c r="F2674" s="8" t="e">
        <f>VLOOKUP($D2674,설문!$C$2:$G$444,3,FALSE)</f>
        <v>#N/A</v>
      </c>
      <c r="G2674" s="8" t="e">
        <f>VLOOKUP($D2674,설문!$C$2:$G$444,4,FALSE)</f>
        <v>#N/A</v>
      </c>
      <c r="H2674" s="8" t="e">
        <f>VLOOKUP($D2674,설문!$C$2:$G$444,5,FALSE)</f>
        <v>#N/A</v>
      </c>
    </row>
    <row r="2675" spans="1:8">
      <c r="A2675" s="6" t="s">
        <v>1674</v>
      </c>
      <c r="B2675" s="7" t="s">
        <v>9</v>
      </c>
      <c r="C2675" s="7" t="s">
        <v>2244</v>
      </c>
      <c r="D2675" s="7" t="s">
        <v>2245</v>
      </c>
      <c r="E2675" s="6" t="s">
        <v>2246</v>
      </c>
      <c r="F2675" s="8" t="e">
        <f>VLOOKUP($D2675,설문!$C$2:$G$444,3,FALSE)</f>
        <v>#N/A</v>
      </c>
      <c r="G2675" s="8" t="e">
        <f>VLOOKUP($D2675,설문!$C$2:$G$444,4,FALSE)</f>
        <v>#N/A</v>
      </c>
      <c r="H2675" s="8" t="e">
        <f>VLOOKUP($D2675,설문!$C$2:$G$444,5,FALSE)</f>
        <v>#N/A</v>
      </c>
    </row>
    <row r="2676" spans="1:8">
      <c r="A2676" s="6" t="s">
        <v>1674</v>
      </c>
      <c r="B2676" s="7" t="s">
        <v>9</v>
      </c>
      <c r="C2676" s="7" t="s">
        <v>2244</v>
      </c>
      <c r="D2676" s="7" t="s">
        <v>2247</v>
      </c>
      <c r="E2676" s="6" t="s">
        <v>2248</v>
      </c>
      <c r="F2676" s="8" t="e">
        <f>VLOOKUP($D2676,설문!$C$2:$G$444,3,FALSE)</f>
        <v>#N/A</v>
      </c>
      <c r="G2676" s="8" t="e">
        <f>VLOOKUP($D2676,설문!$C$2:$G$444,4,FALSE)</f>
        <v>#N/A</v>
      </c>
      <c r="H2676" s="8" t="e">
        <f>VLOOKUP($D2676,설문!$C$2:$G$444,5,FALSE)</f>
        <v>#N/A</v>
      </c>
    </row>
    <row r="2677" spans="1:8">
      <c r="A2677" s="6" t="s">
        <v>1099</v>
      </c>
      <c r="B2677" s="7" t="s">
        <v>1100</v>
      </c>
      <c r="C2677" s="7" t="s">
        <v>9</v>
      </c>
      <c r="D2677" s="7" t="s">
        <v>1101</v>
      </c>
      <c r="E2677" s="6" t="s">
        <v>273</v>
      </c>
      <c r="F2677" s="8" t="e">
        <f>VLOOKUP($D2677,설문!$C$2:$G$444,3,FALSE)</f>
        <v>#N/A</v>
      </c>
      <c r="G2677" s="8" t="e">
        <f>VLOOKUP($D2677,설문!$C$2:$G$444,4,FALSE)</f>
        <v>#N/A</v>
      </c>
      <c r="H2677" s="8" t="e">
        <f>VLOOKUP($D2677,설문!$C$2:$G$444,5,FALSE)</f>
        <v>#N/A</v>
      </c>
    </row>
    <row r="2678" spans="1:8">
      <c r="A2678" s="6" t="s">
        <v>1099</v>
      </c>
      <c r="B2678" s="7" t="s">
        <v>1100</v>
      </c>
      <c r="C2678" s="7" t="s">
        <v>9</v>
      </c>
      <c r="D2678" s="7" t="s">
        <v>3749</v>
      </c>
      <c r="E2678" s="6" t="s">
        <v>3750</v>
      </c>
      <c r="F2678" s="8" t="e">
        <f>VLOOKUP($D2678,설문!$C$2:$G$444,3,FALSE)</f>
        <v>#N/A</v>
      </c>
      <c r="G2678" s="8" t="e">
        <f>VLOOKUP($D2678,설문!$C$2:$G$444,4,FALSE)</f>
        <v>#N/A</v>
      </c>
      <c r="H2678" s="8" t="e">
        <f>VLOOKUP($D2678,설문!$C$2:$G$444,5,FALSE)</f>
        <v>#N/A</v>
      </c>
    </row>
    <row r="2679" spans="1:8">
      <c r="A2679" s="6" t="s">
        <v>1099</v>
      </c>
      <c r="B2679" s="7" t="s">
        <v>1340</v>
      </c>
      <c r="C2679" s="7" t="s">
        <v>9</v>
      </c>
      <c r="D2679" s="7" t="s">
        <v>3751</v>
      </c>
      <c r="E2679" s="6" t="s">
        <v>273</v>
      </c>
      <c r="F2679" s="8" t="e">
        <f>VLOOKUP($D2679,설문!$C$2:$G$444,3,FALSE)</f>
        <v>#N/A</v>
      </c>
      <c r="G2679" s="8" t="e">
        <f>VLOOKUP($D2679,설문!$C$2:$G$444,4,FALSE)</f>
        <v>#N/A</v>
      </c>
      <c r="H2679" s="8" t="e">
        <f>VLOOKUP($D2679,설문!$C$2:$G$444,5,FALSE)</f>
        <v>#N/A</v>
      </c>
    </row>
    <row r="2680" spans="1:8">
      <c r="A2680" s="6" t="s">
        <v>1099</v>
      </c>
      <c r="B2680" s="7" t="s">
        <v>3752</v>
      </c>
      <c r="C2680" s="7" t="s">
        <v>3753</v>
      </c>
      <c r="D2680" s="7" t="s">
        <v>3754</v>
      </c>
      <c r="E2680" s="6" t="s">
        <v>3755</v>
      </c>
      <c r="F2680" s="8" t="e">
        <f>VLOOKUP($D2680,설문!$C$2:$G$444,3,FALSE)</f>
        <v>#N/A</v>
      </c>
      <c r="G2680" s="8" t="e">
        <f>VLOOKUP($D2680,설문!$C$2:$G$444,4,FALSE)</f>
        <v>#N/A</v>
      </c>
      <c r="H2680" s="8" t="e">
        <f>VLOOKUP($D2680,설문!$C$2:$G$444,5,FALSE)</f>
        <v>#N/A</v>
      </c>
    </row>
    <row r="2681" spans="1:8">
      <c r="A2681" s="6" t="s">
        <v>1099</v>
      </c>
      <c r="B2681" s="7" t="s">
        <v>1512</v>
      </c>
      <c r="C2681" s="7" t="s">
        <v>2765</v>
      </c>
      <c r="D2681" s="7" t="s">
        <v>3756</v>
      </c>
      <c r="E2681" s="6" t="s">
        <v>3757</v>
      </c>
      <c r="F2681" s="8" t="e">
        <f>VLOOKUP($D2681,설문!$C$2:$G$444,3,FALSE)</f>
        <v>#N/A</v>
      </c>
      <c r="G2681" s="8" t="e">
        <f>VLOOKUP($D2681,설문!$C$2:$G$444,4,FALSE)</f>
        <v>#N/A</v>
      </c>
      <c r="H2681" s="8" t="e">
        <f>VLOOKUP($D2681,설문!$C$2:$G$444,5,FALSE)</f>
        <v>#N/A</v>
      </c>
    </row>
    <row r="2682" spans="1:8">
      <c r="A2682" s="6" t="s">
        <v>1099</v>
      </c>
      <c r="B2682" s="7" t="s">
        <v>1512</v>
      </c>
      <c r="C2682" s="7" t="s">
        <v>2765</v>
      </c>
      <c r="D2682" s="7" t="s">
        <v>3758</v>
      </c>
      <c r="E2682" s="6" t="s">
        <v>3759</v>
      </c>
      <c r="F2682" s="8" t="e">
        <f>VLOOKUP($D2682,설문!$C$2:$G$444,3,FALSE)</f>
        <v>#N/A</v>
      </c>
      <c r="G2682" s="8" t="e">
        <f>VLOOKUP($D2682,설문!$C$2:$G$444,4,FALSE)</f>
        <v>#N/A</v>
      </c>
      <c r="H2682" s="8" t="e">
        <f>VLOOKUP($D2682,설문!$C$2:$G$444,5,FALSE)</f>
        <v>#N/A</v>
      </c>
    </row>
    <row r="2683" spans="1:8">
      <c r="A2683" s="6" t="s">
        <v>1099</v>
      </c>
      <c r="B2683" s="7" t="s">
        <v>1512</v>
      </c>
      <c r="C2683" s="7" t="s">
        <v>3753</v>
      </c>
      <c r="D2683" s="7" t="s">
        <v>3760</v>
      </c>
      <c r="E2683" s="6" t="s">
        <v>3761</v>
      </c>
      <c r="F2683" s="8" t="e">
        <f>VLOOKUP($D2683,설문!$C$2:$G$444,3,FALSE)</f>
        <v>#N/A</v>
      </c>
      <c r="G2683" s="8" t="e">
        <f>VLOOKUP($D2683,설문!$C$2:$G$444,4,FALSE)</f>
        <v>#N/A</v>
      </c>
      <c r="H2683" s="8" t="e">
        <f>VLOOKUP($D2683,설문!$C$2:$G$444,5,FALSE)</f>
        <v>#N/A</v>
      </c>
    </row>
    <row r="2684" spans="1:8">
      <c r="A2684" s="6" t="s">
        <v>1099</v>
      </c>
      <c r="B2684" s="7" t="s">
        <v>1512</v>
      </c>
      <c r="C2684" s="7" t="s">
        <v>264</v>
      </c>
      <c r="D2684" s="7" t="s">
        <v>3762</v>
      </c>
      <c r="E2684" s="6" t="s">
        <v>3763</v>
      </c>
      <c r="F2684" s="8" t="e">
        <f>VLOOKUP($D2684,설문!$C$2:$G$444,3,FALSE)</f>
        <v>#N/A</v>
      </c>
      <c r="G2684" s="8" t="e">
        <f>VLOOKUP($D2684,설문!$C$2:$G$444,4,FALSE)</f>
        <v>#N/A</v>
      </c>
      <c r="H2684" s="8" t="e">
        <f>VLOOKUP($D2684,설문!$C$2:$G$444,5,FALSE)</f>
        <v>#N/A</v>
      </c>
    </row>
    <row r="2685" spans="1:8">
      <c r="A2685" s="6" t="s">
        <v>1099</v>
      </c>
      <c r="B2685" s="7" t="s">
        <v>3764</v>
      </c>
      <c r="C2685" s="7" t="s">
        <v>620</v>
      </c>
      <c r="D2685" s="7" t="s">
        <v>3765</v>
      </c>
      <c r="E2685" s="6" t="s">
        <v>3766</v>
      </c>
      <c r="F2685" s="8" t="str">
        <f>VLOOKUP($D2685,설문!$C$2:$G$444,3,FALSE)</f>
        <v>트레이더</v>
      </c>
      <c r="G2685" s="8" t="str">
        <f>VLOOKUP($D2685,설문!$C$2:$G$444,4,FALSE)</f>
        <v>금융회사</v>
      </c>
      <c r="H2685" s="8" t="str">
        <f>VLOOKUP($D2685,설문!$C$2:$G$444,5,FALSE)</f>
        <v>국고채/통안채,국채선물,원화 이자율스왑</v>
      </c>
    </row>
    <row r="2686" spans="1:8">
      <c r="A2686" s="6" t="s">
        <v>1099</v>
      </c>
      <c r="B2686" s="7" t="s">
        <v>3764</v>
      </c>
      <c r="C2686" s="7" t="s">
        <v>3753</v>
      </c>
      <c r="D2686" s="7" t="s">
        <v>3767</v>
      </c>
      <c r="E2686" s="6" t="s">
        <v>3768</v>
      </c>
      <c r="F2686" s="8" t="str">
        <f>VLOOKUP($D2686,설문!$C$2:$G$444,3,FALSE)</f>
        <v>백오피스</v>
      </c>
      <c r="G2686" s="8" t="str">
        <f>VLOOKUP($D2686,설문!$C$2:$G$444,4,FALSE)</f>
        <v>기타</v>
      </c>
      <c r="H2686" s="8" t="str">
        <f>VLOOKUP($D2686,설문!$C$2:$G$444,5,FALSE)</f>
        <v>국내주식/지수,국내주식/지수관련파생</v>
      </c>
    </row>
    <row r="2687" spans="1:8">
      <c r="A2687" s="6" t="s">
        <v>1099</v>
      </c>
      <c r="B2687" s="7" t="s">
        <v>3764</v>
      </c>
      <c r="C2687" s="7" t="s">
        <v>2765</v>
      </c>
      <c r="D2687" s="7" t="s">
        <v>3769</v>
      </c>
      <c r="E2687" s="6" t="s">
        <v>3770</v>
      </c>
      <c r="F2687" s="8" t="e">
        <f>VLOOKUP($D2687,설문!$C$2:$G$444,3,FALSE)</f>
        <v>#N/A</v>
      </c>
      <c r="G2687" s="8" t="e">
        <f>VLOOKUP($D2687,설문!$C$2:$G$444,4,FALSE)</f>
        <v>#N/A</v>
      </c>
      <c r="H2687" s="8" t="e">
        <f>VLOOKUP($D2687,설문!$C$2:$G$444,5,FALSE)</f>
        <v>#N/A</v>
      </c>
    </row>
    <row r="2688" spans="1:8">
      <c r="A2688" s="6" t="s">
        <v>1099</v>
      </c>
      <c r="B2688" s="7" t="s">
        <v>3764</v>
      </c>
      <c r="C2688" s="7" t="s">
        <v>264</v>
      </c>
      <c r="D2688" s="7" t="s">
        <v>3771</v>
      </c>
      <c r="E2688" s="6" t="s">
        <v>3766</v>
      </c>
      <c r="F2688" s="8" t="e">
        <f>VLOOKUP($D2688,설문!$C$2:$G$444,3,FALSE)</f>
        <v>#N/A</v>
      </c>
      <c r="G2688" s="8" t="e">
        <f>VLOOKUP($D2688,설문!$C$2:$G$444,4,FALSE)</f>
        <v>#N/A</v>
      </c>
      <c r="H2688" s="8" t="e">
        <f>VLOOKUP($D2688,설문!$C$2:$G$444,5,FALSE)</f>
        <v>#N/A</v>
      </c>
    </row>
    <row r="2689" spans="1:8">
      <c r="A2689" s="6" t="s">
        <v>1099</v>
      </c>
      <c r="B2689" s="7" t="s">
        <v>3764</v>
      </c>
      <c r="C2689" s="7" t="s">
        <v>264</v>
      </c>
      <c r="D2689" s="7" t="s">
        <v>3772</v>
      </c>
      <c r="E2689" s="6" t="s">
        <v>3773</v>
      </c>
      <c r="F2689" s="8" t="str">
        <f>VLOOKUP($D2689,설문!$C$2:$G$444,3,FALSE)</f>
        <v>펀드매니저</v>
      </c>
      <c r="G2689" s="8" t="str">
        <f>VLOOKUP($D2689,설문!$C$2:$G$444,4,FALSE)</f>
        <v>금융회사,금융 유관기관</v>
      </c>
      <c r="H2689" s="8" t="str">
        <f>VLOOKUP($D2689,설문!$C$2:$G$444,5,FALSE)</f>
        <v>국고채/통안채,회사채</v>
      </c>
    </row>
    <row r="2690" spans="1:8">
      <c r="A2690" s="6" t="s">
        <v>1099</v>
      </c>
      <c r="B2690" s="7" t="s">
        <v>3764</v>
      </c>
      <c r="C2690" s="7" t="s">
        <v>264</v>
      </c>
      <c r="D2690" s="7" t="s">
        <v>3774</v>
      </c>
      <c r="E2690" s="6" t="s">
        <v>3775</v>
      </c>
      <c r="F2690" s="8" t="e">
        <f>VLOOKUP($D2690,설문!$C$2:$G$444,3,FALSE)</f>
        <v>#N/A</v>
      </c>
      <c r="G2690" s="8" t="e">
        <f>VLOOKUP($D2690,설문!$C$2:$G$444,4,FALSE)</f>
        <v>#N/A</v>
      </c>
      <c r="H2690" s="8" t="e">
        <f>VLOOKUP($D2690,설문!$C$2:$G$444,5,FALSE)</f>
        <v>#N/A</v>
      </c>
    </row>
    <row r="2691" spans="1:8">
      <c r="A2691" s="6" t="s">
        <v>1099</v>
      </c>
      <c r="B2691" s="7" t="s">
        <v>3776</v>
      </c>
      <c r="C2691" s="7" t="s">
        <v>3777</v>
      </c>
      <c r="D2691" s="7" t="s">
        <v>3778</v>
      </c>
      <c r="E2691" s="6" t="s">
        <v>3779</v>
      </c>
      <c r="F2691" s="8" t="e">
        <f>VLOOKUP($D2691,설문!$C$2:$G$444,3,FALSE)</f>
        <v>#N/A</v>
      </c>
      <c r="G2691" s="8" t="e">
        <f>VLOOKUP($D2691,설문!$C$2:$G$444,4,FALSE)</f>
        <v>#N/A</v>
      </c>
      <c r="H2691" s="8" t="e">
        <f>VLOOKUP($D2691,설문!$C$2:$G$444,5,FALSE)</f>
        <v>#N/A</v>
      </c>
    </row>
    <row r="2692" spans="1:8">
      <c r="A2692" s="6" t="s">
        <v>1099</v>
      </c>
      <c r="B2692" s="7" t="s">
        <v>3780</v>
      </c>
      <c r="C2692" s="7" t="s">
        <v>3781</v>
      </c>
      <c r="D2692" s="7" t="s">
        <v>3782</v>
      </c>
      <c r="E2692" s="6" t="s">
        <v>3783</v>
      </c>
      <c r="F2692" s="8" t="e">
        <f>VLOOKUP($D2692,설문!$C$2:$G$444,3,FALSE)</f>
        <v>#N/A</v>
      </c>
      <c r="G2692" s="8" t="e">
        <f>VLOOKUP($D2692,설문!$C$2:$G$444,4,FALSE)</f>
        <v>#N/A</v>
      </c>
      <c r="H2692" s="8" t="e">
        <f>VLOOKUP($D2692,설문!$C$2:$G$444,5,FALSE)</f>
        <v>#N/A</v>
      </c>
    </row>
    <row r="2693" spans="1:8">
      <c r="A2693" s="6" t="s">
        <v>1563</v>
      </c>
      <c r="B2693" s="7" t="s">
        <v>134</v>
      </c>
      <c r="C2693" s="7" t="s">
        <v>134</v>
      </c>
      <c r="D2693" s="7" t="s">
        <v>1564</v>
      </c>
      <c r="E2693" s="6" t="s">
        <v>1565</v>
      </c>
      <c r="F2693" s="8" t="str">
        <f>VLOOKUP($D2693,설문!$C$2:$G$444,3,FALSE)</f>
        <v>펀드매니저</v>
      </c>
      <c r="G2693" s="8" t="str">
        <f>VLOOKUP($D2693,설문!$C$2:$G$444,4,FALSE)</f>
        <v>금융회사,금융 유관기관,일반기업고객,개인고객,기타</v>
      </c>
      <c r="H2693" s="8" t="str">
        <f>VLOOKUP($D2693,설문!$C$2:$G$444,5,FALSE)</f>
        <v>국고채/통안채,회사채,RP,Korean Paper,원화 구조화채권,외화 구조화채권,원화 이자율스왑,외화 이자율스왑</v>
      </c>
    </row>
    <row r="2694" spans="1:8">
      <c r="A2694" s="6" t="s">
        <v>1563</v>
      </c>
      <c r="B2694" s="7" t="s">
        <v>9</v>
      </c>
      <c r="C2694" s="7" t="s">
        <v>9</v>
      </c>
      <c r="D2694" s="7" t="s">
        <v>1983</v>
      </c>
      <c r="E2694" s="6" t="s">
        <v>1984</v>
      </c>
      <c r="F2694" s="8" t="e">
        <f>VLOOKUP($D2694,설문!$C$2:$G$444,3,FALSE)</f>
        <v>#N/A</v>
      </c>
      <c r="G2694" s="8" t="e">
        <f>VLOOKUP($D2694,설문!$C$2:$G$444,4,FALSE)</f>
        <v>#N/A</v>
      </c>
      <c r="H2694" s="8" t="e">
        <f>VLOOKUP($D2694,설문!$C$2:$G$444,5,FALSE)</f>
        <v>#N/A</v>
      </c>
    </row>
    <row r="2695" spans="1:8">
      <c r="A2695" s="6" t="s">
        <v>1563</v>
      </c>
      <c r="B2695" s="7" t="s">
        <v>134</v>
      </c>
      <c r="C2695" s="7" t="s">
        <v>134</v>
      </c>
      <c r="D2695" s="7" t="s">
        <v>1985</v>
      </c>
      <c r="E2695" s="6" t="s">
        <v>1986</v>
      </c>
      <c r="F2695" s="8" t="e">
        <f>VLOOKUP($D2695,설문!$C$2:$G$444,3,FALSE)</f>
        <v>#N/A</v>
      </c>
      <c r="G2695" s="8" t="e">
        <f>VLOOKUP($D2695,설문!$C$2:$G$444,4,FALSE)</f>
        <v>#N/A</v>
      </c>
      <c r="H2695" s="8" t="e">
        <f>VLOOKUP($D2695,설문!$C$2:$G$444,5,FALSE)</f>
        <v>#N/A</v>
      </c>
    </row>
    <row r="2696" spans="1:8">
      <c r="A2696" s="6" t="s">
        <v>1563</v>
      </c>
      <c r="B2696" s="7" t="s">
        <v>134</v>
      </c>
      <c r="C2696" s="7" t="s">
        <v>134</v>
      </c>
      <c r="D2696" s="7" t="s">
        <v>1987</v>
      </c>
      <c r="E2696" s="6" t="s">
        <v>1988</v>
      </c>
      <c r="F2696" s="8" t="e">
        <f>VLOOKUP($D2696,설문!$C$2:$G$444,3,FALSE)</f>
        <v>#N/A</v>
      </c>
      <c r="G2696" s="8" t="e">
        <f>VLOOKUP($D2696,설문!$C$2:$G$444,4,FALSE)</f>
        <v>#N/A</v>
      </c>
      <c r="H2696" s="8" t="e">
        <f>VLOOKUP($D2696,설문!$C$2:$G$444,5,FALSE)</f>
        <v>#N/A</v>
      </c>
    </row>
    <row r="2697" spans="1:8">
      <c r="A2697" s="6" t="s">
        <v>124</v>
      </c>
      <c r="B2697" s="7" t="s">
        <v>125</v>
      </c>
      <c r="C2697" s="7" t="s">
        <v>125</v>
      </c>
      <c r="D2697" s="7" t="s">
        <v>126</v>
      </c>
      <c r="E2697" s="6" t="s">
        <v>127</v>
      </c>
      <c r="F2697" s="8" t="e">
        <f>VLOOKUP($D2697,설문!$C$2:$G$444,3,FALSE)</f>
        <v>#N/A</v>
      </c>
      <c r="G2697" s="8" t="e">
        <f>VLOOKUP($D2697,설문!$C$2:$G$444,4,FALSE)</f>
        <v>#N/A</v>
      </c>
      <c r="H2697" s="8" t="e">
        <f>VLOOKUP($D2697,설문!$C$2:$G$444,5,FALSE)</f>
        <v>#N/A</v>
      </c>
    </row>
    <row r="2698" spans="1:8">
      <c r="A2698" s="6" t="s">
        <v>124</v>
      </c>
      <c r="B2698" s="7" t="s">
        <v>1173</v>
      </c>
      <c r="C2698" s="7" t="s">
        <v>1174</v>
      </c>
      <c r="D2698" s="7" t="s">
        <v>1175</v>
      </c>
      <c r="E2698" s="6" t="s">
        <v>1176</v>
      </c>
      <c r="F2698" s="8" t="str">
        <f>VLOOKUP($D2698,설문!$C$2:$G$444,3,FALSE)</f>
        <v>트레이더</v>
      </c>
      <c r="G2698" s="8" t="str">
        <f>VLOOKUP($D2698,설문!$C$2:$G$444,4,FALSE)</f>
        <v>금융회사,금융 유관기관</v>
      </c>
      <c r="H2698" s="8" t="str">
        <f>VLOOKUP($D2698,설문!$C$2:$G$444,5,FALSE)</f>
        <v>국내주식/지수</v>
      </c>
    </row>
    <row r="2699" spans="1:8">
      <c r="A2699" s="6" t="s">
        <v>124</v>
      </c>
      <c r="B2699" s="7" t="s">
        <v>9</v>
      </c>
      <c r="C2699" s="7" t="s">
        <v>1174</v>
      </c>
      <c r="D2699" s="7" t="s">
        <v>1177</v>
      </c>
      <c r="E2699" s="6" t="s">
        <v>1178</v>
      </c>
      <c r="F2699" s="8" t="str">
        <f>VLOOKUP($D2699,설문!$C$2:$G$444,3,FALSE)</f>
        <v>트레이더</v>
      </c>
      <c r="G2699" s="8" t="str">
        <f>VLOOKUP($D2699,설문!$C$2:$G$444,4,FALSE)</f>
        <v>금융회사</v>
      </c>
      <c r="H2699" s="8" t="str">
        <f>VLOOKUP($D2699,설문!$C$2:$G$444,5,FALSE)</f>
        <v>국내주식/지수</v>
      </c>
    </row>
    <row r="2700" spans="1:8">
      <c r="A2700" s="6" t="s">
        <v>124</v>
      </c>
      <c r="B2700" s="7" t="s">
        <v>9</v>
      </c>
      <c r="C2700" s="7" t="s">
        <v>5542</v>
      </c>
      <c r="D2700" s="7" t="s">
        <v>5543</v>
      </c>
      <c r="E2700" s="6" t="s">
        <v>5544</v>
      </c>
      <c r="F2700" s="8" t="e">
        <f>VLOOKUP($D2700,설문!$C$2:$G$444,3,FALSE)</f>
        <v>#N/A</v>
      </c>
      <c r="G2700" s="8" t="e">
        <f>VLOOKUP($D2700,설문!$C$2:$G$444,4,FALSE)</f>
        <v>#N/A</v>
      </c>
      <c r="H2700" s="8" t="e">
        <f>VLOOKUP($D2700,설문!$C$2:$G$444,5,FALSE)</f>
        <v>#N/A</v>
      </c>
    </row>
    <row r="2701" spans="1:8">
      <c r="A2701" s="6" t="s">
        <v>124</v>
      </c>
      <c r="B2701" s="7" t="s">
        <v>9</v>
      </c>
      <c r="C2701" s="7" t="s">
        <v>5542</v>
      </c>
      <c r="D2701" s="7" t="s">
        <v>5545</v>
      </c>
      <c r="E2701" s="6" t="s">
        <v>5546</v>
      </c>
      <c r="F2701" s="8" t="str">
        <f>VLOOKUP($D2701,설문!$C$2:$G$444,3,FALSE)</f>
        <v>펀드매니저</v>
      </c>
      <c r="G2701" s="8" t="str">
        <f>VLOOKUP($D2701,설문!$C$2:$G$444,4,FALSE)</f>
        <v>금융회사</v>
      </c>
      <c r="H2701" s="8" t="str">
        <f>VLOOKUP($D2701,설문!$C$2:$G$444,5,FALSE)</f>
        <v>국고채/통안채,회사채,소액채권,RP,단기자금,국채선물</v>
      </c>
    </row>
    <row r="2702" spans="1:8">
      <c r="A2702" s="6" t="s">
        <v>124</v>
      </c>
      <c r="B2702" s="7" t="s">
        <v>9</v>
      </c>
      <c r="C2702" s="7" t="s">
        <v>5547</v>
      </c>
      <c r="D2702" s="7" t="s">
        <v>5548</v>
      </c>
      <c r="E2702" s="6" t="s">
        <v>5549</v>
      </c>
      <c r="F2702" s="8" t="str">
        <f>VLOOKUP($D2702,설문!$C$2:$G$444,3,FALSE)</f>
        <v>펀드매니저</v>
      </c>
      <c r="G2702" s="8" t="str">
        <f>VLOOKUP($D2702,설문!$C$2:$G$444,4,FALSE)</f>
        <v>금융회사,금융 유관기관</v>
      </c>
      <c r="H2702" s="8" t="str">
        <f>VLOOKUP($D2702,설문!$C$2:$G$444,5,FALSE)</f>
        <v>국내주식/지수,ETF/ETN</v>
      </c>
    </row>
    <row r="2703" spans="1:8">
      <c r="A2703" s="6" t="s">
        <v>124</v>
      </c>
      <c r="B2703" s="7" t="s">
        <v>9</v>
      </c>
      <c r="C2703" s="7" t="s">
        <v>5542</v>
      </c>
      <c r="D2703" s="7" t="s">
        <v>5550</v>
      </c>
      <c r="E2703" s="6" t="s">
        <v>5551</v>
      </c>
      <c r="F2703" s="8" t="e">
        <f>VLOOKUP($D2703,설문!$C$2:$G$444,3,FALSE)</f>
        <v>#N/A</v>
      </c>
      <c r="G2703" s="8" t="e">
        <f>VLOOKUP($D2703,설문!$C$2:$G$444,4,FALSE)</f>
        <v>#N/A</v>
      </c>
      <c r="H2703" s="8" t="e">
        <f>VLOOKUP($D2703,설문!$C$2:$G$444,5,FALSE)</f>
        <v>#N/A</v>
      </c>
    </row>
    <row r="2704" spans="1:8">
      <c r="A2704" s="6" t="s">
        <v>124</v>
      </c>
      <c r="B2704" s="7" t="s">
        <v>9</v>
      </c>
      <c r="C2704" s="7" t="s">
        <v>125</v>
      </c>
      <c r="D2704" s="7" t="s">
        <v>5552</v>
      </c>
      <c r="E2704" s="6" t="s">
        <v>5553</v>
      </c>
      <c r="F2704" s="8" t="e">
        <f>VLOOKUP($D2704,설문!$C$2:$G$444,3,FALSE)</f>
        <v>#N/A</v>
      </c>
      <c r="G2704" s="8" t="e">
        <f>VLOOKUP($D2704,설문!$C$2:$G$444,4,FALSE)</f>
        <v>#N/A</v>
      </c>
      <c r="H2704" s="8" t="e">
        <f>VLOOKUP($D2704,설문!$C$2:$G$444,5,FALSE)</f>
        <v>#N/A</v>
      </c>
    </row>
    <row r="2705" spans="1:8">
      <c r="A2705" s="6" t="s">
        <v>124</v>
      </c>
      <c r="B2705" s="7" t="s">
        <v>9</v>
      </c>
      <c r="C2705" s="7" t="s">
        <v>5554</v>
      </c>
      <c r="D2705" s="7" t="s">
        <v>5555</v>
      </c>
      <c r="E2705" s="6" t="s">
        <v>5556</v>
      </c>
      <c r="F2705" s="8" t="e">
        <f>VLOOKUP($D2705,설문!$C$2:$G$444,3,FALSE)</f>
        <v>#N/A</v>
      </c>
      <c r="G2705" s="8" t="e">
        <f>VLOOKUP($D2705,설문!$C$2:$G$444,4,FALSE)</f>
        <v>#N/A</v>
      </c>
      <c r="H2705" s="8" t="e">
        <f>VLOOKUP($D2705,설문!$C$2:$G$444,5,FALSE)</f>
        <v>#N/A</v>
      </c>
    </row>
    <row r="2706" spans="1:8">
      <c r="A2706" s="6" t="s">
        <v>486</v>
      </c>
      <c r="B2706" s="7" t="s">
        <v>487</v>
      </c>
      <c r="C2706" s="7" t="s">
        <v>488</v>
      </c>
      <c r="D2706" s="7" t="s">
        <v>489</v>
      </c>
      <c r="E2706" s="6" t="s">
        <v>490</v>
      </c>
      <c r="F2706" s="8" t="e">
        <f>VLOOKUP($D2706,설문!$C$2:$G$444,3,FALSE)</f>
        <v>#N/A</v>
      </c>
      <c r="G2706" s="8" t="e">
        <f>VLOOKUP($D2706,설문!$C$2:$G$444,4,FALSE)</f>
        <v>#N/A</v>
      </c>
      <c r="H2706" s="8" t="e">
        <f>VLOOKUP($D2706,설문!$C$2:$G$444,5,FALSE)</f>
        <v>#N/A</v>
      </c>
    </row>
    <row r="2707" spans="1:8">
      <c r="A2707" s="6" t="s">
        <v>486</v>
      </c>
      <c r="B2707" s="7" t="s">
        <v>78</v>
      </c>
      <c r="C2707" s="7" t="s">
        <v>1005</v>
      </c>
      <c r="D2707" s="7" t="s">
        <v>3660</v>
      </c>
      <c r="E2707" s="6" t="s">
        <v>2241</v>
      </c>
      <c r="F2707" s="8" t="e">
        <f>VLOOKUP($D2707,설문!$C$2:$G$444,3,FALSE)</f>
        <v>#N/A</v>
      </c>
      <c r="G2707" s="8" t="e">
        <f>VLOOKUP($D2707,설문!$C$2:$G$444,4,FALSE)</f>
        <v>#N/A</v>
      </c>
      <c r="H2707" s="8" t="e">
        <f>VLOOKUP($D2707,설문!$C$2:$G$444,5,FALSE)</f>
        <v>#N/A</v>
      </c>
    </row>
    <row r="2708" spans="1:8">
      <c r="A2708" s="6" t="s">
        <v>486</v>
      </c>
      <c r="B2708" s="7" t="s">
        <v>3661</v>
      </c>
      <c r="C2708" s="7" t="s">
        <v>3662</v>
      </c>
      <c r="D2708" s="7" t="s">
        <v>3663</v>
      </c>
      <c r="E2708" s="6" t="s">
        <v>3664</v>
      </c>
      <c r="F2708" s="8" t="str">
        <f>VLOOKUP($D2708,설문!$C$2:$G$444,3,FALSE)</f>
        <v>분석 및 전략</v>
      </c>
      <c r="G2708" s="8" t="str">
        <f>VLOOKUP($D2708,설문!$C$2:$G$444,4,FALSE)</f>
        <v>금융회사,금융 유관기관</v>
      </c>
      <c r="H2708" s="8" t="str">
        <f>VLOOKUP($D2708,설문!$C$2:$G$444,5,FALSE)</f>
        <v>국내주식/지수,국고채/통안채,회사채,소액채권,RP,단기자금,국채선물,Korean Paper,외화채권(KP제외),외화채권선물,원화 구조화채권,국내주식/지수관련파생,외화 구조화채권,원화 이자율스왑,외화 이자율스왑,FX Spot &amp; FX Swap,CRS &amp; FX Option,FRA/이자율옵션,신용파생,원자재파생,해외주식/지수,해외주식/지수관련파생,ETF/ETN,ELW,ELS/DLS,IB(발행, M&amp;A 등),대체투자(부동산/인프라)</v>
      </c>
    </row>
    <row r="2709" spans="1:8">
      <c r="A2709" s="6" t="s">
        <v>486</v>
      </c>
      <c r="B2709" s="7" t="s">
        <v>3665</v>
      </c>
      <c r="C2709" s="7" t="s">
        <v>3665</v>
      </c>
      <c r="D2709" s="7" t="s">
        <v>3666</v>
      </c>
      <c r="E2709" s="6" t="s">
        <v>3667</v>
      </c>
      <c r="F2709" s="8" t="e">
        <f>VLOOKUP($D2709,설문!$C$2:$G$444,3,FALSE)</f>
        <v>#N/A</v>
      </c>
      <c r="G2709" s="8" t="e">
        <f>VLOOKUP($D2709,설문!$C$2:$G$444,4,FALSE)</f>
        <v>#N/A</v>
      </c>
      <c r="H2709" s="8" t="e">
        <f>VLOOKUP($D2709,설문!$C$2:$G$444,5,FALSE)</f>
        <v>#N/A</v>
      </c>
    </row>
    <row r="2710" spans="1:8">
      <c r="A2710" s="6" t="s">
        <v>486</v>
      </c>
      <c r="B2710" s="7" t="s">
        <v>69</v>
      </c>
      <c r="C2710" s="7" t="s">
        <v>3668</v>
      </c>
      <c r="D2710" s="7" t="s">
        <v>3669</v>
      </c>
      <c r="E2710" s="6" t="s">
        <v>813</v>
      </c>
      <c r="F2710" s="8" t="e">
        <f>VLOOKUP($D2710,설문!$C$2:$G$444,3,FALSE)</f>
        <v>#N/A</v>
      </c>
      <c r="G2710" s="8" t="e">
        <f>VLOOKUP($D2710,설문!$C$2:$G$444,4,FALSE)</f>
        <v>#N/A</v>
      </c>
      <c r="H2710" s="8" t="e">
        <f>VLOOKUP($D2710,설문!$C$2:$G$444,5,FALSE)</f>
        <v>#N/A</v>
      </c>
    </row>
    <row r="2711" spans="1:8">
      <c r="A2711" s="6" t="s">
        <v>486</v>
      </c>
      <c r="B2711" s="7" t="s">
        <v>487</v>
      </c>
      <c r="C2711" s="7" t="s">
        <v>487</v>
      </c>
      <c r="D2711" s="7" t="s">
        <v>3670</v>
      </c>
      <c r="E2711" s="6" t="s">
        <v>1719</v>
      </c>
      <c r="F2711" s="8" t="e">
        <f>VLOOKUP($D2711,설문!$C$2:$G$444,3,FALSE)</f>
        <v>#N/A</v>
      </c>
      <c r="G2711" s="8" t="e">
        <f>VLOOKUP($D2711,설문!$C$2:$G$444,4,FALSE)</f>
        <v>#N/A</v>
      </c>
      <c r="H2711" s="8" t="e">
        <f>VLOOKUP($D2711,설문!$C$2:$G$444,5,FALSE)</f>
        <v>#N/A</v>
      </c>
    </row>
    <row r="2712" spans="1:8">
      <c r="A2712" s="6" t="s">
        <v>486</v>
      </c>
      <c r="B2712" s="7" t="s">
        <v>487</v>
      </c>
      <c r="C2712" s="7" t="s">
        <v>487</v>
      </c>
      <c r="D2712" s="7" t="s">
        <v>3671</v>
      </c>
      <c r="E2712" s="6" t="s">
        <v>3672</v>
      </c>
      <c r="F2712" s="8" t="e">
        <f>VLOOKUP($D2712,설문!$C$2:$G$444,3,FALSE)</f>
        <v>#N/A</v>
      </c>
      <c r="G2712" s="8" t="e">
        <f>VLOOKUP($D2712,설문!$C$2:$G$444,4,FALSE)</f>
        <v>#N/A</v>
      </c>
      <c r="H2712" s="8" t="e">
        <f>VLOOKUP($D2712,설문!$C$2:$G$444,5,FALSE)</f>
        <v>#N/A</v>
      </c>
    </row>
    <row r="2713" spans="1:8">
      <c r="A2713" s="6" t="s">
        <v>486</v>
      </c>
      <c r="B2713" s="7" t="s">
        <v>487</v>
      </c>
      <c r="C2713" s="7" t="s">
        <v>487</v>
      </c>
      <c r="D2713" s="7" t="s">
        <v>3673</v>
      </c>
      <c r="E2713" s="6" t="s">
        <v>490</v>
      </c>
      <c r="F2713" s="8" t="e">
        <f>VLOOKUP($D2713,설문!$C$2:$G$444,3,FALSE)</f>
        <v>#N/A</v>
      </c>
      <c r="G2713" s="8" t="e">
        <f>VLOOKUP($D2713,설문!$C$2:$G$444,4,FALSE)</f>
        <v>#N/A</v>
      </c>
      <c r="H2713" s="8" t="e">
        <f>VLOOKUP($D2713,설문!$C$2:$G$444,5,FALSE)</f>
        <v>#N/A</v>
      </c>
    </row>
    <row r="2714" spans="1:8">
      <c r="A2714" s="6" t="s">
        <v>486</v>
      </c>
      <c r="B2714" s="7" t="s">
        <v>3674</v>
      </c>
      <c r="C2714" s="7" t="s">
        <v>3674</v>
      </c>
      <c r="D2714" s="7" t="s">
        <v>3675</v>
      </c>
      <c r="E2714" s="6" t="s">
        <v>3676</v>
      </c>
      <c r="F2714" s="8" t="e">
        <f>VLOOKUP($D2714,설문!$C$2:$G$444,3,FALSE)</f>
        <v>#N/A</v>
      </c>
      <c r="G2714" s="8" t="e">
        <f>VLOOKUP($D2714,설문!$C$2:$G$444,4,FALSE)</f>
        <v>#N/A</v>
      </c>
      <c r="H2714" s="8" t="e">
        <f>VLOOKUP($D2714,설문!$C$2:$G$444,5,FALSE)</f>
        <v>#N/A</v>
      </c>
    </row>
    <row r="2715" spans="1:8">
      <c r="A2715" s="6" t="s">
        <v>486</v>
      </c>
      <c r="B2715" s="7" t="s">
        <v>487</v>
      </c>
      <c r="C2715" s="7" t="s">
        <v>487</v>
      </c>
      <c r="D2715" s="7" t="s">
        <v>3677</v>
      </c>
      <c r="E2715" s="6" t="s">
        <v>2196</v>
      </c>
      <c r="F2715" s="8" t="e">
        <f>VLOOKUP($D2715,설문!$C$2:$G$444,3,FALSE)</f>
        <v>#N/A</v>
      </c>
      <c r="G2715" s="8" t="e">
        <f>VLOOKUP($D2715,설문!$C$2:$G$444,4,FALSE)</f>
        <v>#N/A</v>
      </c>
      <c r="H2715" s="8" t="e">
        <f>VLOOKUP($D2715,설문!$C$2:$G$444,5,FALSE)</f>
        <v>#N/A</v>
      </c>
    </row>
    <row r="2716" spans="1:8">
      <c r="A2716" s="6" t="s">
        <v>486</v>
      </c>
      <c r="B2716" s="7" t="s">
        <v>487</v>
      </c>
      <c r="C2716" s="7" t="s">
        <v>487</v>
      </c>
      <c r="D2716" s="7" t="s">
        <v>3678</v>
      </c>
      <c r="E2716" s="6" t="s">
        <v>3679</v>
      </c>
      <c r="F2716" s="8" t="e">
        <f>VLOOKUP($D2716,설문!$C$2:$G$444,3,FALSE)</f>
        <v>#N/A</v>
      </c>
      <c r="G2716" s="8" t="e">
        <f>VLOOKUP($D2716,설문!$C$2:$G$444,4,FALSE)</f>
        <v>#N/A</v>
      </c>
      <c r="H2716" s="8" t="e">
        <f>VLOOKUP($D2716,설문!$C$2:$G$444,5,FALSE)</f>
        <v>#N/A</v>
      </c>
    </row>
    <row r="2717" spans="1:8">
      <c r="A2717" s="6" t="s">
        <v>486</v>
      </c>
      <c r="B2717" s="7" t="s">
        <v>487</v>
      </c>
      <c r="C2717" s="7" t="s">
        <v>487</v>
      </c>
      <c r="D2717" s="7" t="s">
        <v>3680</v>
      </c>
      <c r="E2717" s="6" t="s">
        <v>2621</v>
      </c>
      <c r="F2717" s="8" t="e">
        <f>VLOOKUP($D2717,설문!$C$2:$G$444,3,FALSE)</f>
        <v>#N/A</v>
      </c>
      <c r="G2717" s="8" t="e">
        <f>VLOOKUP($D2717,설문!$C$2:$G$444,4,FALSE)</f>
        <v>#N/A</v>
      </c>
      <c r="H2717" s="8" t="e">
        <f>VLOOKUP($D2717,설문!$C$2:$G$444,5,FALSE)</f>
        <v>#N/A</v>
      </c>
    </row>
    <row r="2718" spans="1:8">
      <c r="A2718" s="6" t="s">
        <v>486</v>
      </c>
      <c r="B2718" s="7" t="s">
        <v>3681</v>
      </c>
      <c r="C2718" s="7" t="s">
        <v>3681</v>
      </c>
      <c r="D2718" s="7" t="s">
        <v>3682</v>
      </c>
      <c r="E2718" s="6" t="s">
        <v>3683</v>
      </c>
      <c r="F2718" s="8" t="e">
        <f>VLOOKUP($D2718,설문!$C$2:$G$444,3,FALSE)</f>
        <v>#N/A</v>
      </c>
      <c r="G2718" s="8" t="e">
        <f>VLOOKUP($D2718,설문!$C$2:$G$444,4,FALSE)</f>
        <v>#N/A</v>
      </c>
      <c r="H2718" s="8" t="e">
        <f>VLOOKUP($D2718,설문!$C$2:$G$444,5,FALSE)</f>
        <v>#N/A</v>
      </c>
    </row>
    <row r="2719" spans="1:8">
      <c r="A2719" s="6" t="s">
        <v>486</v>
      </c>
      <c r="B2719" s="7" t="s">
        <v>69</v>
      </c>
      <c r="C2719" s="7" t="s">
        <v>69</v>
      </c>
      <c r="D2719" s="7" t="s">
        <v>3684</v>
      </c>
      <c r="E2719" s="6" t="s">
        <v>3685</v>
      </c>
      <c r="F2719" s="8" t="e">
        <f>VLOOKUP($D2719,설문!$C$2:$G$444,3,FALSE)</f>
        <v>#N/A</v>
      </c>
      <c r="G2719" s="8" t="e">
        <f>VLOOKUP($D2719,설문!$C$2:$G$444,4,FALSE)</f>
        <v>#N/A</v>
      </c>
      <c r="H2719" s="8" t="e">
        <f>VLOOKUP($D2719,설문!$C$2:$G$444,5,FALSE)</f>
        <v>#N/A</v>
      </c>
    </row>
    <row r="2720" spans="1:8">
      <c r="A2720" s="6" t="s">
        <v>486</v>
      </c>
      <c r="B2720" s="7" t="s">
        <v>1173</v>
      </c>
      <c r="C2720" s="7" t="s">
        <v>414</v>
      </c>
      <c r="D2720" s="7" t="s">
        <v>3686</v>
      </c>
      <c r="E2720" s="6" t="s">
        <v>3687</v>
      </c>
      <c r="F2720" s="8" t="e">
        <f>VLOOKUP($D2720,설문!$C$2:$G$444,3,FALSE)</f>
        <v>#N/A</v>
      </c>
      <c r="G2720" s="8" t="e">
        <f>VLOOKUP($D2720,설문!$C$2:$G$444,4,FALSE)</f>
        <v>#N/A</v>
      </c>
      <c r="H2720" s="8" t="e">
        <f>VLOOKUP($D2720,설문!$C$2:$G$444,5,FALSE)</f>
        <v>#N/A</v>
      </c>
    </row>
    <row r="2721" spans="1:8">
      <c r="A2721" s="6" t="s">
        <v>486</v>
      </c>
      <c r="B2721" s="7" t="s">
        <v>487</v>
      </c>
      <c r="C2721" s="7" t="s">
        <v>487</v>
      </c>
      <c r="D2721" s="7" t="s">
        <v>3688</v>
      </c>
      <c r="E2721" s="6" t="s">
        <v>3689</v>
      </c>
      <c r="F2721" s="8" t="e">
        <f>VLOOKUP($D2721,설문!$C$2:$G$444,3,FALSE)</f>
        <v>#N/A</v>
      </c>
      <c r="G2721" s="8" t="e">
        <f>VLOOKUP($D2721,설문!$C$2:$G$444,4,FALSE)</f>
        <v>#N/A</v>
      </c>
      <c r="H2721" s="8" t="e">
        <f>VLOOKUP($D2721,설문!$C$2:$G$444,5,FALSE)</f>
        <v>#N/A</v>
      </c>
    </row>
    <row r="2722" spans="1:8">
      <c r="A2722" s="6" t="s">
        <v>486</v>
      </c>
      <c r="B2722" s="7" t="s">
        <v>487</v>
      </c>
      <c r="C2722" s="7" t="s">
        <v>487</v>
      </c>
      <c r="D2722" s="7" t="s">
        <v>3690</v>
      </c>
      <c r="E2722" s="6" t="s">
        <v>3691</v>
      </c>
      <c r="F2722" s="8" t="e">
        <f>VLOOKUP($D2722,설문!$C$2:$G$444,3,FALSE)</f>
        <v>#N/A</v>
      </c>
      <c r="G2722" s="8" t="e">
        <f>VLOOKUP($D2722,설문!$C$2:$G$444,4,FALSE)</f>
        <v>#N/A</v>
      </c>
      <c r="H2722" s="8" t="e">
        <f>VLOOKUP($D2722,설문!$C$2:$G$444,5,FALSE)</f>
        <v>#N/A</v>
      </c>
    </row>
    <row r="2723" spans="1:8">
      <c r="A2723" s="6" t="s">
        <v>486</v>
      </c>
      <c r="B2723" s="7" t="s">
        <v>1173</v>
      </c>
      <c r="C2723" s="7" t="s">
        <v>1173</v>
      </c>
      <c r="D2723" s="7" t="s">
        <v>3692</v>
      </c>
      <c r="E2723" s="6" t="s">
        <v>3693</v>
      </c>
      <c r="F2723" s="8" t="e">
        <f>VLOOKUP($D2723,설문!$C$2:$G$444,3,FALSE)</f>
        <v>#N/A</v>
      </c>
      <c r="G2723" s="8" t="e">
        <f>VLOOKUP($D2723,설문!$C$2:$G$444,4,FALSE)</f>
        <v>#N/A</v>
      </c>
      <c r="H2723" s="8" t="e">
        <f>VLOOKUP($D2723,설문!$C$2:$G$444,5,FALSE)</f>
        <v>#N/A</v>
      </c>
    </row>
    <row r="2724" spans="1:8">
      <c r="A2724" s="6" t="s">
        <v>486</v>
      </c>
      <c r="B2724" s="7" t="s">
        <v>1173</v>
      </c>
      <c r="C2724" s="7" t="s">
        <v>1173</v>
      </c>
      <c r="D2724" s="7" t="s">
        <v>3694</v>
      </c>
      <c r="E2724" s="6" t="s">
        <v>3695</v>
      </c>
      <c r="F2724" s="8" t="e">
        <f>VLOOKUP($D2724,설문!$C$2:$G$444,3,FALSE)</f>
        <v>#N/A</v>
      </c>
      <c r="G2724" s="8" t="e">
        <f>VLOOKUP($D2724,설문!$C$2:$G$444,4,FALSE)</f>
        <v>#N/A</v>
      </c>
      <c r="H2724" s="8" t="e">
        <f>VLOOKUP($D2724,설문!$C$2:$G$444,5,FALSE)</f>
        <v>#N/A</v>
      </c>
    </row>
    <row r="2725" spans="1:8">
      <c r="A2725" s="6" t="s">
        <v>486</v>
      </c>
      <c r="B2725" s="7" t="s">
        <v>1173</v>
      </c>
      <c r="C2725" s="7" t="s">
        <v>1173</v>
      </c>
      <c r="D2725" s="7" t="s">
        <v>3696</v>
      </c>
      <c r="E2725" s="6" t="s">
        <v>3697</v>
      </c>
      <c r="F2725" s="8" t="e">
        <f>VLOOKUP($D2725,설문!$C$2:$G$444,3,FALSE)</f>
        <v>#N/A</v>
      </c>
      <c r="G2725" s="8" t="e">
        <f>VLOOKUP($D2725,설문!$C$2:$G$444,4,FALSE)</f>
        <v>#N/A</v>
      </c>
      <c r="H2725" s="8" t="e">
        <f>VLOOKUP($D2725,설문!$C$2:$G$444,5,FALSE)</f>
        <v>#N/A</v>
      </c>
    </row>
    <row r="2726" spans="1:8">
      <c r="A2726" s="6" t="s">
        <v>486</v>
      </c>
      <c r="B2726" s="7" t="s">
        <v>1173</v>
      </c>
      <c r="C2726" s="7" t="s">
        <v>1173</v>
      </c>
      <c r="D2726" s="7" t="s">
        <v>3698</v>
      </c>
      <c r="E2726" s="6" t="s">
        <v>1238</v>
      </c>
      <c r="F2726" s="8" t="e">
        <f>VLOOKUP($D2726,설문!$C$2:$G$444,3,FALSE)</f>
        <v>#N/A</v>
      </c>
      <c r="G2726" s="8" t="e">
        <f>VLOOKUP($D2726,설문!$C$2:$G$444,4,FALSE)</f>
        <v>#N/A</v>
      </c>
      <c r="H2726" s="8" t="e">
        <f>VLOOKUP($D2726,설문!$C$2:$G$444,5,FALSE)</f>
        <v>#N/A</v>
      </c>
    </row>
    <row r="2727" spans="1:8">
      <c r="A2727" s="6" t="s">
        <v>486</v>
      </c>
      <c r="B2727" s="7" t="s">
        <v>69</v>
      </c>
      <c r="C2727" s="7" t="s">
        <v>69</v>
      </c>
      <c r="D2727" s="7" t="s">
        <v>3699</v>
      </c>
      <c r="E2727" s="6" t="s">
        <v>3700</v>
      </c>
      <c r="F2727" s="8" t="e">
        <f>VLOOKUP($D2727,설문!$C$2:$G$444,3,FALSE)</f>
        <v>#N/A</v>
      </c>
      <c r="G2727" s="8" t="e">
        <f>VLOOKUP($D2727,설문!$C$2:$G$444,4,FALSE)</f>
        <v>#N/A</v>
      </c>
      <c r="H2727" s="8" t="e">
        <f>VLOOKUP($D2727,설문!$C$2:$G$444,5,FALSE)</f>
        <v>#N/A</v>
      </c>
    </row>
    <row r="2728" spans="1:8">
      <c r="A2728" s="6" t="s">
        <v>486</v>
      </c>
      <c r="B2728" s="7" t="s">
        <v>69</v>
      </c>
      <c r="C2728" s="7" t="s">
        <v>69</v>
      </c>
      <c r="D2728" s="7" t="s">
        <v>3701</v>
      </c>
      <c r="E2728" s="6" t="s">
        <v>3702</v>
      </c>
      <c r="F2728" s="8" t="e">
        <f>VLOOKUP($D2728,설문!$C$2:$G$444,3,FALSE)</f>
        <v>#N/A</v>
      </c>
      <c r="G2728" s="8" t="e">
        <f>VLOOKUP($D2728,설문!$C$2:$G$444,4,FALSE)</f>
        <v>#N/A</v>
      </c>
      <c r="H2728" s="8" t="e">
        <f>VLOOKUP($D2728,설문!$C$2:$G$444,5,FALSE)</f>
        <v>#N/A</v>
      </c>
    </row>
    <row r="2729" spans="1:8">
      <c r="A2729" s="6" t="s">
        <v>38</v>
      </c>
      <c r="B2729" s="7" t="s">
        <v>39</v>
      </c>
      <c r="C2729" s="7" t="s">
        <v>40</v>
      </c>
      <c r="D2729" s="7" t="s">
        <v>41</v>
      </c>
      <c r="E2729" s="6" t="s">
        <v>42</v>
      </c>
      <c r="F2729" s="8" t="e">
        <f>VLOOKUP($D2729,설문!$C$2:$G$444,3,FALSE)</f>
        <v>#N/A</v>
      </c>
      <c r="G2729" s="8" t="e">
        <f>VLOOKUP($D2729,설문!$C$2:$G$444,4,FALSE)</f>
        <v>#N/A</v>
      </c>
      <c r="H2729" s="8" t="e">
        <f>VLOOKUP($D2729,설문!$C$2:$G$444,5,FALSE)</f>
        <v>#N/A</v>
      </c>
    </row>
    <row r="2730" spans="1:8">
      <c r="A2730" s="6" t="s">
        <v>38</v>
      </c>
      <c r="B2730" s="7" t="s">
        <v>681</v>
      </c>
      <c r="C2730" s="7" t="s">
        <v>682</v>
      </c>
      <c r="D2730" s="7" t="s">
        <v>683</v>
      </c>
      <c r="E2730" s="6" t="s">
        <v>684</v>
      </c>
      <c r="F2730" s="8" t="str">
        <f>VLOOKUP($D2730,설문!$C$2:$G$444,3,FALSE)</f>
        <v>펀드매니저</v>
      </c>
      <c r="G2730" s="8" t="str">
        <f>VLOOKUP($D2730,설문!$C$2:$G$444,4,FALSE)</f>
        <v>일반기업고객</v>
      </c>
      <c r="H2730" s="8" t="str">
        <f>VLOOKUP($D2730,설문!$C$2:$G$444,5,FALSE)</f>
        <v>국고채/통안채,회사채,단기자금,국채선물</v>
      </c>
    </row>
    <row r="2731" spans="1:8">
      <c r="A2731" s="6" t="s">
        <v>38</v>
      </c>
      <c r="B2731" s="7" t="s">
        <v>681</v>
      </c>
      <c r="C2731" s="7" t="s">
        <v>682</v>
      </c>
      <c r="D2731" s="7" t="s">
        <v>685</v>
      </c>
      <c r="E2731" s="6" t="s">
        <v>686</v>
      </c>
      <c r="F2731" s="8" t="e">
        <f>VLOOKUP($D2731,설문!$C$2:$G$444,3,FALSE)</f>
        <v>#N/A</v>
      </c>
      <c r="G2731" s="8" t="e">
        <f>VLOOKUP($D2731,설문!$C$2:$G$444,4,FALSE)</f>
        <v>#N/A</v>
      </c>
      <c r="H2731" s="8" t="e">
        <f>VLOOKUP($D2731,설문!$C$2:$G$444,5,FALSE)</f>
        <v>#N/A</v>
      </c>
    </row>
    <row r="2732" spans="1:8">
      <c r="A2732" s="6" t="s">
        <v>38</v>
      </c>
      <c r="B2732" s="7" t="s">
        <v>681</v>
      </c>
      <c r="C2732" s="7" t="s">
        <v>682</v>
      </c>
      <c r="D2732" s="7" t="s">
        <v>908</v>
      </c>
      <c r="E2732" s="6" t="s">
        <v>909</v>
      </c>
      <c r="F2732" s="8" t="e">
        <f>VLOOKUP($D2732,설문!$C$2:$G$444,3,FALSE)</f>
        <v>#N/A</v>
      </c>
      <c r="G2732" s="8" t="e">
        <f>VLOOKUP($D2732,설문!$C$2:$G$444,4,FALSE)</f>
        <v>#N/A</v>
      </c>
      <c r="H2732" s="8" t="e">
        <f>VLOOKUP($D2732,설문!$C$2:$G$444,5,FALSE)</f>
        <v>#N/A</v>
      </c>
    </row>
    <row r="2733" spans="1:8">
      <c r="A2733" s="6" t="s">
        <v>38</v>
      </c>
      <c r="B2733" s="7" t="s">
        <v>112</v>
      </c>
      <c r="C2733" s="7" t="s">
        <v>112</v>
      </c>
      <c r="D2733" s="7" t="s">
        <v>1097</v>
      </c>
      <c r="E2733" s="6" t="s">
        <v>1098</v>
      </c>
      <c r="F2733" s="8" t="e">
        <f>VLOOKUP($D2733,설문!$C$2:$G$444,3,FALSE)</f>
        <v>#N/A</v>
      </c>
      <c r="G2733" s="8" t="e">
        <f>VLOOKUP($D2733,설문!$C$2:$G$444,4,FALSE)</f>
        <v>#N/A</v>
      </c>
      <c r="H2733" s="8" t="e">
        <f>VLOOKUP($D2733,설문!$C$2:$G$444,5,FALSE)</f>
        <v>#N/A</v>
      </c>
    </row>
    <row r="2734" spans="1:8">
      <c r="A2734" s="6" t="s">
        <v>38</v>
      </c>
      <c r="B2734" s="7" t="s">
        <v>681</v>
      </c>
      <c r="C2734" s="7" t="s">
        <v>682</v>
      </c>
      <c r="D2734" s="7" t="s">
        <v>1143</v>
      </c>
      <c r="E2734" s="6" t="s">
        <v>1144</v>
      </c>
      <c r="F2734" s="8" t="e">
        <f>VLOOKUP($D2734,설문!$C$2:$G$444,3,FALSE)</f>
        <v>#N/A</v>
      </c>
      <c r="G2734" s="8" t="e">
        <f>VLOOKUP($D2734,설문!$C$2:$G$444,4,FALSE)</f>
        <v>#N/A</v>
      </c>
      <c r="H2734" s="8" t="e">
        <f>VLOOKUP($D2734,설문!$C$2:$G$444,5,FALSE)</f>
        <v>#N/A</v>
      </c>
    </row>
    <row r="2735" spans="1:8">
      <c r="A2735" s="6" t="s">
        <v>38</v>
      </c>
      <c r="B2735" s="7" t="s">
        <v>1470</v>
      </c>
      <c r="C2735" s="7" t="s">
        <v>1470</v>
      </c>
      <c r="D2735" s="7" t="s">
        <v>1471</v>
      </c>
      <c r="E2735" s="6" t="s">
        <v>1472</v>
      </c>
      <c r="F2735" s="8" t="e">
        <f>VLOOKUP($D2735,설문!$C$2:$G$444,3,FALSE)</f>
        <v>#N/A</v>
      </c>
      <c r="G2735" s="8" t="e">
        <f>VLOOKUP($D2735,설문!$C$2:$G$444,4,FALSE)</f>
        <v>#N/A</v>
      </c>
      <c r="H2735" s="8" t="e">
        <f>VLOOKUP($D2735,설문!$C$2:$G$444,5,FALSE)</f>
        <v>#N/A</v>
      </c>
    </row>
    <row r="2736" spans="1:8">
      <c r="A2736" s="6" t="s">
        <v>38</v>
      </c>
      <c r="B2736" s="7" t="s">
        <v>112</v>
      </c>
      <c r="C2736" s="7" t="s">
        <v>112</v>
      </c>
      <c r="D2736" s="7" t="s">
        <v>1541</v>
      </c>
      <c r="E2736" s="6" t="s">
        <v>1542</v>
      </c>
      <c r="F2736" s="8" t="e">
        <f>VLOOKUP($D2736,설문!$C$2:$G$444,3,FALSE)</f>
        <v>#N/A</v>
      </c>
      <c r="G2736" s="8" t="e">
        <f>VLOOKUP($D2736,설문!$C$2:$G$444,4,FALSE)</f>
        <v>#N/A</v>
      </c>
      <c r="H2736" s="8" t="e">
        <f>VLOOKUP($D2736,설문!$C$2:$G$444,5,FALSE)</f>
        <v>#N/A</v>
      </c>
    </row>
    <row r="2737" spans="1:8">
      <c r="A2737" s="6" t="s">
        <v>38</v>
      </c>
      <c r="B2737" s="7" t="s">
        <v>1595</v>
      </c>
      <c r="C2737" s="7" t="s">
        <v>1595</v>
      </c>
      <c r="D2737" s="7" t="s">
        <v>1596</v>
      </c>
      <c r="E2737" s="6" t="s">
        <v>1597</v>
      </c>
      <c r="F2737" s="8" t="str">
        <f>VLOOKUP($D2737,설문!$C$2:$G$444,3,FALSE)</f>
        <v>기타</v>
      </c>
      <c r="G2737" s="8" t="str">
        <f>VLOOKUP($D2737,설문!$C$2:$G$444,4,FALSE)</f>
        <v>금융회사</v>
      </c>
      <c r="H2737" s="8" t="str">
        <f>VLOOKUP($D2737,설문!$C$2:$G$444,5,FALSE)</f>
        <v>국고채/통안채</v>
      </c>
    </row>
    <row r="2738" spans="1:8">
      <c r="A2738" s="6" t="s">
        <v>38</v>
      </c>
      <c r="B2738" s="7" t="s">
        <v>112</v>
      </c>
      <c r="C2738" s="7" t="s">
        <v>112</v>
      </c>
      <c r="D2738" s="7" t="s">
        <v>1659</v>
      </c>
      <c r="E2738" s="6" t="s">
        <v>1660</v>
      </c>
      <c r="F2738" s="8" t="e">
        <f>VLOOKUP($D2738,설문!$C$2:$G$444,3,FALSE)</f>
        <v>#N/A</v>
      </c>
      <c r="G2738" s="8" t="e">
        <f>VLOOKUP($D2738,설문!$C$2:$G$444,4,FALSE)</f>
        <v>#N/A</v>
      </c>
      <c r="H2738" s="8" t="e">
        <f>VLOOKUP($D2738,설문!$C$2:$G$444,5,FALSE)</f>
        <v>#N/A</v>
      </c>
    </row>
    <row r="2739" spans="1:8">
      <c r="A2739" s="6" t="s">
        <v>38</v>
      </c>
      <c r="B2739" s="7" t="s">
        <v>606</v>
      </c>
      <c r="C2739" s="7" t="s">
        <v>606</v>
      </c>
      <c r="D2739" s="7" t="s">
        <v>1678</v>
      </c>
      <c r="E2739" s="6" t="s">
        <v>1679</v>
      </c>
      <c r="F2739" s="8" t="str">
        <f>VLOOKUP($D2739,설문!$C$2:$G$444,3,FALSE)</f>
        <v>펀드매니저</v>
      </c>
      <c r="G2739" s="8" t="str">
        <f>VLOOKUP($D2739,설문!$C$2:$G$444,4,FALSE)</f>
        <v>금융회사,일반기업고객</v>
      </c>
      <c r="H2739" s="8" t="str">
        <f>VLOOKUP($D2739,설문!$C$2:$G$444,5,FALSE)</f>
        <v>국고채/통안채,회사채,RP,단기자금,원화 구조화채권</v>
      </c>
    </row>
    <row r="2740" spans="1:8">
      <c r="A2740" s="6" t="s">
        <v>38</v>
      </c>
      <c r="B2740" s="7" t="s">
        <v>1731</v>
      </c>
      <c r="C2740" s="7" t="s">
        <v>1731</v>
      </c>
      <c r="D2740" s="7" t="s">
        <v>1732</v>
      </c>
      <c r="E2740" s="6" t="s">
        <v>1733</v>
      </c>
      <c r="F2740" s="8" t="e">
        <f>VLOOKUP($D2740,설문!$C$2:$G$444,3,FALSE)</f>
        <v>#N/A</v>
      </c>
      <c r="G2740" s="8" t="e">
        <f>VLOOKUP($D2740,설문!$C$2:$G$444,4,FALSE)</f>
        <v>#N/A</v>
      </c>
      <c r="H2740" s="8" t="e">
        <f>VLOOKUP($D2740,설문!$C$2:$G$444,5,FALSE)</f>
        <v>#N/A</v>
      </c>
    </row>
    <row r="2741" spans="1:8">
      <c r="A2741" s="6" t="s">
        <v>38</v>
      </c>
      <c r="B2741" s="7" t="s">
        <v>112</v>
      </c>
      <c r="C2741" s="7" t="s">
        <v>112</v>
      </c>
      <c r="D2741" s="7" t="s">
        <v>1808</v>
      </c>
      <c r="E2741" s="6" t="s">
        <v>1809</v>
      </c>
      <c r="F2741" s="8" t="e">
        <f>VLOOKUP($D2741,설문!$C$2:$G$444,3,FALSE)</f>
        <v>#N/A</v>
      </c>
      <c r="G2741" s="8" t="e">
        <f>VLOOKUP($D2741,설문!$C$2:$G$444,4,FALSE)</f>
        <v>#N/A</v>
      </c>
      <c r="H2741" s="8" t="e">
        <f>VLOOKUP($D2741,설문!$C$2:$G$444,5,FALSE)</f>
        <v>#N/A</v>
      </c>
    </row>
    <row r="2742" spans="1:8">
      <c r="A2742" s="6" t="s">
        <v>38</v>
      </c>
      <c r="B2742" s="7" t="s">
        <v>5252</v>
      </c>
      <c r="C2742" s="7" t="s">
        <v>4716</v>
      </c>
      <c r="D2742" s="7" t="s">
        <v>5557</v>
      </c>
      <c r="E2742" s="6" t="s">
        <v>5558</v>
      </c>
      <c r="F2742" s="8" t="e">
        <f>VLOOKUP($D2742,설문!$C$2:$G$444,3,FALSE)</f>
        <v>#N/A</v>
      </c>
      <c r="G2742" s="8" t="e">
        <f>VLOOKUP($D2742,설문!$C$2:$G$444,4,FALSE)</f>
        <v>#N/A</v>
      </c>
      <c r="H2742" s="8" t="e">
        <f>VLOOKUP($D2742,설문!$C$2:$G$444,5,FALSE)</f>
        <v>#N/A</v>
      </c>
    </row>
    <row r="2743" spans="1:8">
      <c r="A2743" s="6" t="s">
        <v>38</v>
      </c>
      <c r="B2743" s="7" t="s">
        <v>623</v>
      </c>
      <c r="C2743" s="7" t="s">
        <v>623</v>
      </c>
      <c r="D2743" s="7" t="s">
        <v>5559</v>
      </c>
      <c r="E2743" s="6" t="s">
        <v>5560</v>
      </c>
      <c r="F2743" s="8" t="e">
        <f>VLOOKUP($D2743,설문!$C$2:$G$444,3,FALSE)</f>
        <v>#N/A</v>
      </c>
      <c r="G2743" s="8" t="e">
        <f>VLOOKUP($D2743,설문!$C$2:$G$444,4,FALSE)</f>
        <v>#N/A</v>
      </c>
      <c r="H2743" s="8" t="e">
        <f>VLOOKUP($D2743,설문!$C$2:$G$444,5,FALSE)</f>
        <v>#N/A</v>
      </c>
    </row>
    <row r="2744" spans="1:8">
      <c r="A2744" s="6" t="s">
        <v>38</v>
      </c>
      <c r="B2744" s="7" t="s">
        <v>623</v>
      </c>
      <c r="C2744" s="7" t="s">
        <v>623</v>
      </c>
      <c r="D2744" s="7" t="s">
        <v>5561</v>
      </c>
      <c r="E2744" s="6" t="s">
        <v>5562</v>
      </c>
      <c r="F2744" s="8" t="e">
        <f>VLOOKUP($D2744,설문!$C$2:$G$444,3,FALSE)</f>
        <v>#N/A</v>
      </c>
      <c r="G2744" s="8" t="e">
        <f>VLOOKUP($D2744,설문!$C$2:$G$444,4,FALSE)</f>
        <v>#N/A</v>
      </c>
      <c r="H2744" s="8" t="e">
        <f>VLOOKUP($D2744,설문!$C$2:$G$444,5,FALSE)</f>
        <v>#N/A</v>
      </c>
    </row>
    <row r="2745" spans="1:8">
      <c r="A2745" s="6" t="s">
        <v>38</v>
      </c>
      <c r="B2745" s="7" t="s">
        <v>1731</v>
      </c>
      <c r="C2745" s="7" t="s">
        <v>1731</v>
      </c>
      <c r="D2745" s="7" t="s">
        <v>5563</v>
      </c>
      <c r="E2745" s="6" t="s">
        <v>5564</v>
      </c>
      <c r="F2745" s="8" t="e">
        <f>VLOOKUP($D2745,설문!$C$2:$G$444,3,FALSE)</f>
        <v>#N/A</v>
      </c>
      <c r="G2745" s="8" t="e">
        <f>VLOOKUP($D2745,설문!$C$2:$G$444,4,FALSE)</f>
        <v>#N/A</v>
      </c>
      <c r="H2745" s="8" t="e">
        <f>VLOOKUP($D2745,설문!$C$2:$G$444,5,FALSE)</f>
        <v>#N/A</v>
      </c>
    </row>
    <row r="2746" spans="1:8">
      <c r="A2746" s="6" t="s">
        <v>38</v>
      </c>
      <c r="B2746" s="7" t="s">
        <v>1731</v>
      </c>
      <c r="C2746" s="7" t="s">
        <v>1731</v>
      </c>
      <c r="D2746" s="7" t="s">
        <v>5565</v>
      </c>
      <c r="E2746" s="6" t="s">
        <v>5566</v>
      </c>
      <c r="F2746" s="8" t="e">
        <f>VLOOKUP($D2746,설문!$C$2:$G$444,3,FALSE)</f>
        <v>#N/A</v>
      </c>
      <c r="G2746" s="8" t="e">
        <f>VLOOKUP($D2746,설문!$C$2:$G$444,4,FALSE)</f>
        <v>#N/A</v>
      </c>
      <c r="H2746" s="8" t="e">
        <f>VLOOKUP($D2746,설문!$C$2:$G$444,5,FALSE)</f>
        <v>#N/A</v>
      </c>
    </row>
    <row r="2747" spans="1:8">
      <c r="A2747" s="6" t="s">
        <v>38</v>
      </c>
      <c r="B2747" s="7" t="s">
        <v>623</v>
      </c>
      <c r="C2747" s="7" t="s">
        <v>623</v>
      </c>
      <c r="D2747" s="7" t="s">
        <v>5567</v>
      </c>
      <c r="E2747" s="6" t="s">
        <v>5568</v>
      </c>
      <c r="F2747" s="8" t="str">
        <f>VLOOKUP($D2747,설문!$C$2:$G$444,3,FALSE)</f>
        <v>트레이더</v>
      </c>
      <c r="G2747" s="8" t="str">
        <f>VLOOKUP($D2747,설문!$C$2:$G$444,4,FALSE)</f>
        <v>금융회사</v>
      </c>
      <c r="H2747" s="8" t="str">
        <f>VLOOKUP($D2747,설문!$C$2:$G$444,5,FALSE)</f>
        <v>국내주식/지수,국내주식/지수관련파생</v>
      </c>
    </row>
    <row r="2748" spans="1:8">
      <c r="A2748" s="6" t="s">
        <v>38</v>
      </c>
      <c r="B2748" s="7" t="s">
        <v>1731</v>
      </c>
      <c r="C2748" s="7" t="s">
        <v>1731</v>
      </c>
      <c r="D2748" s="7" t="s">
        <v>5569</v>
      </c>
      <c r="E2748" s="6" t="s">
        <v>5570</v>
      </c>
      <c r="F2748" s="8" t="e">
        <f>VLOOKUP($D2748,설문!$C$2:$G$444,3,FALSE)</f>
        <v>#N/A</v>
      </c>
      <c r="G2748" s="8" t="e">
        <f>VLOOKUP($D2748,설문!$C$2:$G$444,4,FALSE)</f>
        <v>#N/A</v>
      </c>
      <c r="H2748" s="8" t="e">
        <f>VLOOKUP($D2748,설문!$C$2:$G$444,5,FALSE)</f>
        <v>#N/A</v>
      </c>
    </row>
    <row r="2749" spans="1:8">
      <c r="A2749" s="6" t="s">
        <v>38</v>
      </c>
      <c r="B2749" s="7" t="s">
        <v>1731</v>
      </c>
      <c r="C2749" s="7" t="s">
        <v>1731</v>
      </c>
      <c r="D2749" s="7" t="s">
        <v>5571</v>
      </c>
      <c r="E2749" s="6" t="s">
        <v>5572</v>
      </c>
      <c r="F2749" s="8" t="str">
        <f>VLOOKUP($D2749,설문!$C$2:$G$444,3,FALSE)</f>
        <v>딜러</v>
      </c>
      <c r="G2749" s="8" t="str">
        <f>VLOOKUP($D2749,설문!$C$2:$G$444,4,FALSE)</f>
        <v>기타</v>
      </c>
      <c r="H2749" s="8" t="str">
        <f>VLOOKUP($D2749,설문!$C$2:$G$444,5,FALSE)</f>
        <v>국내주식/지수</v>
      </c>
    </row>
    <row r="2750" spans="1:8">
      <c r="A2750" s="6" t="s">
        <v>38</v>
      </c>
      <c r="B2750" s="7" t="s">
        <v>1731</v>
      </c>
      <c r="C2750" s="7" t="s">
        <v>1731</v>
      </c>
      <c r="D2750" s="7" t="s">
        <v>5573</v>
      </c>
      <c r="E2750" s="6" t="s">
        <v>5574</v>
      </c>
      <c r="F2750" s="8" t="e">
        <f>VLOOKUP($D2750,설문!$C$2:$G$444,3,FALSE)</f>
        <v>#N/A</v>
      </c>
      <c r="G2750" s="8" t="e">
        <f>VLOOKUP($D2750,설문!$C$2:$G$444,4,FALSE)</f>
        <v>#N/A</v>
      </c>
      <c r="H2750" s="8" t="e">
        <f>VLOOKUP($D2750,설문!$C$2:$G$444,5,FALSE)</f>
        <v>#N/A</v>
      </c>
    </row>
    <row r="2751" spans="1:8">
      <c r="A2751" s="6" t="s">
        <v>38</v>
      </c>
      <c r="B2751" s="7" t="s">
        <v>1731</v>
      </c>
      <c r="C2751" s="7" t="s">
        <v>1731</v>
      </c>
      <c r="D2751" s="7" t="s">
        <v>5575</v>
      </c>
      <c r="E2751" s="6" t="s">
        <v>5576</v>
      </c>
      <c r="F2751" s="8" t="e">
        <f>VLOOKUP($D2751,설문!$C$2:$G$444,3,FALSE)</f>
        <v>#N/A</v>
      </c>
      <c r="G2751" s="8" t="e">
        <f>VLOOKUP($D2751,설문!$C$2:$G$444,4,FALSE)</f>
        <v>#N/A</v>
      </c>
      <c r="H2751" s="8" t="e">
        <f>VLOOKUP($D2751,설문!$C$2:$G$444,5,FALSE)</f>
        <v>#N/A</v>
      </c>
    </row>
    <row r="2752" spans="1:8">
      <c r="A2752" s="6" t="s">
        <v>38</v>
      </c>
      <c r="B2752" s="7" t="s">
        <v>1470</v>
      </c>
      <c r="C2752" s="7" t="s">
        <v>1470</v>
      </c>
      <c r="D2752" s="7" t="s">
        <v>5577</v>
      </c>
      <c r="E2752" s="6" t="s">
        <v>5578</v>
      </c>
      <c r="F2752" s="8" t="e">
        <f>VLOOKUP($D2752,설문!$C$2:$G$444,3,FALSE)</f>
        <v>#N/A</v>
      </c>
      <c r="G2752" s="8" t="e">
        <f>VLOOKUP($D2752,설문!$C$2:$G$444,4,FALSE)</f>
        <v>#N/A</v>
      </c>
      <c r="H2752" s="8" t="e">
        <f>VLOOKUP($D2752,설문!$C$2:$G$444,5,FALSE)</f>
        <v>#N/A</v>
      </c>
    </row>
    <row r="2753" spans="1:8">
      <c r="A2753" s="6" t="s">
        <v>38</v>
      </c>
      <c r="B2753" s="7" t="s">
        <v>5579</v>
      </c>
      <c r="C2753" s="7" t="s">
        <v>5579</v>
      </c>
      <c r="D2753" s="7" t="s">
        <v>5580</v>
      </c>
      <c r="E2753" s="6" t="s">
        <v>5581</v>
      </c>
      <c r="F2753" s="8" t="e">
        <f>VLOOKUP($D2753,설문!$C$2:$G$444,3,FALSE)</f>
        <v>#N/A</v>
      </c>
      <c r="G2753" s="8" t="e">
        <f>VLOOKUP($D2753,설문!$C$2:$G$444,4,FALSE)</f>
        <v>#N/A</v>
      </c>
      <c r="H2753" s="8" t="e">
        <f>VLOOKUP($D2753,설문!$C$2:$G$444,5,FALSE)</f>
        <v>#N/A</v>
      </c>
    </row>
    <row r="2754" spans="1:8">
      <c r="A2754" s="6" t="s">
        <v>38</v>
      </c>
      <c r="B2754" s="7" t="s">
        <v>5579</v>
      </c>
      <c r="C2754" s="7" t="s">
        <v>5579</v>
      </c>
      <c r="D2754" s="7" t="s">
        <v>5582</v>
      </c>
      <c r="E2754" s="6" t="s">
        <v>5583</v>
      </c>
      <c r="F2754" s="8" t="e">
        <f>VLOOKUP($D2754,설문!$C$2:$G$444,3,FALSE)</f>
        <v>#N/A</v>
      </c>
      <c r="G2754" s="8" t="e">
        <f>VLOOKUP($D2754,설문!$C$2:$G$444,4,FALSE)</f>
        <v>#N/A</v>
      </c>
      <c r="H2754" s="8" t="e">
        <f>VLOOKUP($D2754,설문!$C$2:$G$444,5,FALSE)</f>
        <v>#N/A</v>
      </c>
    </row>
    <row r="2755" spans="1:8">
      <c r="A2755" s="6" t="s">
        <v>38</v>
      </c>
      <c r="B2755" s="7" t="s">
        <v>2161</v>
      </c>
      <c r="C2755" s="7" t="s">
        <v>5584</v>
      </c>
      <c r="D2755" s="7" t="s">
        <v>5585</v>
      </c>
      <c r="E2755" s="6" t="s">
        <v>5586</v>
      </c>
      <c r="F2755" s="8" t="e">
        <f>VLOOKUP($D2755,설문!$C$2:$G$444,3,FALSE)</f>
        <v>#N/A</v>
      </c>
      <c r="G2755" s="8" t="e">
        <f>VLOOKUP($D2755,설문!$C$2:$G$444,4,FALSE)</f>
        <v>#N/A</v>
      </c>
      <c r="H2755" s="8" t="e">
        <f>VLOOKUP($D2755,설문!$C$2:$G$444,5,FALSE)</f>
        <v>#N/A</v>
      </c>
    </row>
    <row r="2756" spans="1:8">
      <c r="A2756" s="6" t="s">
        <v>38</v>
      </c>
      <c r="B2756" s="7" t="s">
        <v>5587</v>
      </c>
      <c r="C2756" s="7" t="s">
        <v>5587</v>
      </c>
      <c r="D2756" s="7" t="s">
        <v>5588</v>
      </c>
      <c r="E2756" s="6" t="s">
        <v>5589</v>
      </c>
      <c r="F2756" s="8" t="e">
        <f>VLOOKUP($D2756,설문!$C$2:$G$444,3,FALSE)</f>
        <v>#N/A</v>
      </c>
      <c r="G2756" s="8" t="e">
        <f>VLOOKUP($D2756,설문!$C$2:$G$444,4,FALSE)</f>
        <v>#N/A</v>
      </c>
      <c r="H2756" s="8" t="e">
        <f>VLOOKUP($D2756,설문!$C$2:$G$444,5,FALSE)</f>
        <v>#N/A</v>
      </c>
    </row>
    <row r="2757" spans="1:8">
      <c r="A2757" s="6" t="s">
        <v>38</v>
      </c>
      <c r="B2757" s="7" t="s">
        <v>650</v>
      </c>
      <c r="C2757" s="7" t="s">
        <v>650</v>
      </c>
      <c r="D2757" s="7" t="s">
        <v>5590</v>
      </c>
      <c r="E2757" s="6" t="s">
        <v>870</v>
      </c>
      <c r="F2757" s="8" t="e">
        <f>VLOOKUP($D2757,설문!$C$2:$G$444,3,FALSE)</f>
        <v>#N/A</v>
      </c>
      <c r="G2757" s="8" t="e">
        <f>VLOOKUP($D2757,설문!$C$2:$G$444,4,FALSE)</f>
        <v>#N/A</v>
      </c>
      <c r="H2757" s="8" t="e">
        <f>VLOOKUP($D2757,설문!$C$2:$G$444,5,FALSE)</f>
        <v>#N/A</v>
      </c>
    </row>
    <row r="2758" spans="1:8">
      <c r="A2758" s="6" t="s">
        <v>38</v>
      </c>
      <c r="B2758" s="7" t="s">
        <v>650</v>
      </c>
      <c r="C2758" s="7" t="s">
        <v>650</v>
      </c>
      <c r="D2758" s="7" t="s">
        <v>5591</v>
      </c>
      <c r="E2758" s="6" t="s">
        <v>5592</v>
      </c>
      <c r="F2758" s="8" t="str">
        <f>VLOOKUP($D2758,설문!$C$2:$G$444,3,FALSE)</f>
        <v>트레이더</v>
      </c>
      <c r="G2758" s="8" t="str">
        <f>VLOOKUP($D2758,설문!$C$2:$G$444,4,FALSE)</f>
        <v>금융회사</v>
      </c>
      <c r="H2758" s="8" t="str">
        <f>VLOOKUP($D2758,설문!$C$2:$G$444,5,FALSE)</f>
        <v>국고채/통안채,RP,국채선물,원화 이자율스왑</v>
      </c>
    </row>
    <row r="2759" spans="1:8">
      <c r="A2759" s="6" t="s">
        <v>38</v>
      </c>
      <c r="B2759" s="7" t="s">
        <v>650</v>
      </c>
      <c r="C2759" s="7" t="s">
        <v>650</v>
      </c>
      <c r="D2759" s="7" t="s">
        <v>5593</v>
      </c>
      <c r="E2759" s="6" t="s">
        <v>5594</v>
      </c>
      <c r="F2759" s="8" t="e">
        <f>VLOOKUP($D2759,설문!$C$2:$G$444,3,FALSE)</f>
        <v>#N/A</v>
      </c>
      <c r="G2759" s="8" t="e">
        <f>VLOOKUP($D2759,설문!$C$2:$G$444,4,FALSE)</f>
        <v>#N/A</v>
      </c>
      <c r="H2759" s="8" t="e">
        <f>VLOOKUP($D2759,설문!$C$2:$G$444,5,FALSE)</f>
        <v>#N/A</v>
      </c>
    </row>
    <row r="2760" spans="1:8">
      <c r="A2760" s="6" t="s">
        <v>38</v>
      </c>
      <c r="B2760" s="7" t="s">
        <v>5595</v>
      </c>
      <c r="C2760" s="7" t="s">
        <v>39</v>
      </c>
      <c r="D2760" s="7" t="s">
        <v>5596</v>
      </c>
      <c r="E2760" s="6" t="s">
        <v>5597</v>
      </c>
      <c r="F2760" s="8" t="e">
        <f>VLOOKUP($D2760,설문!$C$2:$G$444,3,FALSE)</f>
        <v>#N/A</v>
      </c>
      <c r="G2760" s="8" t="e">
        <f>VLOOKUP($D2760,설문!$C$2:$G$444,4,FALSE)</f>
        <v>#N/A</v>
      </c>
      <c r="H2760" s="8" t="e">
        <f>VLOOKUP($D2760,설문!$C$2:$G$444,5,FALSE)</f>
        <v>#N/A</v>
      </c>
    </row>
    <row r="2761" spans="1:8">
      <c r="A2761" s="6" t="s">
        <v>38</v>
      </c>
      <c r="B2761" s="7" t="s">
        <v>39</v>
      </c>
      <c r="C2761" s="7" t="s">
        <v>39</v>
      </c>
      <c r="D2761" s="7" t="s">
        <v>5598</v>
      </c>
      <c r="E2761" s="6" t="s">
        <v>5599</v>
      </c>
      <c r="F2761" s="8" t="e">
        <f>VLOOKUP($D2761,설문!$C$2:$G$444,3,FALSE)</f>
        <v>#N/A</v>
      </c>
      <c r="G2761" s="8" t="e">
        <f>VLOOKUP($D2761,설문!$C$2:$G$444,4,FALSE)</f>
        <v>#N/A</v>
      </c>
      <c r="H2761" s="8" t="e">
        <f>VLOOKUP($D2761,설문!$C$2:$G$444,5,FALSE)</f>
        <v>#N/A</v>
      </c>
    </row>
    <row r="2762" spans="1:8">
      <c r="A2762" s="6" t="s">
        <v>38</v>
      </c>
      <c r="B2762" s="7" t="s">
        <v>635</v>
      </c>
      <c r="C2762" s="7" t="s">
        <v>635</v>
      </c>
      <c r="D2762" s="7" t="s">
        <v>5600</v>
      </c>
      <c r="E2762" s="6" t="s">
        <v>5601</v>
      </c>
      <c r="F2762" s="8" t="e">
        <f>VLOOKUP($D2762,설문!$C$2:$G$444,3,FALSE)</f>
        <v>#N/A</v>
      </c>
      <c r="G2762" s="8" t="e">
        <f>VLOOKUP($D2762,설문!$C$2:$G$444,4,FALSE)</f>
        <v>#N/A</v>
      </c>
      <c r="H2762" s="8" t="e">
        <f>VLOOKUP($D2762,설문!$C$2:$G$444,5,FALSE)</f>
        <v>#N/A</v>
      </c>
    </row>
    <row r="2763" spans="1:8">
      <c r="A2763" s="6" t="s">
        <v>38</v>
      </c>
      <c r="B2763" s="7" t="s">
        <v>5602</v>
      </c>
      <c r="C2763" s="7" t="s">
        <v>5344</v>
      </c>
      <c r="D2763" s="7" t="s">
        <v>5603</v>
      </c>
      <c r="E2763" s="6" t="s">
        <v>3623</v>
      </c>
      <c r="F2763" s="8" t="e">
        <f>VLOOKUP($D2763,설문!$C$2:$G$444,3,FALSE)</f>
        <v>#N/A</v>
      </c>
      <c r="G2763" s="8" t="e">
        <f>VLOOKUP($D2763,설문!$C$2:$G$444,4,FALSE)</f>
        <v>#N/A</v>
      </c>
      <c r="H2763" s="8" t="e">
        <f>VLOOKUP($D2763,설문!$C$2:$G$444,5,FALSE)</f>
        <v>#N/A</v>
      </c>
    </row>
    <row r="2764" spans="1:8">
      <c r="A2764" s="6" t="s">
        <v>38</v>
      </c>
      <c r="B2764" s="7" t="s">
        <v>5602</v>
      </c>
      <c r="C2764" s="7" t="s">
        <v>5344</v>
      </c>
      <c r="D2764" s="7" t="s">
        <v>5604</v>
      </c>
      <c r="E2764" s="6" t="s">
        <v>5605</v>
      </c>
      <c r="F2764" s="8" t="str">
        <f>VLOOKUP($D2764,설문!$C$2:$G$444,3,FALSE)</f>
        <v>트레이더,세일즈</v>
      </c>
      <c r="G2764" s="8" t="str">
        <f>VLOOKUP($D2764,설문!$C$2:$G$444,4,FALSE)</f>
        <v>금융회사</v>
      </c>
      <c r="H2764" s="8" t="str">
        <f>VLOOKUP($D2764,설문!$C$2:$G$444,5,FALSE)</f>
        <v>국내주식/지수,국내주식/지수관련파생,ETF/ETN</v>
      </c>
    </row>
    <row r="2765" spans="1:8">
      <c r="A2765" s="6" t="s">
        <v>38</v>
      </c>
      <c r="B2765" s="7" t="s">
        <v>5606</v>
      </c>
      <c r="C2765" s="7" t="s">
        <v>5607</v>
      </c>
      <c r="D2765" s="7" t="s">
        <v>5608</v>
      </c>
      <c r="E2765" s="6" t="s">
        <v>3809</v>
      </c>
      <c r="F2765" s="8" t="e">
        <f>VLOOKUP($D2765,설문!$C$2:$G$444,3,FALSE)</f>
        <v>#N/A</v>
      </c>
      <c r="G2765" s="8" t="e">
        <f>VLOOKUP($D2765,설문!$C$2:$G$444,4,FALSE)</f>
        <v>#N/A</v>
      </c>
      <c r="H2765" s="8" t="e">
        <f>VLOOKUP($D2765,설문!$C$2:$G$444,5,FALSE)</f>
        <v>#N/A</v>
      </c>
    </row>
    <row r="2766" spans="1:8">
      <c r="A2766" s="6" t="s">
        <v>38</v>
      </c>
      <c r="B2766" s="7" t="s">
        <v>5609</v>
      </c>
      <c r="C2766" s="7" t="s">
        <v>5610</v>
      </c>
      <c r="D2766" s="7" t="s">
        <v>5611</v>
      </c>
      <c r="E2766" s="6" t="s">
        <v>5213</v>
      </c>
      <c r="F2766" s="8" t="e">
        <f>VLOOKUP($D2766,설문!$C$2:$G$444,3,FALSE)</f>
        <v>#N/A</v>
      </c>
      <c r="G2766" s="8" t="e">
        <f>VLOOKUP($D2766,설문!$C$2:$G$444,4,FALSE)</f>
        <v>#N/A</v>
      </c>
      <c r="H2766" s="8" t="e">
        <f>VLOOKUP($D2766,설문!$C$2:$G$444,5,FALSE)</f>
        <v>#N/A</v>
      </c>
    </row>
    <row r="2767" spans="1:8">
      <c r="A2767" s="6" t="s">
        <v>38</v>
      </c>
      <c r="B2767" s="7" t="s">
        <v>5612</v>
      </c>
      <c r="C2767" s="7" t="s">
        <v>5613</v>
      </c>
      <c r="D2767" s="7" t="s">
        <v>5614</v>
      </c>
      <c r="E2767" s="6" t="s">
        <v>5615</v>
      </c>
      <c r="F2767" s="8" t="e">
        <f>VLOOKUP($D2767,설문!$C$2:$G$444,3,FALSE)</f>
        <v>#N/A</v>
      </c>
      <c r="G2767" s="8" t="e">
        <f>VLOOKUP($D2767,설문!$C$2:$G$444,4,FALSE)</f>
        <v>#N/A</v>
      </c>
      <c r="H2767" s="8" t="e">
        <f>VLOOKUP($D2767,설문!$C$2:$G$444,5,FALSE)</f>
        <v>#N/A</v>
      </c>
    </row>
    <row r="2768" spans="1:8">
      <c r="A2768" s="6" t="s">
        <v>38</v>
      </c>
      <c r="B2768" s="7" t="s">
        <v>1470</v>
      </c>
      <c r="C2768" s="7" t="s">
        <v>1470</v>
      </c>
      <c r="D2768" s="7" t="s">
        <v>5616</v>
      </c>
      <c r="E2768" s="6" t="s">
        <v>121</v>
      </c>
      <c r="F2768" s="8" t="e">
        <f>VLOOKUP($D2768,설문!$C$2:$G$444,3,FALSE)</f>
        <v>#N/A</v>
      </c>
      <c r="G2768" s="8" t="e">
        <f>VLOOKUP($D2768,설문!$C$2:$G$444,4,FALSE)</f>
        <v>#N/A</v>
      </c>
      <c r="H2768" s="8" t="e">
        <f>VLOOKUP($D2768,설문!$C$2:$G$444,5,FALSE)</f>
        <v>#N/A</v>
      </c>
    </row>
    <row r="2769" spans="1:8">
      <c r="A2769" s="6" t="s">
        <v>38</v>
      </c>
      <c r="B2769" s="7" t="s">
        <v>5617</v>
      </c>
      <c r="C2769" s="7" t="s">
        <v>5617</v>
      </c>
      <c r="D2769" s="7" t="s">
        <v>5618</v>
      </c>
      <c r="E2769" s="6" t="s">
        <v>5619</v>
      </c>
      <c r="F2769" s="8" t="e">
        <f>VLOOKUP($D2769,설문!$C$2:$G$444,3,FALSE)</f>
        <v>#N/A</v>
      </c>
      <c r="G2769" s="8" t="e">
        <f>VLOOKUP($D2769,설문!$C$2:$G$444,4,FALSE)</f>
        <v>#N/A</v>
      </c>
      <c r="H2769" s="8" t="e">
        <f>VLOOKUP($D2769,설문!$C$2:$G$444,5,FALSE)</f>
        <v>#N/A</v>
      </c>
    </row>
    <row r="2770" spans="1:8">
      <c r="A2770" s="6" t="s">
        <v>38</v>
      </c>
      <c r="B2770" s="7" t="s">
        <v>1595</v>
      </c>
      <c r="C2770" s="7" t="s">
        <v>1595</v>
      </c>
      <c r="D2770" s="7" t="s">
        <v>5620</v>
      </c>
      <c r="E2770" s="6" t="s">
        <v>5621</v>
      </c>
      <c r="F2770" s="8" t="str">
        <f>VLOOKUP($D2770,설문!$C$2:$G$444,3,FALSE)</f>
        <v>백오피스</v>
      </c>
      <c r="G2770" s="8" t="str">
        <f>VLOOKUP($D2770,설문!$C$2:$G$444,4,FALSE)</f>
        <v>금융회사</v>
      </c>
      <c r="H2770" s="8" t="str">
        <f>VLOOKUP($D2770,설문!$C$2:$G$444,5,FALSE)</f>
        <v>국고채/통안채,회사채</v>
      </c>
    </row>
    <row r="2771" spans="1:8">
      <c r="A2771" s="6" t="s">
        <v>38</v>
      </c>
      <c r="B2771" s="7" t="s">
        <v>1595</v>
      </c>
      <c r="C2771" s="7" t="s">
        <v>1595</v>
      </c>
      <c r="D2771" s="7" t="s">
        <v>5622</v>
      </c>
      <c r="E2771" s="6" t="s">
        <v>5623</v>
      </c>
      <c r="F2771" s="8" t="e">
        <f>VLOOKUP($D2771,설문!$C$2:$G$444,3,FALSE)</f>
        <v>#N/A</v>
      </c>
      <c r="G2771" s="8" t="e">
        <f>VLOOKUP($D2771,설문!$C$2:$G$444,4,FALSE)</f>
        <v>#N/A</v>
      </c>
      <c r="H2771" s="8" t="e">
        <f>VLOOKUP($D2771,설문!$C$2:$G$444,5,FALSE)</f>
        <v>#N/A</v>
      </c>
    </row>
    <row r="2772" spans="1:8">
      <c r="A2772" s="6" t="s">
        <v>38</v>
      </c>
      <c r="B2772" s="7" t="s">
        <v>5624</v>
      </c>
      <c r="C2772" s="7" t="s">
        <v>5624</v>
      </c>
      <c r="D2772" s="7" t="s">
        <v>5625</v>
      </c>
      <c r="E2772" s="6" t="s">
        <v>5626</v>
      </c>
      <c r="F2772" s="8" t="str">
        <f>VLOOKUP($D2772,설문!$C$2:$G$444,3,FALSE)</f>
        <v>백오피스</v>
      </c>
      <c r="G2772" s="8" t="str">
        <f>VLOOKUP($D2772,설문!$C$2:$G$444,4,FALSE)</f>
        <v>금융회사</v>
      </c>
      <c r="H2772" s="8" t="str">
        <f>VLOOKUP($D2772,설문!$C$2:$G$444,5,FALSE)</f>
        <v>국고채/통안채,회사채,원화 구조화채권</v>
      </c>
    </row>
    <row r="2773" spans="1:8">
      <c r="A2773" s="6" t="s">
        <v>38</v>
      </c>
      <c r="B2773" s="7" t="s">
        <v>112</v>
      </c>
      <c r="C2773" s="7" t="s">
        <v>112</v>
      </c>
      <c r="D2773" s="7" t="s">
        <v>5627</v>
      </c>
      <c r="E2773" s="6" t="s">
        <v>1325</v>
      </c>
      <c r="F2773" s="8" t="e">
        <f>VLOOKUP($D2773,설문!$C$2:$G$444,3,FALSE)</f>
        <v>#N/A</v>
      </c>
      <c r="G2773" s="8" t="e">
        <f>VLOOKUP($D2773,설문!$C$2:$G$444,4,FALSE)</f>
        <v>#N/A</v>
      </c>
      <c r="H2773" s="8" t="e">
        <f>VLOOKUP($D2773,설문!$C$2:$G$444,5,FALSE)</f>
        <v>#N/A</v>
      </c>
    </row>
    <row r="2774" spans="1:8">
      <c r="A2774" s="6" t="s">
        <v>38</v>
      </c>
      <c r="B2774" s="7" t="s">
        <v>5628</v>
      </c>
      <c r="C2774" s="7" t="s">
        <v>5629</v>
      </c>
      <c r="D2774" s="7" t="s">
        <v>5630</v>
      </c>
      <c r="E2774" s="6" t="s">
        <v>5631</v>
      </c>
      <c r="F2774" s="8" t="e">
        <f>VLOOKUP($D2774,설문!$C$2:$G$444,3,FALSE)</f>
        <v>#N/A</v>
      </c>
      <c r="G2774" s="8" t="e">
        <f>VLOOKUP($D2774,설문!$C$2:$G$444,4,FALSE)</f>
        <v>#N/A</v>
      </c>
      <c r="H2774" s="8" t="e">
        <f>VLOOKUP($D2774,설문!$C$2:$G$444,5,FALSE)</f>
        <v>#N/A</v>
      </c>
    </row>
    <row r="2775" spans="1:8">
      <c r="A2775" s="6" t="s">
        <v>38</v>
      </c>
      <c r="B2775" s="7" t="s">
        <v>635</v>
      </c>
      <c r="C2775" s="7" t="s">
        <v>635</v>
      </c>
      <c r="D2775" s="7" t="s">
        <v>5632</v>
      </c>
      <c r="E2775" s="6" t="s">
        <v>5633</v>
      </c>
      <c r="F2775" s="8" t="e">
        <f>VLOOKUP($D2775,설문!$C$2:$G$444,3,FALSE)</f>
        <v>#N/A</v>
      </c>
      <c r="G2775" s="8" t="e">
        <f>VLOOKUP($D2775,설문!$C$2:$G$444,4,FALSE)</f>
        <v>#N/A</v>
      </c>
      <c r="H2775" s="8" t="e">
        <f>VLOOKUP($D2775,설문!$C$2:$G$444,5,FALSE)</f>
        <v>#N/A</v>
      </c>
    </row>
    <row r="2776" spans="1:8">
      <c r="A2776" s="6" t="s">
        <v>38</v>
      </c>
      <c r="B2776" s="7" t="s">
        <v>5634</v>
      </c>
      <c r="C2776" s="7" t="s">
        <v>5634</v>
      </c>
      <c r="D2776" s="7" t="s">
        <v>5635</v>
      </c>
      <c r="E2776" s="6" t="s">
        <v>5636</v>
      </c>
      <c r="F2776" s="8" t="e">
        <f>VLOOKUP($D2776,설문!$C$2:$G$444,3,FALSE)</f>
        <v>#N/A</v>
      </c>
      <c r="G2776" s="8" t="e">
        <f>VLOOKUP($D2776,설문!$C$2:$G$444,4,FALSE)</f>
        <v>#N/A</v>
      </c>
      <c r="H2776" s="8" t="e">
        <f>VLOOKUP($D2776,설문!$C$2:$G$444,5,FALSE)</f>
        <v>#N/A</v>
      </c>
    </row>
    <row r="2777" spans="1:8">
      <c r="A2777" s="6" t="s">
        <v>5290</v>
      </c>
      <c r="B2777" s="7" t="s">
        <v>9</v>
      </c>
      <c r="C2777" s="7" t="s">
        <v>9</v>
      </c>
      <c r="D2777" s="7" t="s">
        <v>5291</v>
      </c>
      <c r="E2777" s="6" t="s">
        <v>62</v>
      </c>
      <c r="F2777" s="8" t="e">
        <f>VLOOKUP($D2777,설문!$C$2:$G$444,3,FALSE)</f>
        <v>#N/A</v>
      </c>
      <c r="G2777" s="8" t="e">
        <f>VLOOKUP($D2777,설문!$C$2:$G$444,4,FALSE)</f>
        <v>#N/A</v>
      </c>
      <c r="H2777" s="8" t="e">
        <f>VLOOKUP($D2777,설문!$C$2:$G$444,5,FALSE)</f>
        <v>#N/A</v>
      </c>
    </row>
    <row r="2778" spans="1:8">
      <c r="A2778" s="6" t="s">
        <v>5290</v>
      </c>
      <c r="B2778" s="7" t="s">
        <v>9</v>
      </c>
      <c r="C2778" s="7" t="s">
        <v>9</v>
      </c>
      <c r="D2778" s="7" t="s">
        <v>5293</v>
      </c>
      <c r="E2778" s="6" t="s">
        <v>5294</v>
      </c>
      <c r="F2778" s="8" t="e">
        <f>VLOOKUP($D2778,설문!$C$2:$G$444,3,FALSE)</f>
        <v>#N/A</v>
      </c>
      <c r="G2778" s="8" t="e">
        <f>VLOOKUP($D2778,설문!$C$2:$G$444,4,FALSE)</f>
        <v>#N/A</v>
      </c>
      <c r="H2778" s="8" t="e">
        <f>VLOOKUP($D2778,설문!$C$2:$G$444,5,FALSE)</f>
        <v>#N/A</v>
      </c>
    </row>
    <row r="2779" spans="1:8">
      <c r="A2779" s="6" t="s">
        <v>5290</v>
      </c>
      <c r="B2779" s="7" t="s">
        <v>9</v>
      </c>
      <c r="C2779" s="7" t="s">
        <v>9</v>
      </c>
      <c r="D2779" s="7" t="s">
        <v>5295</v>
      </c>
      <c r="E2779" s="6" t="s">
        <v>5294</v>
      </c>
      <c r="F2779" s="8" t="e">
        <f>VLOOKUP($D2779,설문!$C$2:$G$444,3,FALSE)</f>
        <v>#N/A</v>
      </c>
      <c r="G2779" s="8" t="e">
        <f>VLOOKUP($D2779,설문!$C$2:$G$444,4,FALSE)</f>
        <v>#N/A</v>
      </c>
      <c r="H2779" s="8" t="e">
        <f>VLOOKUP($D2779,설문!$C$2:$G$444,5,FALSE)</f>
        <v>#N/A</v>
      </c>
    </row>
    <row r="2780" spans="1:8">
      <c r="A2780" s="6" t="s">
        <v>473</v>
      </c>
      <c r="B2780" s="7" t="s">
        <v>474</v>
      </c>
      <c r="C2780" s="7" t="s">
        <v>475</v>
      </c>
      <c r="D2780" s="7" t="s">
        <v>476</v>
      </c>
      <c r="E2780" s="6" t="s">
        <v>477</v>
      </c>
      <c r="F2780" s="8" t="str">
        <f>VLOOKUP($D2780,설문!$C$2:$G$444,3,FALSE)</f>
        <v>펀드매니저</v>
      </c>
      <c r="G2780" s="8" t="str">
        <f>VLOOKUP($D2780,설문!$C$2:$G$444,4,FALSE)</f>
        <v>금융회사</v>
      </c>
      <c r="H2780" s="8" t="str">
        <f>VLOOKUP($D2780,설문!$C$2:$G$444,5,FALSE)</f>
        <v>국내주식/지수,국내주식/지수관련파생,ELW</v>
      </c>
    </row>
    <row r="2781" spans="1:8">
      <c r="A2781" s="6" t="s">
        <v>473</v>
      </c>
      <c r="B2781" s="7" t="s">
        <v>474</v>
      </c>
      <c r="C2781" s="7" t="s">
        <v>475</v>
      </c>
      <c r="D2781" s="7" t="s">
        <v>478</v>
      </c>
      <c r="E2781" s="6" t="s">
        <v>479</v>
      </c>
      <c r="F2781" s="8" t="str">
        <f>VLOOKUP($D2781,설문!$C$2:$G$444,3,FALSE)</f>
        <v>트레이더</v>
      </c>
      <c r="G2781" s="8" t="str">
        <f>VLOOKUP($D2781,설문!$C$2:$G$444,4,FALSE)</f>
        <v>금융회사</v>
      </c>
      <c r="H2781" s="8" t="str">
        <f>VLOOKUP($D2781,설문!$C$2:$G$444,5,FALSE)</f>
        <v>국내주식/지수</v>
      </c>
    </row>
    <row r="2782" spans="1:8">
      <c r="A2782" s="6" t="s">
        <v>473</v>
      </c>
      <c r="B2782" s="7" t="s">
        <v>718</v>
      </c>
      <c r="C2782" s="7" t="s">
        <v>718</v>
      </c>
      <c r="D2782" s="7" t="s">
        <v>719</v>
      </c>
      <c r="E2782" s="6" t="s">
        <v>720</v>
      </c>
      <c r="F2782" s="8" t="e">
        <f>VLOOKUP($D2782,설문!$C$2:$G$444,3,FALSE)</f>
        <v>#N/A</v>
      </c>
      <c r="G2782" s="8" t="e">
        <f>VLOOKUP($D2782,설문!$C$2:$G$444,4,FALSE)</f>
        <v>#N/A</v>
      </c>
      <c r="H2782" s="8" t="e">
        <f>VLOOKUP($D2782,설문!$C$2:$G$444,5,FALSE)</f>
        <v>#N/A</v>
      </c>
    </row>
    <row r="2783" spans="1:8">
      <c r="A2783" s="6" t="s">
        <v>473</v>
      </c>
      <c r="B2783" s="7" t="s">
        <v>1115</v>
      </c>
      <c r="C2783" s="7" t="s">
        <v>1115</v>
      </c>
      <c r="D2783" s="7" t="s">
        <v>1116</v>
      </c>
      <c r="E2783" s="6" t="s">
        <v>1117</v>
      </c>
      <c r="F2783" s="8" t="e">
        <f>VLOOKUP($D2783,설문!$C$2:$G$444,3,FALSE)</f>
        <v>#N/A</v>
      </c>
      <c r="G2783" s="8" t="e">
        <f>VLOOKUP($D2783,설문!$C$2:$G$444,4,FALSE)</f>
        <v>#N/A</v>
      </c>
      <c r="H2783" s="8" t="e">
        <f>VLOOKUP($D2783,설문!$C$2:$G$444,5,FALSE)</f>
        <v>#N/A</v>
      </c>
    </row>
    <row r="2784" spans="1:8">
      <c r="A2784" s="6" t="s">
        <v>473</v>
      </c>
      <c r="B2784" s="7" t="s">
        <v>718</v>
      </c>
      <c r="C2784" s="7" t="s">
        <v>718</v>
      </c>
      <c r="D2784" s="7" t="s">
        <v>1136</v>
      </c>
      <c r="E2784" s="6" t="s">
        <v>1137</v>
      </c>
      <c r="F2784" s="8" t="e">
        <f>VLOOKUP($D2784,설문!$C$2:$G$444,3,FALSE)</f>
        <v>#N/A</v>
      </c>
      <c r="G2784" s="8" t="e">
        <f>VLOOKUP($D2784,설문!$C$2:$G$444,4,FALSE)</f>
        <v>#N/A</v>
      </c>
      <c r="H2784" s="8" t="e">
        <f>VLOOKUP($D2784,설문!$C$2:$G$444,5,FALSE)</f>
        <v>#N/A</v>
      </c>
    </row>
    <row r="2785" spans="1:8">
      <c r="A2785" s="6" t="s">
        <v>473</v>
      </c>
      <c r="B2785" s="7" t="s">
        <v>898</v>
      </c>
      <c r="C2785" s="7" t="s">
        <v>898</v>
      </c>
      <c r="D2785" s="7" t="s">
        <v>1222</v>
      </c>
      <c r="E2785" s="6" t="s">
        <v>741</v>
      </c>
      <c r="F2785" s="8" t="e">
        <f>VLOOKUP($D2785,설문!$C$2:$G$444,3,FALSE)</f>
        <v>#N/A</v>
      </c>
      <c r="G2785" s="8" t="e">
        <f>VLOOKUP($D2785,설문!$C$2:$G$444,4,FALSE)</f>
        <v>#N/A</v>
      </c>
      <c r="H2785" s="8" t="e">
        <f>VLOOKUP($D2785,설문!$C$2:$G$444,5,FALSE)</f>
        <v>#N/A</v>
      </c>
    </row>
    <row r="2786" spans="1:8">
      <c r="A2786" s="6" t="s">
        <v>473</v>
      </c>
      <c r="B2786" s="7" t="s">
        <v>898</v>
      </c>
      <c r="C2786" s="7" t="s">
        <v>898</v>
      </c>
      <c r="D2786" s="7" t="s">
        <v>1223</v>
      </c>
      <c r="E2786" s="6" t="s">
        <v>1224</v>
      </c>
      <c r="F2786" s="8" t="str">
        <f>VLOOKUP($D2786,설문!$C$2:$G$444,3,FALSE)</f>
        <v>세일즈,브로커</v>
      </c>
      <c r="G2786" s="8" t="str">
        <f>VLOOKUP($D2786,설문!$C$2:$G$444,4,FALSE)</f>
        <v>금융회사</v>
      </c>
      <c r="H2786" s="8" t="str">
        <f>VLOOKUP($D2786,설문!$C$2:$G$444,5,FALSE)</f>
        <v>국고채/통안채,회사채,소액채권,국채선물,원화 구조화채권,신용파생,IB(발행, M&amp;A 등)</v>
      </c>
    </row>
    <row r="2787" spans="1:8">
      <c r="A2787" s="6" t="s">
        <v>473</v>
      </c>
      <c r="B2787" s="7" t="s">
        <v>718</v>
      </c>
      <c r="C2787" s="7" t="s">
        <v>718</v>
      </c>
      <c r="D2787" s="7" t="s">
        <v>1571</v>
      </c>
      <c r="E2787" s="6" t="s">
        <v>1572</v>
      </c>
      <c r="F2787" s="8" t="e">
        <f>VLOOKUP($D2787,설문!$C$2:$G$444,3,FALSE)</f>
        <v>#N/A</v>
      </c>
      <c r="G2787" s="8" t="e">
        <f>VLOOKUP($D2787,설문!$C$2:$G$444,4,FALSE)</f>
        <v>#N/A</v>
      </c>
      <c r="H2787" s="8" t="e">
        <f>VLOOKUP($D2787,설문!$C$2:$G$444,5,FALSE)</f>
        <v>#N/A</v>
      </c>
    </row>
    <row r="2788" spans="1:8">
      <c r="A2788" s="6" t="s">
        <v>473</v>
      </c>
      <c r="B2788" s="7" t="s">
        <v>1115</v>
      </c>
      <c r="C2788" s="7" t="s">
        <v>1115</v>
      </c>
      <c r="D2788" s="7" t="s">
        <v>1848</v>
      </c>
      <c r="E2788" s="6" t="s">
        <v>1849</v>
      </c>
      <c r="F2788" s="8" t="e">
        <f>VLOOKUP($D2788,설문!$C$2:$G$444,3,FALSE)</f>
        <v>#N/A</v>
      </c>
      <c r="G2788" s="8" t="e">
        <f>VLOOKUP($D2788,설문!$C$2:$G$444,4,FALSE)</f>
        <v>#N/A</v>
      </c>
      <c r="H2788" s="8" t="e">
        <f>VLOOKUP($D2788,설문!$C$2:$G$444,5,FALSE)</f>
        <v>#N/A</v>
      </c>
    </row>
    <row r="2789" spans="1:8">
      <c r="A2789" s="6" t="s">
        <v>473</v>
      </c>
      <c r="B2789" s="7" t="s">
        <v>6513</v>
      </c>
      <c r="C2789" s="7" t="s">
        <v>6514</v>
      </c>
      <c r="D2789" s="7" t="s">
        <v>6515</v>
      </c>
      <c r="E2789" s="6" t="s">
        <v>6516</v>
      </c>
      <c r="F2789" s="8" t="e">
        <f>VLOOKUP($D2789,설문!$C$2:$G$444,3,FALSE)</f>
        <v>#N/A</v>
      </c>
      <c r="G2789" s="8" t="e">
        <f>VLOOKUP($D2789,설문!$C$2:$G$444,4,FALSE)</f>
        <v>#N/A</v>
      </c>
      <c r="H2789" s="8" t="e">
        <f>VLOOKUP($D2789,설문!$C$2:$G$444,5,FALSE)</f>
        <v>#N/A</v>
      </c>
    </row>
    <row r="2790" spans="1:8">
      <c r="A2790" s="6" t="s">
        <v>473</v>
      </c>
      <c r="B2790" s="7" t="s">
        <v>718</v>
      </c>
      <c r="C2790" s="7" t="s">
        <v>718</v>
      </c>
      <c r="D2790" s="7" t="s">
        <v>6517</v>
      </c>
      <c r="E2790" s="6" t="s">
        <v>6518</v>
      </c>
      <c r="F2790" s="8" t="e">
        <f>VLOOKUP($D2790,설문!$C$2:$G$444,3,FALSE)</f>
        <v>#N/A</v>
      </c>
      <c r="G2790" s="8" t="e">
        <f>VLOOKUP($D2790,설문!$C$2:$G$444,4,FALSE)</f>
        <v>#N/A</v>
      </c>
      <c r="H2790" s="8" t="e">
        <f>VLOOKUP($D2790,설문!$C$2:$G$444,5,FALSE)</f>
        <v>#N/A</v>
      </c>
    </row>
    <row r="2791" spans="1:8">
      <c r="A2791" s="6" t="s">
        <v>473</v>
      </c>
      <c r="B2791" s="7" t="s">
        <v>718</v>
      </c>
      <c r="C2791" s="7" t="s">
        <v>718</v>
      </c>
      <c r="D2791" s="7" t="s">
        <v>6519</v>
      </c>
      <c r="E2791" s="6" t="s">
        <v>6520</v>
      </c>
      <c r="F2791" s="8" t="e">
        <f>VLOOKUP($D2791,설문!$C$2:$G$444,3,FALSE)</f>
        <v>#N/A</v>
      </c>
      <c r="G2791" s="8" t="e">
        <f>VLOOKUP($D2791,설문!$C$2:$G$444,4,FALSE)</f>
        <v>#N/A</v>
      </c>
      <c r="H2791" s="8" t="e">
        <f>VLOOKUP($D2791,설문!$C$2:$G$444,5,FALSE)</f>
        <v>#N/A</v>
      </c>
    </row>
    <row r="2792" spans="1:8">
      <c r="A2792" s="6" t="s">
        <v>473</v>
      </c>
      <c r="B2792" s="7" t="s">
        <v>718</v>
      </c>
      <c r="C2792" s="7" t="s">
        <v>718</v>
      </c>
      <c r="D2792" s="7" t="s">
        <v>6521</v>
      </c>
      <c r="E2792" s="6" t="s">
        <v>6522</v>
      </c>
      <c r="F2792" s="8" t="e">
        <f>VLOOKUP($D2792,설문!$C$2:$G$444,3,FALSE)</f>
        <v>#N/A</v>
      </c>
      <c r="G2792" s="8" t="e">
        <f>VLOOKUP($D2792,설문!$C$2:$G$444,4,FALSE)</f>
        <v>#N/A</v>
      </c>
      <c r="H2792" s="8" t="e">
        <f>VLOOKUP($D2792,설문!$C$2:$G$444,5,FALSE)</f>
        <v>#N/A</v>
      </c>
    </row>
    <row r="2793" spans="1:8">
      <c r="A2793" s="6" t="s">
        <v>473</v>
      </c>
      <c r="B2793" s="7" t="s">
        <v>718</v>
      </c>
      <c r="C2793" s="7" t="s">
        <v>718</v>
      </c>
      <c r="D2793" s="7" t="s">
        <v>6523</v>
      </c>
      <c r="E2793" s="6" t="s">
        <v>6524</v>
      </c>
      <c r="F2793" s="8" t="str">
        <f>VLOOKUP($D2793,설문!$C$2:$G$444,3,FALSE)</f>
        <v>브로커</v>
      </c>
      <c r="G2793" s="8" t="str">
        <f>VLOOKUP($D2793,설문!$C$2:$G$444,4,FALSE)</f>
        <v>금융회사</v>
      </c>
      <c r="H2793" s="8" t="str">
        <f>VLOOKUP($D2793,설문!$C$2:$G$444,5,FALSE)</f>
        <v>국고채/통안채,회사채</v>
      </c>
    </row>
    <row r="2794" spans="1:8">
      <c r="A2794" s="6" t="s">
        <v>473</v>
      </c>
      <c r="B2794" s="7" t="s">
        <v>718</v>
      </c>
      <c r="C2794" s="7" t="s">
        <v>718</v>
      </c>
      <c r="D2794" s="7" t="s">
        <v>6525</v>
      </c>
      <c r="E2794" s="6" t="s">
        <v>6526</v>
      </c>
      <c r="F2794" s="8" t="str">
        <f>VLOOKUP($D2794,설문!$C$2:$G$444,3,FALSE)</f>
        <v>백오피스</v>
      </c>
      <c r="G2794" s="8" t="str">
        <f>VLOOKUP($D2794,설문!$C$2:$G$444,4,FALSE)</f>
        <v>금융회사</v>
      </c>
      <c r="H2794" s="8" t="str">
        <f>VLOOKUP($D2794,설문!$C$2:$G$444,5,FALSE)</f>
        <v>국고채/통안채,회사채,소액채권,RP</v>
      </c>
    </row>
    <row r="2795" spans="1:8">
      <c r="A2795" s="6" t="s">
        <v>473</v>
      </c>
      <c r="B2795" s="7" t="s">
        <v>474</v>
      </c>
      <c r="C2795" s="7" t="s">
        <v>474</v>
      </c>
      <c r="D2795" s="7" t="s">
        <v>6527</v>
      </c>
      <c r="E2795" s="6" t="s">
        <v>6528</v>
      </c>
      <c r="F2795" s="8" t="e">
        <f>VLOOKUP($D2795,설문!$C$2:$G$444,3,FALSE)</f>
        <v>#N/A</v>
      </c>
      <c r="G2795" s="8" t="e">
        <f>VLOOKUP($D2795,설문!$C$2:$G$444,4,FALSE)</f>
        <v>#N/A</v>
      </c>
      <c r="H2795" s="8" t="e">
        <f>VLOOKUP($D2795,설문!$C$2:$G$444,5,FALSE)</f>
        <v>#N/A</v>
      </c>
    </row>
    <row r="2796" spans="1:8">
      <c r="A2796" s="6" t="s">
        <v>473</v>
      </c>
      <c r="B2796" s="7" t="s">
        <v>474</v>
      </c>
      <c r="C2796" s="7" t="s">
        <v>474</v>
      </c>
      <c r="D2796" s="7" t="s">
        <v>6529</v>
      </c>
      <c r="E2796" s="6" t="s">
        <v>6530</v>
      </c>
      <c r="F2796" s="8" t="e">
        <f>VLOOKUP($D2796,설문!$C$2:$G$444,3,FALSE)</f>
        <v>#N/A</v>
      </c>
      <c r="G2796" s="8" t="e">
        <f>VLOOKUP($D2796,설문!$C$2:$G$444,4,FALSE)</f>
        <v>#N/A</v>
      </c>
      <c r="H2796" s="8" t="e">
        <f>VLOOKUP($D2796,설문!$C$2:$G$444,5,FALSE)</f>
        <v>#N/A</v>
      </c>
    </row>
    <row r="2797" spans="1:8">
      <c r="A2797" s="6" t="s">
        <v>473</v>
      </c>
      <c r="B2797" s="7" t="s">
        <v>474</v>
      </c>
      <c r="C2797" s="7" t="s">
        <v>474</v>
      </c>
      <c r="D2797" s="7" t="s">
        <v>6531</v>
      </c>
      <c r="E2797" s="6" t="s">
        <v>6532</v>
      </c>
      <c r="F2797" s="8" t="str">
        <f>VLOOKUP($D2797,설문!$C$2:$G$444,3,FALSE)</f>
        <v>펀드매니저</v>
      </c>
      <c r="G2797" s="8" t="str">
        <f>VLOOKUP($D2797,설문!$C$2:$G$444,4,FALSE)</f>
        <v>기타</v>
      </c>
      <c r="H2797" s="8" t="str">
        <f>VLOOKUP($D2797,설문!$C$2:$G$444,5,FALSE)</f>
        <v>국내주식/지수관련파생</v>
      </c>
    </row>
    <row r="2798" spans="1:8">
      <c r="A2798" s="6" t="s">
        <v>473</v>
      </c>
      <c r="B2798" s="7" t="s">
        <v>474</v>
      </c>
      <c r="C2798" s="7" t="s">
        <v>474</v>
      </c>
      <c r="D2798" s="7" t="s">
        <v>6533</v>
      </c>
      <c r="E2798" s="6" t="s">
        <v>6534</v>
      </c>
      <c r="F2798" s="8" t="e">
        <f>VLOOKUP($D2798,설문!$C$2:$G$444,3,FALSE)</f>
        <v>#N/A</v>
      </c>
      <c r="G2798" s="8" t="e">
        <f>VLOOKUP($D2798,설문!$C$2:$G$444,4,FALSE)</f>
        <v>#N/A</v>
      </c>
      <c r="H2798" s="8" t="e">
        <f>VLOOKUP($D2798,설문!$C$2:$G$444,5,FALSE)</f>
        <v>#N/A</v>
      </c>
    </row>
    <row r="2799" spans="1:8">
      <c r="A2799" s="6" t="s">
        <v>473</v>
      </c>
      <c r="B2799" s="7" t="s">
        <v>474</v>
      </c>
      <c r="C2799" s="7" t="s">
        <v>474</v>
      </c>
      <c r="D2799" s="7" t="s">
        <v>6535</v>
      </c>
      <c r="E2799" s="6" t="s">
        <v>6536</v>
      </c>
      <c r="F2799" s="8" t="e">
        <f>VLOOKUP($D2799,설문!$C$2:$G$444,3,FALSE)</f>
        <v>#N/A</v>
      </c>
      <c r="G2799" s="8" t="e">
        <f>VLOOKUP($D2799,설문!$C$2:$G$444,4,FALSE)</f>
        <v>#N/A</v>
      </c>
      <c r="H2799" s="8" t="e">
        <f>VLOOKUP($D2799,설문!$C$2:$G$444,5,FALSE)</f>
        <v>#N/A</v>
      </c>
    </row>
    <row r="2800" spans="1:8">
      <c r="A2800" s="6" t="s">
        <v>473</v>
      </c>
      <c r="B2800" s="7" t="s">
        <v>474</v>
      </c>
      <c r="C2800" s="7" t="s">
        <v>474</v>
      </c>
      <c r="D2800" s="7" t="s">
        <v>6537</v>
      </c>
      <c r="E2800" s="6" t="s">
        <v>6538</v>
      </c>
      <c r="F2800" s="8" t="e">
        <f>VLOOKUP($D2800,설문!$C$2:$G$444,3,FALSE)</f>
        <v>#N/A</v>
      </c>
      <c r="G2800" s="8" t="e">
        <f>VLOOKUP($D2800,설문!$C$2:$G$444,4,FALSE)</f>
        <v>#N/A</v>
      </c>
      <c r="H2800" s="8" t="e">
        <f>VLOOKUP($D2800,설문!$C$2:$G$444,5,FALSE)</f>
        <v>#N/A</v>
      </c>
    </row>
    <row r="2801" spans="1:8">
      <c r="A2801" s="6" t="s">
        <v>473</v>
      </c>
      <c r="B2801" s="7" t="s">
        <v>1115</v>
      </c>
      <c r="C2801" s="7" t="s">
        <v>1115</v>
      </c>
      <c r="D2801" s="7" t="s">
        <v>6539</v>
      </c>
      <c r="E2801" s="6" t="s">
        <v>6540</v>
      </c>
      <c r="F2801" s="8" t="e">
        <f>VLOOKUP($D2801,설문!$C$2:$G$444,3,FALSE)</f>
        <v>#N/A</v>
      </c>
      <c r="G2801" s="8" t="e">
        <f>VLOOKUP($D2801,설문!$C$2:$G$444,4,FALSE)</f>
        <v>#N/A</v>
      </c>
      <c r="H2801" s="8" t="e">
        <f>VLOOKUP($D2801,설문!$C$2:$G$444,5,FALSE)</f>
        <v>#N/A</v>
      </c>
    </row>
    <row r="2802" spans="1:8">
      <c r="A2802" s="6" t="s">
        <v>473</v>
      </c>
      <c r="B2802" s="7" t="s">
        <v>1115</v>
      </c>
      <c r="C2802" s="7" t="s">
        <v>1115</v>
      </c>
      <c r="D2802" s="7" t="s">
        <v>6541</v>
      </c>
      <c r="E2802" s="6" t="s">
        <v>2923</v>
      </c>
      <c r="F2802" s="8" t="e">
        <f>VLOOKUP($D2802,설문!$C$2:$G$444,3,FALSE)</f>
        <v>#N/A</v>
      </c>
      <c r="G2802" s="8" t="e">
        <f>VLOOKUP($D2802,설문!$C$2:$G$444,4,FALSE)</f>
        <v>#N/A</v>
      </c>
      <c r="H2802" s="8" t="e">
        <f>VLOOKUP($D2802,설문!$C$2:$G$444,5,FALSE)</f>
        <v>#N/A</v>
      </c>
    </row>
    <row r="2803" spans="1:8">
      <c r="A2803" s="6" t="s">
        <v>473</v>
      </c>
      <c r="B2803" s="7" t="s">
        <v>1131</v>
      </c>
      <c r="C2803" s="7" t="s">
        <v>1131</v>
      </c>
      <c r="D2803" s="7" t="s">
        <v>6542</v>
      </c>
      <c r="E2803" s="6" t="s">
        <v>6543</v>
      </c>
      <c r="F2803" s="8" t="str">
        <f>VLOOKUP($D2803,설문!$C$2:$G$444,3,FALSE)</f>
        <v>리스크관리(미들)</v>
      </c>
      <c r="G2803" s="8" t="str">
        <f>VLOOKUP($D2803,설문!$C$2:$G$444,4,FALSE)</f>
        <v>금융회사,금융 유관기관</v>
      </c>
      <c r="H2803" s="8" t="str">
        <f>VLOOKUP($D2803,설문!$C$2:$G$444,5,FALSE)</f>
        <v>국내주식/지수,국고채/통안채,소액채권,RP,단기자금,국채선물,국내주식/지수관련파생,IB(발행, M&amp;A 등),대체투자(부동산/인프라)</v>
      </c>
    </row>
    <row r="2804" spans="1:8">
      <c r="A2804" s="6" t="s">
        <v>473</v>
      </c>
      <c r="B2804" s="7" t="s">
        <v>3032</v>
      </c>
      <c r="C2804" s="7" t="s">
        <v>3032</v>
      </c>
      <c r="D2804" s="7" t="s">
        <v>6544</v>
      </c>
      <c r="E2804" s="6" t="s">
        <v>6545</v>
      </c>
      <c r="F2804" s="8" t="e">
        <f>VLOOKUP($D2804,설문!$C$2:$G$444,3,FALSE)</f>
        <v>#N/A</v>
      </c>
      <c r="G2804" s="8" t="e">
        <f>VLOOKUP($D2804,설문!$C$2:$G$444,4,FALSE)</f>
        <v>#N/A</v>
      </c>
      <c r="H2804" s="8" t="e">
        <f>VLOOKUP($D2804,설문!$C$2:$G$444,5,FALSE)</f>
        <v>#N/A</v>
      </c>
    </row>
    <row r="2805" spans="1:8">
      <c r="A2805" s="6" t="s">
        <v>473</v>
      </c>
      <c r="B2805" s="7" t="s">
        <v>6514</v>
      </c>
      <c r="C2805" s="7" t="s">
        <v>6514</v>
      </c>
      <c r="D2805" s="7" t="s">
        <v>6546</v>
      </c>
      <c r="E2805" s="6" t="s">
        <v>6547</v>
      </c>
      <c r="F2805" s="8" t="e">
        <f>VLOOKUP($D2805,설문!$C$2:$G$444,3,FALSE)</f>
        <v>#N/A</v>
      </c>
      <c r="G2805" s="8" t="e">
        <f>VLOOKUP($D2805,설문!$C$2:$G$444,4,FALSE)</f>
        <v>#N/A</v>
      </c>
      <c r="H2805" s="8" t="e">
        <f>VLOOKUP($D2805,설문!$C$2:$G$444,5,FALSE)</f>
        <v>#N/A</v>
      </c>
    </row>
    <row r="2806" spans="1:8">
      <c r="A2806" s="6" t="s">
        <v>168</v>
      </c>
      <c r="B2806" s="7" t="s">
        <v>116</v>
      </c>
      <c r="C2806" s="7" t="s">
        <v>169</v>
      </c>
      <c r="D2806" s="7" t="s">
        <v>170</v>
      </c>
      <c r="E2806" s="6" t="s">
        <v>171</v>
      </c>
      <c r="F2806" s="8" t="e">
        <f>VLOOKUP($D2806,설문!$C$2:$G$444,3,FALSE)</f>
        <v>#N/A</v>
      </c>
      <c r="G2806" s="8" t="e">
        <f>VLOOKUP($D2806,설문!$C$2:$G$444,4,FALSE)</f>
        <v>#N/A</v>
      </c>
      <c r="H2806" s="8" t="e">
        <f>VLOOKUP($D2806,설문!$C$2:$G$444,5,FALSE)</f>
        <v>#N/A</v>
      </c>
    </row>
    <row r="2807" spans="1:8">
      <c r="A2807" s="6" t="s">
        <v>168</v>
      </c>
      <c r="B2807" s="7" t="s">
        <v>1782</v>
      </c>
      <c r="C2807" s="7" t="s">
        <v>697</v>
      </c>
      <c r="D2807" s="7" t="s">
        <v>1783</v>
      </c>
      <c r="E2807" s="6" t="s">
        <v>1784</v>
      </c>
      <c r="F2807" s="8" t="e">
        <f>VLOOKUP($D2807,설문!$C$2:$G$444,3,FALSE)</f>
        <v>#N/A</v>
      </c>
      <c r="G2807" s="8" t="e">
        <f>VLOOKUP($D2807,설문!$C$2:$G$444,4,FALSE)</f>
        <v>#N/A</v>
      </c>
      <c r="H2807" s="8" t="e">
        <f>VLOOKUP($D2807,설문!$C$2:$G$444,5,FALSE)</f>
        <v>#N/A</v>
      </c>
    </row>
    <row r="2808" spans="1:8">
      <c r="A2808" s="6" t="s">
        <v>168</v>
      </c>
      <c r="B2808" s="7" t="s">
        <v>2505</v>
      </c>
      <c r="C2808" s="7" t="s">
        <v>2505</v>
      </c>
      <c r="D2808" s="7" t="s">
        <v>2646</v>
      </c>
      <c r="E2808" s="6" t="s">
        <v>2647</v>
      </c>
      <c r="F2808" s="8" t="e">
        <f>VLOOKUP($D2808,설문!$C$2:$G$444,3,FALSE)</f>
        <v>#N/A</v>
      </c>
      <c r="G2808" s="8" t="e">
        <f>VLOOKUP($D2808,설문!$C$2:$G$444,4,FALSE)</f>
        <v>#N/A</v>
      </c>
      <c r="H2808" s="8" t="e">
        <f>VLOOKUP($D2808,설문!$C$2:$G$444,5,FALSE)</f>
        <v>#N/A</v>
      </c>
    </row>
    <row r="2809" spans="1:8">
      <c r="A2809" s="6" t="s">
        <v>168</v>
      </c>
      <c r="B2809" s="7" t="s">
        <v>2648</v>
      </c>
      <c r="C2809" s="7" t="s">
        <v>2648</v>
      </c>
      <c r="D2809" s="7" t="s">
        <v>2649</v>
      </c>
      <c r="E2809" s="6" t="s">
        <v>2332</v>
      </c>
      <c r="F2809" s="8" t="e">
        <f>VLOOKUP($D2809,설문!$C$2:$G$444,3,FALSE)</f>
        <v>#N/A</v>
      </c>
      <c r="G2809" s="8" t="e">
        <f>VLOOKUP($D2809,설문!$C$2:$G$444,4,FALSE)</f>
        <v>#N/A</v>
      </c>
      <c r="H2809" s="8" t="e">
        <f>VLOOKUP($D2809,설문!$C$2:$G$444,5,FALSE)</f>
        <v>#N/A</v>
      </c>
    </row>
    <row r="2810" spans="1:8">
      <c r="A2810" s="6" t="s">
        <v>168</v>
      </c>
      <c r="B2810" s="7" t="s">
        <v>2650</v>
      </c>
      <c r="C2810" s="7" t="s">
        <v>2650</v>
      </c>
      <c r="D2810" s="7" t="s">
        <v>2651</v>
      </c>
      <c r="E2810" s="6" t="s">
        <v>2652</v>
      </c>
      <c r="F2810" s="8" t="e">
        <f>VLOOKUP($D2810,설문!$C$2:$G$444,3,FALSE)</f>
        <v>#N/A</v>
      </c>
      <c r="G2810" s="8" t="e">
        <f>VLOOKUP($D2810,설문!$C$2:$G$444,4,FALSE)</f>
        <v>#N/A</v>
      </c>
      <c r="H2810" s="8" t="e">
        <f>VLOOKUP($D2810,설문!$C$2:$G$444,5,FALSE)</f>
        <v>#N/A</v>
      </c>
    </row>
    <row r="2811" spans="1:8">
      <c r="A2811" s="6" t="s">
        <v>168</v>
      </c>
      <c r="B2811" s="7" t="s">
        <v>2653</v>
      </c>
      <c r="C2811" s="7" t="s">
        <v>2654</v>
      </c>
      <c r="D2811" s="7" t="s">
        <v>2655</v>
      </c>
      <c r="E2811" s="6" t="s">
        <v>2656</v>
      </c>
      <c r="F2811" s="8" t="e">
        <f>VLOOKUP($D2811,설문!$C$2:$G$444,3,FALSE)</f>
        <v>#N/A</v>
      </c>
      <c r="G2811" s="8" t="e">
        <f>VLOOKUP($D2811,설문!$C$2:$G$444,4,FALSE)</f>
        <v>#N/A</v>
      </c>
      <c r="H2811" s="8" t="e">
        <f>VLOOKUP($D2811,설문!$C$2:$G$444,5,FALSE)</f>
        <v>#N/A</v>
      </c>
    </row>
    <row r="2812" spans="1:8">
      <c r="A2812" s="6" t="s">
        <v>168</v>
      </c>
      <c r="B2812" s="7" t="s">
        <v>116</v>
      </c>
      <c r="C2812" s="7" t="s">
        <v>2657</v>
      </c>
      <c r="D2812" s="7" t="s">
        <v>2658</v>
      </c>
      <c r="E2812" s="6" t="s">
        <v>2659</v>
      </c>
      <c r="F2812" s="8" t="e">
        <f>VLOOKUP($D2812,설문!$C$2:$G$444,3,FALSE)</f>
        <v>#N/A</v>
      </c>
      <c r="G2812" s="8" t="e">
        <f>VLOOKUP($D2812,설문!$C$2:$G$444,4,FALSE)</f>
        <v>#N/A</v>
      </c>
      <c r="H2812" s="8" t="e">
        <f>VLOOKUP($D2812,설문!$C$2:$G$444,5,FALSE)</f>
        <v>#N/A</v>
      </c>
    </row>
    <row r="2813" spans="1:8">
      <c r="A2813" s="6" t="s">
        <v>168</v>
      </c>
      <c r="B2813" s="7" t="s">
        <v>116</v>
      </c>
      <c r="C2813" s="7" t="s">
        <v>116</v>
      </c>
      <c r="D2813" s="7" t="s">
        <v>2660</v>
      </c>
      <c r="E2813" s="6" t="s">
        <v>2661</v>
      </c>
      <c r="F2813" s="8" t="e">
        <f>VLOOKUP($D2813,설문!$C$2:$G$444,3,FALSE)</f>
        <v>#N/A</v>
      </c>
      <c r="G2813" s="8" t="e">
        <f>VLOOKUP($D2813,설문!$C$2:$G$444,4,FALSE)</f>
        <v>#N/A</v>
      </c>
      <c r="H2813" s="8" t="e">
        <f>VLOOKUP($D2813,설문!$C$2:$G$444,5,FALSE)</f>
        <v>#N/A</v>
      </c>
    </row>
    <row r="2814" spans="1:8">
      <c r="A2814" s="6" t="s">
        <v>168</v>
      </c>
      <c r="B2814" s="7" t="s">
        <v>74</v>
      </c>
      <c r="C2814" s="7" t="s">
        <v>74</v>
      </c>
      <c r="D2814" s="7" t="s">
        <v>2662</v>
      </c>
      <c r="E2814" s="6" t="s">
        <v>2663</v>
      </c>
      <c r="F2814" s="8" t="e">
        <f>VLOOKUP($D2814,설문!$C$2:$G$444,3,FALSE)</f>
        <v>#N/A</v>
      </c>
      <c r="G2814" s="8" t="e">
        <f>VLOOKUP($D2814,설문!$C$2:$G$444,4,FALSE)</f>
        <v>#N/A</v>
      </c>
      <c r="H2814" s="8" t="e">
        <f>VLOOKUP($D2814,설문!$C$2:$G$444,5,FALSE)</f>
        <v>#N/A</v>
      </c>
    </row>
    <row r="2815" spans="1:8">
      <c r="A2815" s="6" t="s">
        <v>168</v>
      </c>
      <c r="B2815" s="7" t="s">
        <v>74</v>
      </c>
      <c r="C2815" s="7" t="s">
        <v>74</v>
      </c>
      <c r="D2815" s="7" t="s">
        <v>2664</v>
      </c>
      <c r="E2815" s="6" t="s">
        <v>862</v>
      </c>
      <c r="F2815" s="8" t="str">
        <f>VLOOKUP($D2815,설문!$C$2:$G$444,3,FALSE)</f>
        <v>기타</v>
      </c>
      <c r="G2815" s="8" t="str">
        <f>VLOOKUP($D2815,설문!$C$2:$G$444,4,FALSE)</f>
        <v>금융회사,금융 유관기관,개인고객</v>
      </c>
      <c r="H2815" s="8" t="str">
        <f>VLOOKUP($D2815,설문!$C$2:$G$444,5,FALSE)</f>
        <v>국내주식/지수,국고채/통안채,회사채,RP,단기자금</v>
      </c>
    </row>
    <row r="2816" spans="1:8">
      <c r="A2816" s="6" t="s">
        <v>168</v>
      </c>
      <c r="B2816" s="7" t="s">
        <v>74</v>
      </c>
      <c r="C2816" s="7" t="s">
        <v>74</v>
      </c>
      <c r="D2816" s="7" t="s">
        <v>2665</v>
      </c>
      <c r="E2816" s="6" t="s">
        <v>2666</v>
      </c>
      <c r="F2816" s="8" t="e">
        <f>VLOOKUP($D2816,설문!$C$2:$G$444,3,FALSE)</f>
        <v>#N/A</v>
      </c>
      <c r="G2816" s="8" t="e">
        <f>VLOOKUP($D2816,설문!$C$2:$G$444,4,FALSE)</f>
        <v>#N/A</v>
      </c>
      <c r="H2816" s="8" t="e">
        <f>VLOOKUP($D2816,설문!$C$2:$G$444,5,FALSE)</f>
        <v>#N/A</v>
      </c>
    </row>
    <row r="2817" spans="1:8">
      <c r="A2817" s="6" t="s">
        <v>168</v>
      </c>
      <c r="B2817" s="7" t="s">
        <v>2650</v>
      </c>
      <c r="C2817" s="7" t="s">
        <v>2650</v>
      </c>
      <c r="D2817" s="7" t="s">
        <v>2667</v>
      </c>
      <c r="E2817" s="6" t="s">
        <v>2668</v>
      </c>
      <c r="F2817" s="8" t="e">
        <f>VLOOKUP($D2817,설문!$C$2:$G$444,3,FALSE)</f>
        <v>#N/A</v>
      </c>
      <c r="G2817" s="8" t="e">
        <f>VLOOKUP($D2817,설문!$C$2:$G$444,4,FALSE)</f>
        <v>#N/A</v>
      </c>
      <c r="H2817" s="8" t="e">
        <f>VLOOKUP($D2817,설문!$C$2:$G$444,5,FALSE)</f>
        <v>#N/A</v>
      </c>
    </row>
    <row r="2818" spans="1:8">
      <c r="A2818" s="6" t="s">
        <v>168</v>
      </c>
      <c r="B2818" s="7" t="s">
        <v>2653</v>
      </c>
      <c r="C2818" s="7" t="s">
        <v>2654</v>
      </c>
      <c r="D2818" s="7" t="s">
        <v>2669</v>
      </c>
      <c r="E2818" s="6" t="s">
        <v>2347</v>
      </c>
      <c r="F2818" s="8" t="e">
        <f>VLOOKUP($D2818,설문!$C$2:$G$444,3,FALSE)</f>
        <v>#N/A</v>
      </c>
      <c r="G2818" s="8" t="e">
        <f>VLOOKUP($D2818,설문!$C$2:$G$444,4,FALSE)</f>
        <v>#N/A</v>
      </c>
      <c r="H2818" s="8" t="e">
        <f>VLOOKUP($D2818,설문!$C$2:$G$444,5,FALSE)</f>
        <v>#N/A</v>
      </c>
    </row>
    <row r="2819" spans="1:8">
      <c r="A2819" s="6" t="s">
        <v>522</v>
      </c>
      <c r="B2819" s="7" t="s">
        <v>9</v>
      </c>
      <c r="C2819" s="7" t="s">
        <v>523</v>
      </c>
      <c r="D2819" s="7" t="s">
        <v>524</v>
      </c>
      <c r="E2819" s="6" t="s">
        <v>525</v>
      </c>
      <c r="F2819" s="8" t="e">
        <f>VLOOKUP($D2819,설문!$C$2:$G$444,3,FALSE)</f>
        <v>#N/A</v>
      </c>
      <c r="G2819" s="8" t="e">
        <f>VLOOKUP($D2819,설문!$C$2:$G$444,4,FALSE)</f>
        <v>#N/A</v>
      </c>
      <c r="H2819" s="8" t="e">
        <f>VLOOKUP($D2819,설문!$C$2:$G$444,5,FALSE)</f>
        <v>#N/A</v>
      </c>
    </row>
    <row r="2820" spans="1:8">
      <c r="A2820" s="6" t="s">
        <v>327</v>
      </c>
      <c r="B2820" s="7" t="s">
        <v>328</v>
      </c>
      <c r="C2820" s="7" t="s">
        <v>328</v>
      </c>
      <c r="D2820" s="7" t="s">
        <v>329</v>
      </c>
      <c r="E2820" s="6" t="s">
        <v>330</v>
      </c>
      <c r="F2820" s="8" t="e">
        <f>VLOOKUP($D2820,설문!$C$2:$G$444,3,FALSE)</f>
        <v>#N/A</v>
      </c>
      <c r="G2820" s="8" t="e">
        <f>VLOOKUP($D2820,설문!$C$2:$G$444,4,FALSE)</f>
        <v>#N/A</v>
      </c>
      <c r="H2820" s="8" t="e">
        <f>VLOOKUP($D2820,설문!$C$2:$G$444,5,FALSE)</f>
        <v>#N/A</v>
      </c>
    </row>
    <row r="2821" spans="1:8">
      <c r="A2821" s="6" t="s">
        <v>327</v>
      </c>
      <c r="B2821" s="7" t="s">
        <v>328</v>
      </c>
      <c r="C2821" s="7" t="s">
        <v>328</v>
      </c>
      <c r="D2821" s="7" t="s">
        <v>581</v>
      </c>
      <c r="E2821" s="6" t="s">
        <v>582</v>
      </c>
      <c r="F2821" s="8" t="e">
        <f>VLOOKUP($D2821,설문!$C$2:$G$444,3,FALSE)</f>
        <v>#N/A</v>
      </c>
      <c r="G2821" s="8" t="e">
        <f>VLOOKUP($D2821,설문!$C$2:$G$444,4,FALSE)</f>
        <v>#N/A</v>
      </c>
      <c r="H2821" s="8" t="e">
        <f>VLOOKUP($D2821,설문!$C$2:$G$444,5,FALSE)</f>
        <v>#N/A</v>
      </c>
    </row>
    <row r="2822" spans="1:8">
      <c r="A2822" s="6" t="s">
        <v>327</v>
      </c>
      <c r="B2822" s="7" t="s">
        <v>844</v>
      </c>
      <c r="C2822" s="7" t="s">
        <v>844</v>
      </c>
      <c r="D2822" s="7" t="s">
        <v>845</v>
      </c>
      <c r="E2822" s="6" t="s">
        <v>846</v>
      </c>
      <c r="F2822" s="8" t="e">
        <f>VLOOKUP($D2822,설문!$C$2:$G$444,3,FALSE)</f>
        <v>#N/A</v>
      </c>
      <c r="G2822" s="8" t="e">
        <f>VLOOKUP($D2822,설문!$C$2:$G$444,4,FALSE)</f>
        <v>#N/A</v>
      </c>
      <c r="H2822" s="8" t="e">
        <f>VLOOKUP($D2822,설문!$C$2:$G$444,5,FALSE)</f>
        <v>#N/A</v>
      </c>
    </row>
    <row r="2823" spans="1:8">
      <c r="A2823" s="6" t="s">
        <v>327</v>
      </c>
      <c r="B2823" s="7" t="s">
        <v>956</v>
      </c>
      <c r="C2823" s="7" t="s">
        <v>956</v>
      </c>
      <c r="D2823" s="7" t="s">
        <v>957</v>
      </c>
      <c r="E2823" s="6" t="s">
        <v>958</v>
      </c>
      <c r="F2823" s="8" t="e">
        <f>VLOOKUP($D2823,설문!$C$2:$G$444,3,FALSE)</f>
        <v>#N/A</v>
      </c>
      <c r="G2823" s="8" t="e">
        <f>VLOOKUP($D2823,설문!$C$2:$G$444,4,FALSE)</f>
        <v>#N/A</v>
      </c>
      <c r="H2823" s="8" t="e">
        <f>VLOOKUP($D2823,설문!$C$2:$G$444,5,FALSE)</f>
        <v>#N/A</v>
      </c>
    </row>
    <row r="2824" spans="1:8">
      <c r="A2824" s="6" t="s">
        <v>327</v>
      </c>
      <c r="B2824" s="7" t="s">
        <v>959</v>
      </c>
      <c r="C2824" s="7" t="s">
        <v>959</v>
      </c>
      <c r="D2824" s="7" t="s">
        <v>960</v>
      </c>
      <c r="E2824" s="6" t="s">
        <v>961</v>
      </c>
      <c r="F2824" s="8" t="e">
        <f>VLOOKUP($D2824,설문!$C$2:$G$444,3,FALSE)</f>
        <v>#N/A</v>
      </c>
      <c r="G2824" s="8" t="e">
        <f>VLOOKUP($D2824,설문!$C$2:$G$444,4,FALSE)</f>
        <v>#N/A</v>
      </c>
      <c r="H2824" s="8" t="e">
        <f>VLOOKUP($D2824,설문!$C$2:$G$444,5,FALSE)</f>
        <v>#N/A</v>
      </c>
    </row>
    <row r="2825" spans="1:8">
      <c r="A2825" s="6" t="s">
        <v>327</v>
      </c>
      <c r="B2825" s="7" t="s">
        <v>1122</v>
      </c>
      <c r="C2825" s="7" t="s">
        <v>1123</v>
      </c>
      <c r="D2825" s="7" t="s">
        <v>1124</v>
      </c>
      <c r="E2825" s="6" t="s">
        <v>1125</v>
      </c>
      <c r="F2825" s="8" t="e">
        <f>VLOOKUP($D2825,설문!$C$2:$G$444,3,FALSE)</f>
        <v>#N/A</v>
      </c>
      <c r="G2825" s="8" t="e">
        <f>VLOOKUP($D2825,설문!$C$2:$G$444,4,FALSE)</f>
        <v>#N/A</v>
      </c>
      <c r="H2825" s="8" t="e">
        <f>VLOOKUP($D2825,설문!$C$2:$G$444,5,FALSE)</f>
        <v>#N/A</v>
      </c>
    </row>
    <row r="2826" spans="1:8">
      <c r="A2826" s="6" t="s">
        <v>327</v>
      </c>
      <c r="B2826" s="7" t="s">
        <v>959</v>
      </c>
      <c r="C2826" s="7" t="s">
        <v>959</v>
      </c>
      <c r="D2826" s="7" t="s">
        <v>1488</v>
      </c>
      <c r="E2826" s="6" t="s">
        <v>1489</v>
      </c>
      <c r="F2826" s="8" t="e">
        <f>VLOOKUP($D2826,설문!$C$2:$G$444,3,FALSE)</f>
        <v>#N/A</v>
      </c>
      <c r="G2826" s="8" t="e">
        <f>VLOOKUP($D2826,설문!$C$2:$G$444,4,FALSE)</f>
        <v>#N/A</v>
      </c>
      <c r="H2826" s="8" t="e">
        <f>VLOOKUP($D2826,설문!$C$2:$G$444,5,FALSE)</f>
        <v>#N/A</v>
      </c>
    </row>
    <row r="2827" spans="1:8">
      <c r="A2827" s="6" t="s">
        <v>327</v>
      </c>
      <c r="B2827" s="7" t="s">
        <v>1490</v>
      </c>
      <c r="C2827" s="7" t="s">
        <v>1490</v>
      </c>
      <c r="D2827" s="7" t="s">
        <v>1491</v>
      </c>
      <c r="E2827" s="6" t="s">
        <v>1492</v>
      </c>
      <c r="F2827" s="8" t="e">
        <f>VLOOKUP($D2827,설문!$C$2:$G$444,3,FALSE)</f>
        <v>#N/A</v>
      </c>
      <c r="G2827" s="8" t="e">
        <f>VLOOKUP($D2827,설문!$C$2:$G$444,4,FALSE)</f>
        <v>#N/A</v>
      </c>
      <c r="H2827" s="8" t="e">
        <f>VLOOKUP($D2827,설문!$C$2:$G$444,5,FALSE)</f>
        <v>#N/A</v>
      </c>
    </row>
    <row r="2828" spans="1:8">
      <c r="A2828" s="6" t="s">
        <v>327</v>
      </c>
      <c r="B2828" s="7" t="s">
        <v>1647</v>
      </c>
      <c r="C2828" s="7" t="s">
        <v>1647</v>
      </c>
      <c r="D2828" s="7" t="s">
        <v>1648</v>
      </c>
      <c r="E2828" s="6" t="s">
        <v>862</v>
      </c>
      <c r="F2828" s="8" t="str">
        <f>VLOOKUP($D2828,설문!$C$2:$G$444,3,FALSE)</f>
        <v>펀드매니저</v>
      </c>
      <c r="G2828" s="8" t="str">
        <f>VLOOKUP($D2828,설문!$C$2:$G$444,4,FALSE)</f>
        <v>금융회사</v>
      </c>
      <c r="H2828" s="8" t="str">
        <f>VLOOKUP($D2828,설문!$C$2:$G$444,5,FALSE)</f>
        <v>국고채/통안채,회사채,단기자금,국채선물</v>
      </c>
    </row>
    <row r="2829" spans="1:8">
      <c r="A2829" s="6" t="s">
        <v>327</v>
      </c>
      <c r="B2829" s="7" t="s">
        <v>3316</v>
      </c>
      <c r="C2829" s="7" t="s">
        <v>3316</v>
      </c>
      <c r="D2829" s="7" t="s">
        <v>3317</v>
      </c>
      <c r="E2829" s="6" t="s">
        <v>3318</v>
      </c>
      <c r="F2829" s="8" t="e">
        <f>VLOOKUP($D2829,설문!$C$2:$G$444,3,FALSE)</f>
        <v>#N/A</v>
      </c>
      <c r="G2829" s="8" t="e">
        <f>VLOOKUP($D2829,설문!$C$2:$G$444,4,FALSE)</f>
        <v>#N/A</v>
      </c>
      <c r="H2829" s="8" t="e">
        <f>VLOOKUP($D2829,설문!$C$2:$G$444,5,FALSE)</f>
        <v>#N/A</v>
      </c>
    </row>
    <row r="2830" spans="1:8">
      <c r="A2830" s="6" t="s">
        <v>327</v>
      </c>
      <c r="B2830" s="7" t="s">
        <v>3319</v>
      </c>
      <c r="C2830" s="7" t="s">
        <v>3319</v>
      </c>
      <c r="D2830" s="7" t="s">
        <v>3320</v>
      </c>
      <c r="E2830" s="6" t="s">
        <v>3321</v>
      </c>
      <c r="F2830" s="8" t="e">
        <f>VLOOKUP($D2830,설문!$C$2:$G$444,3,FALSE)</f>
        <v>#N/A</v>
      </c>
      <c r="G2830" s="8" t="e">
        <f>VLOOKUP($D2830,설문!$C$2:$G$444,4,FALSE)</f>
        <v>#N/A</v>
      </c>
      <c r="H2830" s="8" t="e">
        <f>VLOOKUP($D2830,설문!$C$2:$G$444,5,FALSE)</f>
        <v>#N/A</v>
      </c>
    </row>
    <row r="2831" spans="1:8">
      <c r="A2831" s="6" t="s">
        <v>327</v>
      </c>
      <c r="B2831" s="7" t="s">
        <v>1647</v>
      </c>
      <c r="C2831" s="7" t="s">
        <v>1647</v>
      </c>
      <c r="D2831" s="7" t="s">
        <v>3322</v>
      </c>
      <c r="E2831" s="6" t="s">
        <v>3323</v>
      </c>
      <c r="F2831" s="8" t="str">
        <f>VLOOKUP($D2831,설문!$C$2:$G$444,3,FALSE)</f>
        <v>펀드매니저</v>
      </c>
      <c r="G2831" s="8" t="str">
        <f>VLOOKUP($D2831,설문!$C$2:$G$444,4,FALSE)</f>
        <v>금융회사</v>
      </c>
      <c r="H2831" s="8" t="str">
        <f>VLOOKUP($D2831,설문!$C$2:$G$444,5,FALSE)</f>
        <v>국고채/통안채,회사채,국채선물</v>
      </c>
    </row>
    <row r="2832" spans="1:8">
      <c r="A2832" s="6" t="s">
        <v>327</v>
      </c>
      <c r="B2832" s="7" t="s">
        <v>1122</v>
      </c>
      <c r="C2832" s="7" t="s">
        <v>1122</v>
      </c>
      <c r="D2832" s="7" t="s">
        <v>3324</v>
      </c>
      <c r="E2832" s="6" t="s">
        <v>3325</v>
      </c>
      <c r="F2832" s="8" t="e">
        <f>VLOOKUP($D2832,설문!$C$2:$G$444,3,FALSE)</f>
        <v>#N/A</v>
      </c>
      <c r="G2832" s="8" t="e">
        <f>VLOOKUP($D2832,설문!$C$2:$G$444,4,FALSE)</f>
        <v>#N/A</v>
      </c>
      <c r="H2832" s="8" t="e">
        <f>VLOOKUP($D2832,설문!$C$2:$G$444,5,FALSE)</f>
        <v>#N/A</v>
      </c>
    </row>
    <row r="2833" spans="1:8">
      <c r="A2833" s="6" t="s">
        <v>327</v>
      </c>
      <c r="B2833" s="7" t="s">
        <v>3326</v>
      </c>
      <c r="C2833" s="7" t="s">
        <v>3326</v>
      </c>
      <c r="D2833" s="7" t="s">
        <v>3327</v>
      </c>
      <c r="E2833" s="6" t="s">
        <v>3328</v>
      </c>
      <c r="F2833" s="8" t="str">
        <f>VLOOKUP($D2833,설문!$C$2:$G$444,3,FALSE)</f>
        <v>분석 및 전략</v>
      </c>
      <c r="G2833" s="8" t="str">
        <f>VLOOKUP($D2833,설문!$C$2:$G$444,4,FALSE)</f>
        <v>금융회사</v>
      </c>
      <c r="H2833" s="8" t="str">
        <f>VLOOKUP($D2833,설문!$C$2:$G$444,5,FALSE)</f>
        <v>FX Spot &amp; FX Swap,해외주식/지수</v>
      </c>
    </row>
    <row r="2834" spans="1:8">
      <c r="A2834" s="6" t="s">
        <v>327</v>
      </c>
      <c r="B2834" s="7" t="s">
        <v>3329</v>
      </c>
      <c r="C2834" s="7" t="s">
        <v>3329</v>
      </c>
      <c r="D2834" s="7" t="s">
        <v>3330</v>
      </c>
      <c r="E2834" s="6" t="s">
        <v>1712</v>
      </c>
      <c r="F2834" s="8" t="e">
        <f>VLOOKUP($D2834,설문!$C$2:$G$444,3,FALSE)</f>
        <v>#N/A</v>
      </c>
      <c r="G2834" s="8" t="e">
        <f>VLOOKUP($D2834,설문!$C$2:$G$444,4,FALSE)</f>
        <v>#N/A</v>
      </c>
      <c r="H2834" s="8" t="e">
        <f>VLOOKUP($D2834,설문!$C$2:$G$444,5,FALSE)</f>
        <v>#N/A</v>
      </c>
    </row>
    <row r="2835" spans="1:8">
      <c r="A2835" s="6" t="s">
        <v>327</v>
      </c>
      <c r="B2835" s="7" t="s">
        <v>48</v>
      </c>
      <c r="C2835" s="7" t="s">
        <v>48</v>
      </c>
      <c r="D2835" s="7" t="s">
        <v>3331</v>
      </c>
      <c r="E2835" s="6" t="s">
        <v>3332</v>
      </c>
      <c r="F2835" s="8" t="e">
        <f>VLOOKUP($D2835,설문!$C$2:$G$444,3,FALSE)</f>
        <v>#N/A</v>
      </c>
      <c r="G2835" s="8" t="e">
        <f>VLOOKUP($D2835,설문!$C$2:$G$444,4,FALSE)</f>
        <v>#N/A</v>
      </c>
      <c r="H2835" s="8" t="e">
        <f>VLOOKUP($D2835,설문!$C$2:$G$444,5,FALSE)</f>
        <v>#N/A</v>
      </c>
    </row>
    <row r="2836" spans="1:8">
      <c r="A2836" s="6" t="s">
        <v>298</v>
      </c>
      <c r="B2836" s="7" t="s">
        <v>9</v>
      </c>
      <c r="C2836" s="7" t="s">
        <v>299</v>
      </c>
      <c r="D2836" s="7" t="s">
        <v>300</v>
      </c>
      <c r="E2836" s="6" t="s">
        <v>301</v>
      </c>
      <c r="F2836" s="8" t="str">
        <f>VLOOKUP($D2836,설문!$C$2:$G$444,3,FALSE)</f>
        <v>백오피스</v>
      </c>
      <c r="G2836" s="8" t="str">
        <f>VLOOKUP($D2836,설문!$C$2:$G$444,4,FALSE)</f>
        <v>금융회사,금융 유관기관</v>
      </c>
      <c r="H2836" s="8" t="str">
        <f>VLOOKUP($D2836,설문!$C$2:$G$444,5,FALSE)</f>
        <v>국내주식/지수,국내주식/지수관련파생,ELW</v>
      </c>
    </row>
    <row r="2837" spans="1:8">
      <c r="A2837" s="6" t="s">
        <v>298</v>
      </c>
      <c r="B2837" s="7" t="s">
        <v>312</v>
      </c>
      <c r="C2837" s="7" t="s">
        <v>149</v>
      </c>
      <c r="D2837" s="7" t="s">
        <v>313</v>
      </c>
      <c r="E2837" s="6" t="s">
        <v>314</v>
      </c>
      <c r="F2837" s="8" t="e">
        <f>VLOOKUP($D2837,설문!$C$2:$G$444,3,FALSE)</f>
        <v>#N/A</v>
      </c>
      <c r="G2837" s="8" t="e">
        <f>VLOOKUP($D2837,설문!$C$2:$G$444,4,FALSE)</f>
        <v>#N/A</v>
      </c>
      <c r="H2837" s="8" t="e">
        <f>VLOOKUP($D2837,설문!$C$2:$G$444,5,FALSE)</f>
        <v>#N/A</v>
      </c>
    </row>
    <row r="2838" spans="1:8">
      <c r="A2838" s="6" t="s">
        <v>298</v>
      </c>
      <c r="B2838" s="7" t="s">
        <v>493</v>
      </c>
      <c r="C2838" s="7" t="s">
        <v>493</v>
      </c>
      <c r="D2838" s="7" t="s">
        <v>494</v>
      </c>
      <c r="E2838" s="6" t="s">
        <v>495</v>
      </c>
      <c r="F2838" s="8" t="e">
        <f>VLOOKUP($D2838,설문!$C$2:$G$444,3,FALSE)</f>
        <v>#N/A</v>
      </c>
      <c r="G2838" s="8" t="e">
        <f>VLOOKUP($D2838,설문!$C$2:$G$444,4,FALSE)</f>
        <v>#N/A</v>
      </c>
      <c r="H2838" s="8" t="e">
        <f>VLOOKUP($D2838,설문!$C$2:$G$444,5,FALSE)</f>
        <v>#N/A</v>
      </c>
    </row>
    <row r="2839" spans="1:8">
      <c r="A2839" s="6" t="s">
        <v>298</v>
      </c>
      <c r="B2839" s="7" t="s">
        <v>542</v>
      </c>
      <c r="C2839" s="7" t="s">
        <v>299</v>
      </c>
      <c r="D2839" s="7" t="s">
        <v>543</v>
      </c>
      <c r="E2839" s="6" t="s">
        <v>544</v>
      </c>
      <c r="F2839" s="8" t="e">
        <f>VLOOKUP($D2839,설문!$C$2:$G$444,3,FALSE)</f>
        <v>#N/A</v>
      </c>
      <c r="G2839" s="8" t="e">
        <f>VLOOKUP($D2839,설문!$C$2:$G$444,4,FALSE)</f>
        <v>#N/A</v>
      </c>
      <c r="H2839" s="8" t="e">
        <f>VLOOKUP($D2839,설문!$C$2:$G$444,5,FALSE)</f>
        <v>#N/A</v>
      </c>
    </row>
    <row r="2840" spans="1:8">
      <c r="A2840" s="6" t="s">
        <v>298</v>
      </c>
      <c r="B2840" s="7" t="s">
        <v>149</v>
      </c>
      <c r="C2840" s="7" t="s">
        <v>149</v>
      </c>
      <c r="D2840" s="7" t="s">
        <v>876</v>
      </c>
      <c r="E2840" s="6" t="s">
        <v>315</v>
      </c>
      <c r="F2840" s="8" t="e">
        <f>VLOOKUP($D2840,설문!$C$2:$G$444,3,FALSE)</f>
        <v>#N/A</v>
      </c>
      <c r="G2840" s="8" t="e">
        <f>VLOOKUP($D2840,설문!$C$2:$G$444,4,FALSE)</f>
        <v>#N/A</v>
      </c>
      <c r="H2840" s="8" t="e">
        <f>VLOOKUP($D2840,설문!$C$2:$G$444,5,FALSE)</f>
        <v>#N/A</v>
      </c>
    </row>
    <row r="2841" spans="1:8">
      <c r="A2841" s="6" t="s">
        <v>298</v>
      </c>
      <c r="B2841" s="7" t="s">
        <v>542</v>
      </c>
      <c r="C2841" s="7" t="s">
        <v>299</v>
      </c>
      <c r="D2841" s="7" t="s">
        <v>931</v>
      </c>
      <c r="E2841" s="6" t="s">
        <v>932</v>
      </c>
      <c r="F2841" s="8" t="e">
        <f>VLOOKUP($D2841,설문!$C$2:$G$444,3,FALSE)</f>
        <v>#N/A</v>
      </c>
      <c r="G2841" s="8" t="e">
        <f>VLOOKUP($D2841,설문!$C$2:$G$444,4,FALSE)</f>
        <v>#N/A</v>
      </c>
      <c r="H2841" s="8" t="e">
        <f>VLOOKUP($D2841,설문!$C$2:$G$444,5,FALSE)</f>
        <v>#N/A</v>
      </c>
    </row>
    <row r="2842" spans="1:8">
      <c r="A2842" s="6" t="s">
        <v>298</v>
      </c>
      <c r="B2842" s="7" t="s">
        <v>542</v>
      </c>
      <c r="C2842" s="7" t="s">
        <v>299</v>
      </c>
      <c r="D2842" s="7" t="s">
        <v>933</v>
      </c>
      <c r="E2842" s="6" t="s">
        <v>934</v>
      </c>
      <c r="F2842" s="8" t="e">
        <f>VLOOKUP($D2842,설문!$C$2:$G$444,3,FALSE)</f>
        <v>#N/A</v>
      </c>
      <c r="G2842" s="8" t="e">
        <f>VLOOKUP($D2842,설문!$C$2:$G$444,4,FALSE)</f>
        <v>#N/A</v>
      </c>
      <c r="H2842" s="8" t="e">
        <f>VLOOKUP($D2842,설문!$C$2:$G$444,5,FALSE)</f>
        <v>#N/A</v>
      </c>
    </row>
    <row r="2843" spans="1:8">
      <c r="A2843" s="6" t="s">
        <v>298</v>
      </c>
      <c r="B2843" s="7" t="s">
        <v>9</v>
      </c>
      <c r="C2843" s="7" t="s">
        <v>293</v>
      </c>
      <c r="D2843" s="7" t="s">
        <v>954</v>
      </c>
      <c r="E2843" s="6" t="s">
        <v>955</v>
      </c>
      <c r="F2843" s="8" t="e">
        <f>VLOOKUP($D2843,설문!$C$2:$G$444,3,FALSE)</f>
        <v>#N/A</v>
      </c>
      <c r="G2843" s="8" t="e">
        <f>VLOOKUP($D2843,설문!$C$2:$G$444,4,FALSE)</f>
        <v>#N/A</v>
      </c>
      <c r="H2843" s="8" t="e">
        <f>VLOOKUP($D2843,설문!$C$2:$G$444,5,FALSE)</f>
        <v>#N/A</v>
      </c>
    </row>
    <row r="2844" spans="1:8">
      <c r="A2844" s="6" t="s">
        <v>298</v>
      </c>
      <c r="B2844" s="7" t="s">
        <v>1643</v>
      </c>
      <c r="C2844" s="7" t="s">
        <v>1644</v>
      </c>
      <c r="D2844" s="7" t="s">
        <v>1645</v>
      </c>
      <c r="E2844" s="6" t="s">
        <v>1646</v>
      </c>
      <c r="F2844" s="8" t="e">
        <f>VLOOKUP($D2844,설문!$C$2:$G$444,3,FALSE)</f>
        <v>#N/A</v>
      </c>
      <c r="G2844" s="8" t="e">
        <f>VLOOKUP($D2844,설문!$C$2:$G$444,4,FALSE)</f>
        <v>#N/A</v>
      </c>
      <c r="H2844" s="8" t="e">
        <f>VLOOKUP($D2844,설문!$C$2:$G$444,5,FALSE)</f>
        <v>#N/A</v>
      </c>
    </row>
    <row r="2845" spans="1:8">
      <c r="A2845" s="6" t="s">
        <v>298</v>
      </c>
      <c r="B2845" s="7" t="s">
        <v>293</v>
      </c>
      <c r="C2845" s="7" t="s">
        <v>293</v>
      </c>
      <c r="D2845" s="7" t="s">
        <v>1726</v>
      </c>
      <c r="E2845" s="6" t="s">
        <v>1727</v>
      </c>
      <c r="F2845" s="8" t="e">
        <f>VLOOKUP($D2845,설문!$C$2:$G$444,3,FALSE)</f>
        <v>#N/A</v>
      </c>
      <c r="G2845" s="8" t="e">
        <f>VLOOKUP($D2845,설문!$C$2:$G$444,4,FALSE)</f>
        <v>#N/A</v>
      </c>
      <c r="H2845" s="8" t="e">
        <f>VLOOKUP($D2845,설문!$C$2:$G$444,5,FALSE)</f>
        <v>#N/A</v>
      </c>
    </row>
    <row r="2846" spans="1:8">
      <c r="A2846" s="6" t="s">
        <v>298</v>
      </c>
      <c r="B2846" s="7" t="s">
        <v>6016</v>
      </c>
      <c r="C2846" s="7" t="s">
        <v>6016</v>
      </c>
      <c r="D2846" s="7" t="s">
        <v>6017</v>
      </c>
      <c r="E2846" s="6" t="s">
        <v>6018</v>
      </c>
      <c r="F2846" s="8" t="e">
        <f>VLOOKUP($D2846,설문!$C$2:$G$444,3,FALSE)</f>
        <v>#N/A</v>
      </c>
      <c r="G2846" s="8" t="e">
        <f>VLOOKUP($D2846,설문!$C$2:$G$444,4,FALSE)</f>
        <v>#N/A</v>
      </c>
      <c r="H2846" s="8" t="e">
        <f>VLOOKUP($D2846,설문!$C$2:$G$444,5,FALSE)</f>
        <v>#N/A</v>
      </c>
    </row>
    <row r="2847" spans="1:8">
      <c r="A2847" s="6" t="s">
        <v>298</v>
      </c>
      <c r="B2847" s="7" t="s">
        <v>6019</v>
      </c>
      <c r="C2847" s="7" t="s">
        <v>6019</v>
      </c>
      <c r="D2847" s="7" t="s">
        <v>6020</v>
      </c>
      <c r="E2847" s="6" t="s">
        <v>6021</v>
      </c>
      <c r="F2847" s="8" t="e">
        <f>VLOOKUP($D2847,설문!$C$2:$G$444,3,FALSE)</f>
        <v>#N/A</v>
      </c>
      <c r="G2847" s="8" t="e">
        <f>VLOOKUP($D2847,설문!$C$2:$G$444,4,FALSE)</f>
        <v>#N/A</v>
      </c>
      <c r="H2847" s="8" t="e">
        <f>VLOOKUP($D2847,설문!$C$2:$G$444,5,FALSE)</f>
        <v>#N/A</v>
      </c>
    </row>
    <row r="2848" spans="1:8">
      <c r="A2848" s="6" t="s">
        <v>298</v>
      </c>
      <c r="B2848" s="7" t="s">
        <v>6022</v>
      </c>
      <c r="C2848" s="7" t="s">
        <v>6022</v>
      </c>
      <c r="D2848" s="7" t="s">
        <v>6023</v>
      </c>
      <c r="E2848" s="6" t="s">
        <v>6024</v>
      </c>
      <c r="F2848" s="8" t="e">
        <f>VLOOKUP($D2848,설문!$C$2:$G$444,3,FALSE)</f>
        <v>#N/A</v>
      </c>
      <c r="G2848" s="8" t="e">
        <f>VLOOKUP($D2848,설문!$C$2:$G$444,4,FALSE)</f>
        <v>#N/A</v>
      </c>
      <c r="H2848" s="8" t="e">
        <f>VLOOKUP($D2848,설문!$C$2:$G$444,5,FALSE)</f>
        <v>#N/A</v>
      </c>
    </row>
    <row r="2849" spans="1:8">
      <c r="A2849" s="6" t="s">
        <v>298</v>
      </c>
      <c r="B2849" s="7" t="s">
        <v>264</v>
      </c>
      <c r="C2849" s="7" t="s">
        <v>264</v>
      </c>
      <c r="D2849" s="7" t="s">
        <v>6025</v>
      </c>
      <c r="E2849" s="6" t="s">
        <v>6026</v>
      </c>
      <c r="F2849" s="8" t="e">
        <f>VLOOKUP($D2849,설문!$C$2:$G$444,3,FALSE)</f>
        <v>#N/A</v>
      </c>
      <c r="G2849" s="8" t="e">
        <f>VLOOKUP($D2849,설문!$C$2:$G$444,4,FALSE)</f>
        <v>#N/A</v>
      </c>
      <c r="H2849" s="8" t="e">
        <f>VLOOKUP($D2849,설문!$C$2:$G$444,5,FALSE)</f>
        <v>#N/A</v>
      </c>
    </row>
    <row r="2850" spans="1:8">
      <c r="A2850" s="6" t="s">
        <v>298</v>
      </c>
      <c r="B2850" s="7" t="s">
        <v>264</v>
      </c>
      <c r="C2850" s="7" t="s">
        <v>264</v>
      </c>
      <c r="D2850" s="7" t="s">
        <v>6027</v>
      </c>
      <c r="E2850" s="6" t="s">
        <v>6028</v>
      </c>
      <c r="F2850" s="8" t="e">
        <f>VLOOKUP($D2850,설문!$C$2:$G$444,3,FALSE)</f>
        <v>#N/A</v>
      </c>
      <c r="G2850" s="8" t="e">
        <f>VLOOKUP($D2850,설문!$C$2:$G$444,4,FALSE)</f>
        <v>#N/A</v>
      </c>
      <c r="H2850" s="8" t="e">
        <f>VLOOKUP($D2850,설문!$C$2:$G$444,5,FALSE)</f>
        <v>#N/A</v>
      </c>
    </row>
    <row r="2851" spans="1:8">
      <c r="A2851" s="6" t="s">
        <v>298</v>
      </c>
      <c r="B2851" s="7" t="s">
        <v>2397</v>
      </c>
      <c r="C2851" s="7" t="s">
        <v>2397</v>
      </c>
      <c r="D2851" s="7" t="s">
        <v>6029</v>
      </c>
      <c r="E2851" s="6" t="s">
        <v>6030</v>
      </c>
      <c r="F2851" s="8" t="e">
        <f>VLOOKUP($D2851,설문!$C$2:$G$444,3,FALSE)</f>
        <v>#N/A</v>
      </c>
      <c r="G2851" s="8" t="e">
        <f>VLOOKUP($D2851,설문!$C$2:$G$444,4,FALSE)</f>
        <v>#N/A</v>
      </c>
      <c r="H2851" s="8" t="e">
        <f>VLOOKUP($D2851,설문!$C$2:$G$444,5,FALSE)</f>
        <v>#N/A</v>
      </c>
    </row>
    <row r="2852" spans="1:8">
      <c r="A2852" s="6" t="s">
        <v>298</v>
      </c>
      <c r="B2852" s="7" t="s">
        <v>1643</v>
      </c>
      <c r="C2852" s="7" t="s">
        <v>1643</v>
      </c>
      <c r="D2852" s="7" t="s">
        <v>6031</v>
      </c>
      <c r="E2852" s="6" t="s">
        <v>6032</v>
      </c>
      <c r="F2852" s="8" t="e">
        <f>VLOOKUP($D2852,설문!$C$2:$G$444,3,FALSE)</f>
        <v>#N/A</v>
      </c>
      <c r="G2852" s="8" t="e">
        <f>VLOOKUP($D2852,설문!$C$2:$G$444,4,FALSE)</f>
        <v>#N/A</v>
      </c>
      <c r="H2852" s="8" t="e">
        <f>VLOOKUP($D2852,설문!$C$2:$G$444,5,FALSE)</f>
        <v>#N/A</v>
      </c>
    </row>
    <row r="2853" spans="1:8">
      <c r="A2853" s="6" t="s">
        <v>298</v>
      </c>
      <c r="B2853" s="7" t="s">
        <v>149</v>
      </c>
      <c r="C2853" s="7" t="s">
        <v>149</v>
      </c>
      <c r="D2853" s="7" t="s">
        <v>6033</v>
      </c>
      <c r="E2853" s="6" t="s">
        <v>6034</v>
      </c>
      <c r="F2853" s="8" t="str">
        <f>VLOOKUP($D2853,설문!$C$2:$G$444,3,FALSE)</f>
        <v>세일즈,브로커</v>
      </c>
      <c r="G2853" s="8" t="str">
        <f>VLOOKUP($D2853,설문!$C$2:$G$444,4,FALSE)</f>
        <v>금융회사,금융 유관기관</v>
      </c>
      <c r="H2853" s="8" t="str">
        <f>VLOOKUP($D2853,설문!$C$2:$G$444,5,FALSE)</f>
        <v>국고채/통안채,회사채,RP,단기자금,원화 구조화채권,외화 구조화채권,IB(발행, M&amp;A 등),대체투자(부동산/인프라)</v>
      </c>
    </row>
    <row r="2854" spans="1:8">
      <c r="A2854" s="6" t="s">
        <v>298</v>
      </c>
      <c r="B2854" s="7" t="s">
        <v>149</v>
      </c>
      <c r="C2854" s="7" t="s">
        <v>149</v>
      </c>
      <c r="D2854" s="7" t="s">
        <v>6035</v>
      </c>
      <c r="E2854" s="6" t="s">
        <v>6036</v>
      </c>
      <c r="F2854" s="8" t="e">
        <f>VLOOKUP($D2854,설문!$C$2:$G$444,3,FALSE)</f>
        <v>#N/A</v>
      </c>
      <c r="G2854" s="8" t="e">
        <f>VLOOKUP($D2854,설문!$C$2:$G$444,4,FALSE)</f>
        <v>#N/A</v>
      </c>
      <c r="H2854" s="8" t="e">
        <f>VLOOKUP($D2854,설문!$C$2:$G$444,5,FALSE)</f>
        <v>#N/A</v>
      </c>
    </row>
    <row r="2855" spans="1:8">
      <c r="A2855" s="6" t="s">
        <v>298</v>
      </c>
      <c r="B2855" s="7" t="s">
        <v>2467</v>
      </c>
      <c r="C2855" s="7" t="s">
        <v>2467</v>
      </c>
      <c r="D2855" s="7" t="s">
        <v>6037</v>
      </c>
      <c r="E2855" s="6" t="s">
        <v>6038</v>
      </c>
      <c r="F2855" s="8" t="e">
        <f>VLOOKUP($D2855,설문!$C$2:$G$444,3,FALSE)</f>
        <v>#N/A</v>
      </c>
      <c r="G2855" s="8" t="e">
        <f>VLOOKUP($D2855,설문!$C$2:$G$444,4,FALSE)</f>
        <v>#N/A</v>
      </c>
      <c r="H2855" s="8" t="e">
        <f>VLOOKUP($D2855,설문!$C$2:$G$444,5,FALSE)</f>
        <v>#N/A</v>
      </c>
    </row>
    <row r="2856" spans="1:8">
      <c r="A2856" s="6" t="s">
        <v>298</v>
      </c>
      <c r="B2856" s="7" t="s">
        <v>609</v>
      </c>
      <c r="C2856" s="7" t="s">
        <v>1115</v>
      </c>
      <c r="D2856" s="7" t="s">
        <v>6039</v>
      </c>
      <c r="E2856" s="6" t="s">
        <v>1733</v>
      </c>
      <c r="F2856" s="8" t="e">
        <f>VLOOKUP($D2856,설문!$C$2:$G$444,3,FALSE)</f>
        <v>#N/A</v>
      </c>
      <c r="G2856" s="8" t="e">
        <f>VLOOKUP($D2856,설문!$C$2:$G$444,4,FALSE)</f>
        <v>#N/A</v>
      </c>
      <c r="H2856" s="8" t="e">
        <f>VLOOKUP($D2856,설문!$C$2:$G$444,5,FALSE)</f>
        <v>#N/A</v>
      </c>
    </row>
    <row r="2857" spans="1:8">
      <c r="A2857" s="6" t="s">
        <v>298</v>
      </c>
      <c r="B2857" s="7" t="s">
        <v>6040</v>
      </c>
      <c r="C2857" s="7" t="s">
        <v>6040</v>
      </c>
      <c r="D2857" s="7" t="s">
        <v>6041</v>
      </c>
      <c r="E2857" s="6" t="s">
        <v>6042</v>
      </c>
      <c r="F2857" s="8" t="str">
        <f>VLOOKUP($D2857,설문!$C$2:$G$444,3,FALSE)</f>
        <v>트레이더</v>
      </c>
      <c r="G2857" s="8" t="str">
        <f>VLOOKUP($D2857,설문!$C$2:$G$444,4,FALSE)</f>
        <v>기타</v>
      </c>
      <c r="H2857" s="8" t="str">
        <f>VLOOKUP($D2857,설문!$C$2:$G$444,5,FALSE)</f>
        <v>국내주식/지수</v>
      </c>
    </row>
    <row r="2858" spans="1:8">
      <c r="A2858" s="6" t="s">
        <v>298</v>
      </c>
      <c r="B2858" s="7" t="s">
        <v>6040</v>
      </c>
      <c r="C2858" s="7" t="s">
        <v>6040</v>
      </c>
      <c r="D2858" s="7" t="s">
        <v>6043</v>
      </c>
      <c r="E2858" s="6" t="s">
        <v>6044</v>
      </c>
      <c r="F2858" s="8" t="e">
        <f>VLOOKUP($D2858,설문!$C$2:$G$444,3,FALSE)</f>
        <v>#N/A</v>
      </c>
      <c r="G2858" s="8" t="e">
        <f>VLOOKUP($D2858,설문!$C$2:$G$444,4,FALSE)</f>
        <v>#N/A</v>
      </c>
      <c r="H2858" s="8" t="e">
        <f>VLOOKUP($D2858,설문!$C$2:$G$444,5,FALSE)</f>
        <v>#N/A</v>
      </c>
    </row>
    <row r="2859" spans="1:8">
      <c r="A2859" s="6" t="s">
        <v>298</v>
      </c>
      <c r="B2859" s="7" t="s">
        <v>1462</v>
      </c>
      <c r="C2859" s="7" t="s">
        <v>293</v>
      </c>
      <c r="D2859" s="7" t="s">
        <v>6045</v>
      </c>
      <c r="E2859" s="6" t="s">
        <v>6046</v>
      </c>
      <c r="F2859" s="8" t="e">
        <f>VLOOKUP($D2859,설문!$C$2:$G$444,3,FALSE)</f>
        <v>#N/A</v>
      </c>
      <c r="G2859" s="8" t="e">
        <f>VLOOKUP($D2859,설문!$C$2:$G$444,4,FALSE)</f>
        <v>#N/A</v>
      </c>
      <c r="H2859" s="8" t="e">
        <f>VLOOKUP($D2859,설문!$C$2:$G$444,5,FALSE)</f>
        <v>#N/A</v>
      </c>
    </row>
    <row r="2860" spans="1:8">
      <c r="A2860" s="6" t="s">
        <v>298</v>
      </c>
      <c r="B2860" s="7" t="s">
        <v>493</v>
      </c>
      <c r="C2860" s="7" t="s">
        <v>493</v>
      </c>
      <c r="D2860" s="7" t="s">
        <v>6047</v>
      </c>
      <c r="E2860" s="6" t="s">
        <v>6048</v>
      </c>
      <c r="F2860" s="8" t="str">
        <f>VLOOKUP($D2860,설문!$C$2:$G$444,3,FALSE)</f>
        <v>브로커</v>
      </c>
      <c r="G2860" s="8" t="str">
        <f>VLOOKUP($D2860,설문!$C$2:$G$444,4,FALSE)</f>
        <v>금융회사</v>
      </c>
      <c r="H2860" s="8" t="str">
        <f>VLOOKUP($D2860,설문!$C$2:$G$444,5,FALSE)</f>
        <v>국내주식/지수,국내주식/지수관련파생,ETF/ETN</v>
      </c>
    </row>
    <row r="2861" spans="1:8">
      <c r="A2861" s="6" t="s">
        <v>138</v>
      </c>
      <c r="B2861" s="7" t="s">
        <v>139</v>
      </c>
      <c r="C2861" s="7" t="s">
        <v>139</v>
      </c>
      <c r="D2861" s="7" t="s">
        <v>140</v>
      </c>
      <c r="E2861" s="6" t="s">
        <v>141</v>
      </c>
      <c r="F2861" s="8" t="e">
        <f>VLOOKUP($D2861,설문!$C$2:$G$444,3,FALSE)</f>
        <v>#N/A</v>
      </c>
      <c r="G2861" s="8" t="e">
        <f>VLOOKUP($D2861,설문!$C$2:$G$444,4,FALSE)</f>
        <v>#N/A</v>
      </c>
      <c r="H2861" s="8" t="e">
        <f>VLOOKUP($D2861,설문!$C$2:$G$444,5,FALSE)</f>
        <v>#N/A</v>
      </c>
    </row>
    <row r="2862" spans="1:8">
      <c r="A2862" s="6" t="s">
        <v>138</v>
      </c>
      <c r="B2862" s="7" t="s">
        <v>270</v>
      </c>
      <c r="C2862" s="7" t="s">
        <v>270</v>
      </c>
      <c r="D2862" s="7" t="s">
        <v>271</v>
      </c>
      <c r="E2862" s="6" t="s">
        <v>272</v>
      </c>
      <c r="F2862" s="8" t="e">
        <f>VLOOKUP($D2862,설문!$C$2:$G$444,3,FALSE)</f>
        <v>#N/A</v>
      </c>
      <c r="G2862" s="8" t="e">
        <f>VLOOKUP($D2862,설문!$C$2:$G$444,4,FALSE)</f>
        <v>#N/A</v>
      </c>
      <c r="H2862" s="8" t="e">
        <f>VLOOKUP($D2862,설문!$C$2:$G$444,5,FALSE)</f>
        <v>#N/A</v>
      </c>
    </row>
    <row r="2863" spans="1:8">
      <c r="A2863" s="6" t="s">
        <v>138</v>
      </c>
      <c r="B2863" s="7" t="s">
        <v>270</v>
      </c>
      <c r="C2863" s="7" t="s">
        <v>270</v>
      </c>
      <c r="D2863" s="7" t="s">
        <v>842</v>
      </c>
      <c r="E2863" s="6" t="s">
        <v>843</v>
      </c>
      <c r="F2863" s="8" t="e">
        <f>VLOOKUP($D2863,설문!$C$2:$G$444,3,FALSE)</f>
        <v>#N/A</v>
      </c>
      <c r="G2863" s="8" t="e">
        <f>VLOOKUP($D2863,설문!$C$2:$G$444,4,FALSE)</f>
        <v>#N/A</v>
      </c>
      <c r="H2863" s="8" t="e">
        <f>VLOOKUP($D2863,설문!$C$2:$G$444,5,FALSE)</f>
        <v>#N/A</v>
      </c>
    </row>
    <row r="2864" spans="1:8">
      <c r="A2864" s="6" t="s">
        <v>138</v>
      </c>
      <c r="B2864" s="7" t="s">
        <v>2615</v>
      </c>
      <c r="C2864" s="7" t="s">
        <v>2615</v>
      </c>
      <c r="D2864" s="7" t="s">
        <v>2616</v>
      </c>
      <c r="E2864" s="6" t="s">
        <v>2617</v>
      </c>
      <c r="F2864" s="8" t="e">
        <f>VLOOKUP($D2864,설문!$C$2:$G$444,3,FALSE)</f>
        <v>#N/A</v>
      </c>
      <c r="G2864" s="8" t="e">
        <f>VLOOKUP($D2864,설문!$C$2:$G$444,4,FALSE)</f>
        <v>#N/A</v>
      </c>
      <c r="H2864" s="8" t="e">
        <f>VLOOKUP($D2864,설문!$C$2:$G$444,5,FALSE)</f>
        <v>#N/A</v>
      </c>
    </row>
    <row r="2865" spans="1:8">
      <c r="A2865" s="6" t="s">
        <v>138</v>
      </c>
      <c r="B2865" s="7" t="s">
        <v>270</v>
      </c>
      <c r="C2865" s="7" t="s">
        <v>270</v>
      </c>
      <c r="D2865" s="7" t="s">
        <v>2618</v>
      </c>
      <c r="E2865" s="6" t="s">
        <v>2619</v>
      </c>
      <c r="F2865" s="8" t="str">
        <f>VLOOKUP($D2865,설문!$C$2:$G$444,3,FALSE)</f>
        <v>펀드매니저,분석 및 전략</v>
      </c>
      <c r="G2865" s="8" t="str">
        <f>VLOOKUP($D2865,설문!$C$2:$G$444,4,FALSE)</f>
        <v>금융회사</v>
      </c>
      <c r="H2865" s="8" t="str">
        <f>VLOOKUP($D2865,설문!$C$2:$G$444,5,FALSE)</f>
        <v>국내주식/지수,국고채/통안채,회사채,Korean Paper,외화채권(KP제외),원화 구조화채권,국내주식/지수관련파생,외화 구조화채권,FX Spot &amp; FX Swap,CRS &amp; FX Option,해외주식/지수,대체투자(부동산/인프라)</v>
      </c>
    </row>
    <row r="2866" spans="1:8">
      <c r="A2866" s="6" t="s">
        <v>138</v>
      </c>
      <c r="B2866" s="7" t="s">
        <v>270</v>
      </c>
      <c r="C2866" s="7" t="s">
        <v>270</v>
      </c>
      <c r="D2866" s="7" t="s">
        <v>2620</v>
      </c>
      <c r="E2866" s="6" t="s">
        <v>2621</v>
      </c>
      <c r="F2866" s="8" t="e">
        <f>VLOOKUP($D2866,설문!$C$2:$G$444,3,FALSE)</f>
        <v>#N/A</v>
      </c>
      <c r="G2866" s="8" t="e">
        <f>VLOOKUP($D2866,설문!$C$2:$G$444,4,FALSE)</f>
        <v>#N/A</v>
      </c>
      <c r="H2866" s="8" t="e">
        <f>VLOOKUP($D2866,설문!$C$2:$G$444,5,FALSE)</f>
        <v>#N/A</v>
      </c>
    </row>
    <row r="2867" spans="1:8">
      <c r="A2867" s="6" t="s">
        <v>4994</v>
      </c>
      <c r="B2867" s="7" t="s">
        <v>3343</v>
      </c>
      <c r="C2867" s="7" t="s">
        <v>501</v>
      </c>
      <c r="D2867" s="7" t="s">
        <v>4995</v>
      </c>
      <c r="E2867" s="6" t="s">
        <v>4996</v>
      </c>
      <c r="F2867" s="8" t="str">
        <f>VLOOKUP($D2867,설문!$C$2:$G$444,3,FALSE)</f>
        <v>브로커</v>
      </c>
      <c r="G2867" s="8" t="str">
        <f>VLOOKUP($D2867,설문!$C$2:$G$444,4,FALSE)</f>
        <v>금융회사</v>
      </c>
      <c r="H2867" s="8" t="str">
        <f>VLOOKUP($D2867,설문!$C$2:$G$444,5,FALSE)</f>
        <v>국채선물,외화채권선물,국내주식/지수관련파생</v>
      </c>
    </row>
    <row r="2868" spans="1:8">
      <c r="A2868" s="6" t="s">
        <v>4994</v>
      </c>
      <c r="B2868" s="7" t="s">
        <v>3343</v>
      </c>
      <c r="C2868" s="7" t="s">
        <v>3343</v>
      </c>
      <c r="D2868" s="7" t="s">
        <v>4997</v>
      </c>
      <c r="E2868" s="6" t="s">
        <v>4998</v>
      </c>
      <c r="F2868" s="8" t="e">
        <f>VLOOKUP($D2868,설문!$C$2:$G$444,3,FALSE)</f>
        <v>#N/A</v>
      </c>
      <c r="G2868" s="8" t="e">
        <f>VLOOKUP($D2868,설문!$C$2:$G$444,4,FALSE)</f>
        <v>#N/A</v>
      </c>
      <c r="H2868" s="8" t="e">
        <f>VLOOKUP($D2868,설문!$C$2:$G$444,5,FALSE)</f>
        <v>#N/A</v>
      </c>
    </row>
    <row r="2869" spans="1:8">
      <c r="A2869" s="6" t="s">
        <v>4994</v>
      </c>
      <c r="B2869" s="7" t="s">
        <v>3343</v>
      </c>
      <c r="C2869" s="7" t="s">
        <v>3343</v>
      </c>
      <c r="D2869" s="7" t="s">
        <v>4999</v>
      </c>
      <c r="E2869" s="6" t="s">
        <v>2074</v>
      </c>
      <c r="F2869" s="8" t="e">
        <f>VLOOKUP($D2869,설문!$C$2:$G$444,3,FALSE)</f>
        <v>#N/A</v>
      </c>
      <c r="G2869" s="8" t="e">
        <f>VLOOKUP($D2869,설문!$C$2:$G$444,4,FALSE)</f>
        <v>#N/A</v>
      </c>
      <c r="H2869" s="8" t="e">
        <f>VLOOKUP($D2869,설문!$C$2:$G$444,5,FALSE)</f>
        <v>#N/A</v>
      </c>
    </row>
    <row r="2870" spans="1:8">
      <c r="A2870" s="6" t="s">
        <v>4994</v>
      </c>
      <c r="B2870" s="7" t="s">
        <v>3343</v>
      </c>
      <c r="C2870" s="7" t="s">
        <v>3343</v>
      </c>
      <c r="D2870" s="7" t="s">
        <v>5000</v>
      </c>
      <c r="E2870" s="6" t="s">
        <v>5001</v>
      </c>
      <c r="F2870" s="8" t="e">
        <f>VLOOKUP($D2870,설문!$C$2:$G$444,3,FALSE)</f>
        <v>#N/A</v>
      </c>
      <c r="G2870" s="8" t="e">
        <f>VLOOKUP($D2870,설문!$C$2:$G$444,4,FALSE)</f>
        <v>#N/A</v>
      </c>
      <c r="H2870" s="8" t="e">
        <f>VLOOKUP($D2870,설문!$C$2:$G$444,5,FALSE)</f>
        <v>#N/A</v>
      </c>
    </row>
    <row r="2871" spans="1:8">
      <c r="A2871" s="6" t="s">
        <v>1366</v>
      </c>
      <c r="B2871" s="7" t="s">
        <v>78</v>
      </c>
      <c r="C2871" s="7" t="s">
        <v>1367</v>
      </c>
      <c r="D2871" s="7" t="s">
        <v>1368</v>
      </c>
      <c r="E2871" s="6" t="s">
        <v>1369</v>
      </c>
      <c r="F2871" s="8" t="e">
        <f>VLOOKUP($D2871,설문!$C$2:$G$444,3,FALSE)</f>
        <v>#N/A</v>
      </c>
      <c r="G2871" s="8" t="e">
        <f>VLOOKUP($D2871,설문!$C$2:$G$444,4,FALSE)</f>
        <v>#N/A</v>
      </c>
      <c r="H2871" s="8" t="e">
        <f>VLOOKUP($D2871,설문!$C$2:$G$444,5,FALSE)</f>
        <v>#N/A</v>
      </c>
    </row>
    <row r="2872" spans="1:8">
      <c r="A2872" s="6" t="s">
        <v>1366</v>
      </c>
      <c r="B2872" s="7" t="s">
        <v>78</v>
      </c>
      <c r="C2872" s="7" t="s">
        <v>1367</v>
      </c>
      <c r="D2872" s="7" t="s">
        <v>1395</v>
      </c>
      <c r="E2872" s="6" t="s">
        <v>1396</v>
      </c>
      <c r="F2872" s="8" t="e">
        <f>VLOOKUP($D2872,설문!$C$2:$G$444,3,FALSE)</f>
        <v>#N/A</v>
      </c>
      <c r="G2872" s="8" t="e">
        <f>VLOOKUP($D2872,설문!$C$2:$G$444,4,FALSE)</f>
        <v>#N/A</v>
      </c>
      <c r="H2872" s="8" t="e">
        <f>VLOOKUP($D2872,설문!$C$2:$G$444,5,FALSE)</f>
        <v>#N/A</v>
      </c>
    </row>
    <row r="2873" spans="1:8">
      <c r="A2873" s="6" t="s">
        <v>1366</v>
      </c>
      <c r="B2873" s="7" t="s">
        <v>78</v>
      </c>
      <c r="C2873" s="7" t="s">
        <v>1367</v>
      </c>
      <c r="D2873" s="7" t="s">
        <v>1680</v>
      </c>
      <c r="E2873" s="6" t="s">
        <v>1681</v>
      </c>
      <c r="F2873" s="8" t="e">
        <f>VLOOKUP($D2873,설문!$C$2:$G$444,3,FALSE)</f>
        <v>#N/A</v>
      </c>
      <c r="G2873" s="8" t="e">
        <f>VLOOKUP($D2873,설문!$C$2:$G$444,4,FALSE)</f>
        <v>#N/A</v>
      </c>
      <c r="H2873" s="8" t="e">
        <f>VLOOKUP($D2873,설문!$C$2:$G$444,5,FALSE)</f>
        <v>#N/A</v>
      </c>
    </row>
    <row r="2874" spans="1:8">
      <c r="A2874" s="6" t="s">
        <v>1366</v>
      </c>
      <c r="B2874" s="7" t="s">
        <v>78</v>
      </c>
      <c r="C2874" s="7" t="s">
        <v>78</v>
      </c>
      <c r="D2874" s="7" t="s">
        <v>3059</v>
      </c>
      <c r="E2874" s="6" t="s">
        <v>3060</v>
      </c>
      <c r="F2874" s="8" t="e">
        <f>VLOOKUP($D2874,설문!$C$2:$G$444,3,FALSE)</f>
        <v>#N/A</v>
      </c>
      <c r="G2874" s="8" t="e">
        <f>VLOOKUP($D2874,설문!$C$2:$G$444,4,FALSE)</f>
        <v>#N/A</v>
      </c>
      <c r="H2874" s="8" t="e">
        <f>VLOOKUP($D2874,설문!$C$2:$G$444,5,FALSE)</f>
        <v>#N/A</v>
      </c>
    </row>
    <row r="2875" spans="1:8">
      <c r="A2875" s="6" t="s">
        <v>1366</v>
      </c>
      <c r="B2875" s="7" t="s">
        <v>78</v>
      </c>
      <c r="C2875" s="7" t="s">
        <v>78</v>
      </c>
      <c r="D2875" s="7" t="s">
        <v>3061</v>
      </c>
      <c r="E2875" s="6" t="s">
        <v>3062</v>
      </c>
      <c r="F2875" s="8" t="str">
        <f>VLOOKUP($D2875,설문!$C$2:$G$444,3,FALSE)</f>
        <v>펀드매니저</v>
      </c>
      <c r="G2875" s="8" t="str">
        <f>VLOOKUP($D2875,설문!$C$2:$G$444,4,FALSE)</f>
        <v>금융회사,금융 유관기관</v>
      </c>
      <c r="H2875" s="8" t="str">
        <f>VLOOKUP($D2875,설문!$C$2:$G$444,5,FALSE)</f>
        <v>국내주식/지수,국내주식/지수관련파생</v>
      </c>
    </row>
    <row r="2876" spans="1:8">
      <c r="A2876" s="6" t="s">
        <v>1366</v>
      </c>
      <c r="B2876" s="7" t="s">
        <v>264</v>
      </c>
      <c r="C2876" s="7" t="s">
        <v>135</v>
      </c>
      <c r="D2876" s="7" t="s">
        <v>3063</v>
      </c>
      <c r="E2876" s="6" t="s">
        <v>3064</v>
      </c>
      <c r="F2876" s="8" t="e">
        <f>VLOOKUP($D2876,설문!$C$2:$G$444,3,FALSE)</f>
        <v>#N/A</v>
      </c>
      <c r="G2876" s="8" t="e">
        <f>VLOOKUP($D2876,설문!$C$2:$G$444,4,FALSE)</f>
        <v>#N/A</v>
      </c>
      <c r="H2876" s="8" t="e">
        <f>VLOOKUP($D2876,설문!$C$2:$G$444,5,FALSE)</f>
        <v>#N/A</v>
      </c>
    </row>
    <row r="2877" spans="1:8">
      <c r="A2877" s="6" t="s">
        <v>1366</v>
      </c>
      <c r="B2877" s="7" t="s">
        <v>264</v>
      </c>
      <c r="C2877" s="7" t="s">
        <v>3065</v>
      </c>
      <c r="D2877" s="7" t="s">
        <v>3066</v>
      </c>
      <c r="E2877" s="6" t="s">
        <v>3067</v>
      </c>
      <c r="F2877" s="8" t="e">
        <f>VLOOKUP($D2877,설문!$C$2:$G$444,3,FALSE)</f>
        <v>#N/A</v>
      </c>
      <c r="G2877" s="8" t="e">
        <f>VLOOKUP($D2877,설문!$C$2:$G$444,4,FALSE)</f>
        <v>#N/A</v>
      </c>
      <c r="H2877" s="8" t="e">
        <f>VLOOKUP($D2877,설문!$C$2:$G$444,5,FALSE)</f>
        <v>#N/A</v>
      </c>
    </row>
    <row r="2878" spans="1:8">
      <c r="A2878" s="6" t="s">
        <v>1366</v>
      </c>
      <c r="B2878" s="7" t="s">
        <v>1411</v>
      </c>
      <c r="C2878" s="7" t="s">
        <v>78</v>
      </c>
      <c r="D2878" s="7" t="s">
        <v>3068</v>
      </c>
      <c r="E2878" s="6" t="s">
        <v>3069</v>
      </c>
      <c r="F2878" s="8" t="e">
        <f>VLOOKUP($D2878,설문!$C$2:$G$444,3,FALSE)</f>
        <v>#N/A</v>
      </c>
      <c r="G2878" s="8" t="e">
        <f>VLOOKUP($D2878,설문!$C$2:$G$444,4,FALSE)</f>
        <v>#N/A</v>
      </c>
      <c r="H2878" s="8" t="e">
        <f>VLOOKUP($D2878,설문!$C$2:$G$444,5,FALSE)</f>
        <v>#N/A</v>
      </c>
    </row>
    <row r="2879" spans="1:8">
      <c r="A2879" s="6" t="s">
        <v>3510</v>
      </c>
      <c r="B2879" s="7" t="s">
        <v>9</v>
      </c>
      <c r="C2879" s="7" t="s">
        <v>134</v>
      </c>
      <c r="D2879" s="7" t="s">
        <v>3511</v>
      </c>
      <c r="E2879" s="6" t="s">
        <v>3512</v>
      </c>
      <c r="F2879" s="8" t="str">
        <f>VLOOKUP($D2879,설문!$C$2:$G$444,3,FALSE)</f>
        <v>펀드매니저</v>
      </c>
      <c r="G2879" s="8" t="str">
        <f>VLOOKUP($D2879,설문!$C$2:$G$444,4,FALSE)</f>
        <v>금융회사,금융 유관기관,일반기업고객,개인고객</v>
      </c>
      <c r="H2879" s="8" t="str">
        <f>VLOOKUP($D2879,설문!$C$2:$G$444,5,FALSE)</f>
        <v>국고채/통안채,회사채,RP</v>
      </c>
    </row>
    <row r="2880" spans="1:8">
      <c r="A2880" s="6" t="s">
        <v>3510</v>
      </c>
      <c r="B2880" s="7" t="s">
        <v>69</v>
      </c>
      <c r="C2880" s="7" t="s">
        <v>134</v>
      </c>
      <c r="D2880" s="7" t="s">
        <v>3513</v>
      </c>
      <c r="E2880" s="6" t="s">
        <v>3514</v>
      </c>
      <c r="F2880" s="8" t="e">
        <f>VLOOKUP($D2880,설문!$C$2:$G$444,3,FALSE)</f>
        <v>#N/A</v>
      </c>
      <c r="G2880" s="8" t="e">
        <f>VLOOKUP($D2880,설문!$C$2:$G$444,4,FALSE)</f>
        <v>#N/A</v>
      </c>
      <c r="H2880" s="8" t="e">
        <f>VLOOKUP($D2880,설문!$C$2:$G$444,5,FALSE)</f>
        <v>#N/A</v>
      </c>
    </row>
    <row r="2881" spans="1:8">
      <c r="A2881" s="6" t="s">
        <v>3510</v>
      </c>
      <c r="B2881" s="7" t="s">
        <v>69</v>
      </c>
      <c r="C2881" s="7" t="s">
        <v>1431</v>
      </c>
      <c r="D2881" s="7" t="s">
        <v>3515</v>
      </c>
      <c r="E2881" s="6" t="s">
        <v>3516</v>
      </c>
      <c r="F2881" s="8" t="e">
        <f>VLOOKUP($D2881,설문!$C$2:$G$444,3,FALSE)</f>
        <v>#N/A</v>
      </c>
      <c r="G2881" s="8" t="e">
        <f>VLOOKUP($D2881,설문!$C$2:$G$444,4,FALSE)</f>
        <v>#N/A</v>
      </c>
      <c r="H2881" s="8" t="e">
        <f>VLOOKUP($D2881,설문!$C$2:$G$444,5,FALSE)</f>
        <v>#N/A</v>
      </c>
    </row>
    <row r="2882" spans="1:8">
      <c r="A2882" s="6" t="s">
        <v>1360</v>
      </c>
      <c r="B2882" s="7" t="s">
        <v>992</v>
      </c>
      <c r="C2882" s="7" t="s">
        <v>1361</v>
      </c>
      <c r="D2882" s="7" t="s">
        <v>1362</v>
      </c>
      <c r="E2882" s="6" t="s">
        <v>1363</v>
      </c>
      <c r="F2882" s="8" t="e">
        <f>VLOOKUP($D2882,설문!$C$2:$G$444,3,FALSE)</f>
        <v>#N/A</v>
      </c>
      <c r="G2882" s="8" t="e">
        <f>VLOOKUP($D2882,설문!$C$2:$G$444,4,FALSE)</f>
        <v>#N/A</v>
      </c>
      <c r="H2882" s="8" t="e">
        <f>VLOOKUP($D2882,설문!$C$2:$G$444,5,FALSE)</f>
        <v>#N/A</v>
      </c>
    </row>
    <row r="2883" spans="1:8">
      <c r="A2883" s="6" t="s">
        <v>1360</v>
      </c>
      <c r="B2883" s="7" t="s">
        <v>992</v>
      </c>
      <c r="C2883" s="7" t="s">
        <v>1582</v>
      </c>
      <c r="D2883" s="7" t="s">
        <v>1583</v>
      </c>
      <c r="E2883" s="6" t="s">
        <v>1584</v>
      </c>
      <c r="F2883" s="8" t="e">
        <f>VLOOKUP($D2883,설문!$C$2:$G$444,3,FALSE)</f>
        <v>#N/A</v>
      </c>
      <c r="G2883" s="8" t="e">
        <f>VLOOKUP($D2883,설문!$C$2:$G$444,4,FALSE)</f>
        <v>#N/A</v>
      </c>
      <c r="H2883" s="8" t="e">
        <f>VLOOKUP($D2883,설문!$C$2:$G$444,5,FALSE)</f>
        <v>#N/A</v>
      </c>
    </row>
    <row r="2884" spans="1:8">
      <c r="A2884" s="6" t="s">
        <v>1360</v>
      </c>
      <c r="B2884" s="7" t="s">
        <v>831</v>
      </c>
      <c r="C2884" s="7" t="s">
        <v>2440</v>
      </c>
      <c r="D2884" s="7" t="s">
        <v>2441</v>
      </c>
      <c r="E2884" s="6" t="s">
        <v>2442</v>
      </c>
      <c r="F2884" s="8" t="e">
        <f>VLOOKUP($D2884,설문!$C$2:$G$444,3,FALSE)</f>
        <v>#N/A</v>
      </c>
      <c r="G2884" s="8" t="e">
        <f>VLOOKUP($D2884,설문!$C$2:$G$444,4,FALSE)</f>
        <v>#N/A</v>
      </c>
      <c r="H2884" s="8" t="e">
        <f>VLOOKUP($D2884,설문!$C$2:$G$444,5,FALSE)</f>
        <v>#N/A</v>
      </c>
    </row>
    <row r="2885" spans="1:8">
      <c r="A2885" s="6" t="s">
        <v>1360</v>
      </c>
      <c r="B2885" s="7" t="s">
        <v>831</v>
      </c>
      <c r="C2885" s="7" t="s">
        <v>2443</v>
      </c>
      <c r="D2885" s="7" t="s">
        <v>2444</v>
      </c>
      <c r="E2885" s="6" t="s">
        <v>2445</v>
      </c>
      <c r="F2885" s="8" t="e">
        <f>VLOOKUP($D2885,설문!$C$2:$G$444,3,FALSE)</f>
        <v>#N/A</v>
      </c>
      <c r="G2885" s="8" t="e">
        <f>VLOOKUP($D2885,설문!$C$2:$G$444,4,FALSE)</f>
        <v>#N/A</v>
      </c>
      <c r="H2885" s="8" t="e">
        <f>VLOOKUP($D2885,설문!$C$2:$G$444,5,FALSE)</f>
        <v>#N/A</v>
      </c>
    </row>
    <row r="2886" spans="1:8">
      <c r="A2886" s="6" t="s">
        <v>1360</v>
      </c>
      <c r="B2886" s="7" t="s">
        <v>2446</v>
      </c>
      <c r="C2886" s="7" t="s">
        <v>2447</v>
      </c>
      <c r="D2886" s="7" t="s">
        <v>2448</v>
      </c>
      <c r="E2886" s="6" t="s">
        <v>2239</v>
      </c>
      <c r="F2886" s="8" t="e">
        <f>VLOOKUP($D2886,설문!$C$2:$G$444,3,FALSE)</f>
        <v>#N/A</v>
      </c>
      <c r="G2886" s="8" t="e">
        <f>VLOOKUP($D2886,설문!$C$2:$G$444,4,FALSE)</f>
        <v>#N/A</v>
      </c>
      <c r="H2886" s="8" t="e">
        <f>VLOOKUP($D2886,설문!$C$2:$G$444,5,FALSE)</f>
        <v>#N/A</v>
      </c>
    </row>
    <row r="2887" spans="1:8">
      <c r="A2887" s="6" t="s">
        <v>1360</v>
      </c>
      <c r="B2887" s="7" t="s">
        <v>448</v>
      </c>
      <c r="C2887" s="7" t="s">
        <v>448</v>
      </c>
      <c r="D2887" s="7" t="s">
        <v>2449</v>
      </c>
      <c r="E2887" s="6" t="s">
        <v>2450</v>
      </c>
      <c r="F2887" s="8" t="e">
        <f>VLOOKUP($D2887,설문!$C$2:$G$444,3,FALSE)</f>
        <v>#N/A</v>
      </c>
      <c r="G2887" s="8" t="e">
        <f>VLOOKUP($D2887,설문!$C$2:$G$444,4,FALSE)</f>
        <v>#N/A</v>
      </c>
      <c r="H2887" s="8" t="e">
        <f>VLOOKUP($D2887,설문!$C$2:$G$444,5,FALSE)</f>
        <v>#N/A</v>
      </c>
    </row>
    <row r="2888" spans="1:8">
      <c r="A2888" s="6" t="s">
        <v>1360</v>
      </c>
      <c r="B2888" s="7" t="s">
        <v>992</v>
      </c>
      <c r="C2888" s="7" t="s">
        <v>2451</v>
      </c>
      <c r="D2888" s="7" t="s">
        <v>2452</v>
      </c>
      <c r="E2888" s="6" t="s">
        <v>263</v>
      </c>
      <c r="F2888" s="8" t="e">
        <f>VLOOKUP($D2888,설문!$C$2:$G$444,3,FALSE)</f>
        <v>#N/A</v>
      </c>
      <c r="G2888" s="8" t="e">
        <f>VLOOKUP($D2888,설문!$C$2:$G$444,4,FALSE)</f>
        <v>#N/A</v>
      </c>
      <c r="H2888" s="8" t="e">
        <f>VLOOKUP($D2888,설문!$C$2:$G$444,5,FALSE)</f>
        <v>#N/A</v>
      </c>
    </row>
    <row r="2889" spans="1:8">
      <c r="A2889" s="6" t="s">
        <v>1360</v>
      </c>
      <c r="B2889" s="7" t="s">
        <v>831</v>
      </c>
      <c r="C2889" s="7" t="s">
        <v>2453</v>
      </c>
      <c r="D2889" s="7" t="s">
        <v>2454</v>
      </c>
      <c r="E2889" s="6" t="s">
        <v>2455</v>
      </c>
      <c r="F2889" s="8" t="e">
        <f>VLOOKUP($D2889,설문!$C$2:$G$444,3,FALSE)</f>
        <v>#N/A</v>
      </c>
      <c r="G2889" s="8" t="e">
        <f>VLOOKUP($D2889,설문!$C$2:$G$444,4,FALSE)</f>
        <v>#N/A</v>
      </c>
      <c r="H2889" s="8" t="e">
        <f>VLOOKUP($D2889,설문!$C$2:$G$444,5,FALSE)</f>
        <v>#N/A</v>
      </c>
    </row>
    <row r="2890" spans="1:8">
      <c r="A2890" s="6" t="s">
        <v>1360</v>
      </c>
      <c r="B2890" s="7" t="s">
        <v>992</v>
      </c>
      <c r="C2890" s="7" t="s">
        <v>2456</v>
      </c>
      <c r="D2890" s="7" t="s">
        <v>2457</v>
      </c>
      <c r="E2890" s="6" t="s">
        <v>2458</v>
      </c>
      <c r="F2890" s="8" t="str">
        <f>VLOOKUP($D2890,설문!$C$2:$G$444,3,FALSE)</f>
        <v>펀드매니저</v>
      </c>
      <c r="G2890" s="8" t="str">
        <f>VLOOKUP($D2890,설문!$C$2:$G$444,4,FALSE)</f>
        <v>금융회사,금융 유관기관</v>
      </c>
      <c r="H2890" s="8" t="str">
        <f>VLOOKUP($D2890,설문!$C$2:$G$444,5,FALSE)</f>
        <v>국고채/통안채,회사채</v>
      </c>
    </row>
    <row r="2891" spans="1:8">
      <c r="A2891" s="6" t="s">
        <v>1360</v>
      </c>
      <c r="B2891" s="7" t="s">
        <v>992</v>
      </c>
      <c r="C2891" s="7" t="s">
        <v>2459</v>
      </c>
      <c r="D2891" s="7" t="s">
        <v>2460</v>
      </c>
      <c r="E2891" s="6" t="s">
        <v>2461</v>
      </c>
      <c r="F2891" s="8" t="e">
        <f>VLOOKUP($D2891,설문!$C$2:$G$444,3,FALSE)</f>
        <v>#N/A</v>
      </c>
      <c r="G2891" s="8" t="e">
        <f>VLOOKUP($D2891,설문!$C$2:$G$444,4,FALSE)</f>
        <v>#N/A</v>
      </c>
      <c r="H2891" s="8" t="e">
        <f>VLOOKUP($D2891,설문!$C$2:$G$444,5,FALSE)</f>
        <v>#N/A</v>
      </c>
    </row>
    <row r="2892" spans="1:8">
      <c r="A2892" s="6" t="s">
        <v>3897</v>
      </c>
      <c r="B2892" s="7" t="s">
        <v>3898</v>
      </c>
      <c r="C2892" s="7" t="s">
        <v>3898</v>
      </c>
      <c r="D2892" s="7" t="s">
        <v>3899</v>
      </c>
      <c r="E2892" s="6" t="s">
        <v>3900</v>
      </c>
      <c r="F2892" s="8" t="e">
        <f>VLOOKUP($D2892,설문!$C$2:$G$444,3,FALSE)</f>
        <v>#N/A</v>
      </c>
      <c r="G2892" s="8" t="e">
        <f>VLOOKUP($D2892,설문!$C$2:$G$444,4,FALSE)</f>
        <v>#N/A</v>
      </c>
      <c r="H2892" s="8" t="e">
        <f>VLOOKUP($D2892,설문!$C$2:$G$444,5,FALSE)</f>
        <v>#N/A</v>
      </c>
    </row>
    <row r="2893" spans="1:8">
      <c r="A2893" s="6" t="s">
        <v>3897</v>
      </c>
      <c r="B2893" s="7" t="s">
        <v>3901</v>
      </c>
      <c r="C2893" s="7" t="s">
        <v>3901</v>
      </c>
      <c r="D2893" s="7" t="s">
        <v>3902</v>
      </c>
      <c r="E2893" s="6" t="s">
        <v>3903</v>
      </c>
      <c r="F2893" s="8" t="e">
        <f>VLOOKUP($D2893,설문!$C$2:$G$444,3,FALSE)</f>
        <v>#N/A</v>
      </c>
      <c r="G2893" s="8" t="e">
        <f>VLOOKUP($D2893,설문!$C$2:$G$444,4,FALSE)</f>
        <v>#N/A</v>
      </c>
      <c r="H2893" s="8" t="e">
        <f>VLOOKUP($D2893,설문!$C$2:$G$444,5,FALSE)</f>
        <v>#N/A</v>
      </c>
    </row>
    <row r="2894" spans="1:8">
      <c r="A2894" s="6" t="s">
        <v>943</v>
      </c>
      <c r="B2894" s="7" t="s">
        <v>9</v>
      </c>
      <c r="C2894" s="7" t="s">
        <v>944</v>
      </c>
      <c r="D2894" s="7" t="s">
        <v>945</v>
      </c>
      <c r="E2894" s="6" t="s">
        <v>946</v>
      </c>
      <c r="F2894" s="8" t="e">
        <f>VLOOKUP($D2894,설문!$C$2:$G$444,3,FALSE)</f>
        <v>#N/A</v>
      </c>
      <c r="G2894" s="8" t="e">
        <f>VLOOKUP($D2894,설문!$C$2:$G$444,4,FALSE)</f>
        <v>#N/A</v>
      </c>
      <c r="H2894" s="8" t="e">
        <f>VLOOKUP($D2894,설문!$C$2:$G$444,5,FALSE)</f>
        <v>#N/A</v>
      </c>
    </row>
    <row r="2895" spans="1:8">
      <c r="A2895" s="6" t="s">
        <v>943</v>
      </c>
      <c r="B2895" s="7" t="s">
        <v>1909</v>
      </c>
      <c r="C2895" s="7" t="s">
        <v>1910</v>
      </c>
      <c r="D2895" s="7" t="s">
        <v>1911</v>
      </c>
      <c r="E2895" s="6" t="s">
        <v>1912</v>
      </c>
      <c r="F2895" s="8" t="e">
        <f>VLOOKUP($D2895,설문!$C$2:$G$444,3,FALSE)</f>
        <v>#N/A</v>
      </c>
      <c r="G2895" s="8" t="e">
        <f>VLOOKUP($D2895,설문!$C$2:$G$444,4,FALSE)</f>
        <v>#N/A</v>
      </c>
      <c r="H2895" s="8" t="e">
        <f>VLOOKUP($D2895,설문!$C$2:$G$444,5,FALSE)</f>
        <v>#N/A</v>
      </c>
    </row>
    <row r="2896" spans="1:8">
      <c r="A2896" s="6" t="s">
        <v>943</v>
      </c>
      <c r="B2896" s="7" t="s">
        <v>1913</v>
      </c>
      <c r="C2896" s="7" t="s">
        <v>1913</v>
      </c>
      <c r="D2896" s="7" t="s">
        <v>1914</v>
      </c>
      <c r="E2896" s="6" t="s">
        <v>1915</v>
      </c>
      <c r="F2896" s="8" t="e">
        <f>VLOOKUP($D2896,설문!$C$2:$G$444,3,FALSE)</f>
        <v>#N/A</v>
      </c>
      <c r="G2896" s="8" t="e">
        <f>VLOOKUP($D2896,설문!$C$2:$G$444,4,FALSE)</f>
        <v>#N/A</v>
      </c>
      <c r="H2896" s="8" t="e">
        <f>VLOOKUP($D2896,설문!$C$2:$G$444,5,FALSE)</f>
        <v>#N/A</v>
      </c>
    </row>
    <row r="2897" spans="1:8">
      <c r="A2897" s="6" t="s">
        <v>943</v>
      </c>
      <c r="B2897" s="7" t="s">
        <v>5172</v>
      </c>
      <c r="C2897" s="7" t="s">
        <v>9</v>
      </c>
      <c r="D2897" s="7" t="s">
        <v>5173</v>
      </c>
      <c r="E2897" s="6" t="s">
        <v>4968</v>
      </c>
      <c r="F2897" s="8" t="e">
        <f>VLOOKUP($D2897,설문!$C$2:$G$444,3,FALSE)</f>
        <v>#N/A</v>
      </c>
      <c r="G2897" s="8" t="e">
        <f>VLOOKUP($D2897,설문!$C$2:$G$444,4,FALSE)</f>
        <v>#N/A</v>
      </c>
      <c r="H2897" s="8" t="e">
        <f>VLOOKUP($D2897,설문!$C$2:$G$444,5,FALSE)</f>
        <v>#N/A</v>
      </c>
    </row>
    <row r="2898" spans="1:8">
      <c r="A2898" s="6" t="s">
        <v>943</v>
      </c>
      <c r="B2898" s="7" t="s">
        <v>5174</v>
      </c>
      <c r="C2898" s="7" t="s">
        <v>1910</v>
      </c>
      <c r="D2898" s="7" t="s">
        <v>5175</v>
      </c>
      <c r="E2898" s="6" t="s">
        <v>5176</v>
      </c>
      <c r="F2898" s="8" t="e">
        <f>VLOOKUP($D2898,설문!$C$2:$G$444,3,FALSE)</f>
        <v>#N/A</v>
      </c>
      <c r="G2898" s="8" t="e">
        <f>VLOOKUP($D2898,설문!$C$2:$G$444,4,FALSE)</f>
        <v>#N/A</v>
      </c>
      <c r="H2898" s="8" t="e">
        <f>VLOOKUP($D2898,설문!$C$2:$G$444,5,FALSE)</f>
        <v>#N/A</v>
      </c>
    </row>
    <row r="2899" spans="1:8">
      <c r="A2899" s="6" t="s">
        <v>943</v>
      </c>
      <c r="B2899" s="7" t="s">
        <v>4818</v>
      </c>
      <c r="C2899" s="7" t="s">
        <v>4818</v>
      </c>
      <c r="D2899" s="7" t="s">
        <v>5177</v>
      </c>
      <c r="E2899" s="6" t="s">
        <v>5178</v>
      </c>
      <c r="F2899" s="8" t="e">
        <f>VLOOKUP($D2899,설문!$C$2:$G$444,3,FALSE)</f>
        <v>#N/A</v>
      </c>
      <c r="G2899" s="8" t="e">
        <f>VLOOKUP($D2899,설문!$C$2:$G$444,4,FALSE)</f>
        <v>#N/A</v>
      </c>
      <c r="H2899" s="8" t="e">
        <f>VLOOKUP($D2899,설문!$C$2:$G$444,5,FALSE)</f>
        <v>#N/A</v>
      </c>
    </row>
    <row r="2900" spans="1:8">
      <c r="A2900" s="6" t="s">
        <v>943</v>
      </c>
      <c r="B2900" s="7" t="s">
        <v>5179</v>
      </c>
      <c r="C2900" s="7" t="s">
        <v>5179</v>
      </c>
      <c r="D2900" s="7" t="s">
        <v>5180</v>
      </c>
      <c r="E2900" s="6" t="s">
        <v>5181</v>
      </c>
      <c r="F2900" s="8" t="e">
        <f>VLOOKUP($D2900,설문!$C$2:$G$444,3,FALSE)</f>
        <v>#N/A</v>
      </c>
      <c r="G2900" s="8" t="e">
        <f>VLOOKUP($D2900,설문!$C$2:$G$444,4,FALSE)</f>
        <v>#N/A</v>
      </c>
      <c r="H2900" s="8" t="e">
        <f>VLOOKUP($D2900,설문!$C$2:$G$444,5,FALSE)</f>
        <v>#N/A</v>
      </c>
    </row>
    <row r="2901" spans="1:8">
      <c r="A2901" s="6" t="s">
        <v>943</v>
      </c>
      <c r="B2901" s="7" t="s">
        <v>5179</v>
      </c>
      <c r="C2901" s="7" t="s">
        <v>5179</v>
      </c>
      <c r="D2901" s="7" t="s">
        <v>5182</v>
      </c>
      <c r="E2901" s="6" t="s">
        <v>5183</v>
      </c>
      <c r="F2901" s="8" t="e">
        <f>VLOOKUP($D2901,설문!$C$2:$G$444,3,FALSE)</f>
        <v>#N/A</v>
      </c>
      <c r="G2901" s="8" t="e">
        <f>VLOOKUP($D2901,설문!$C$2:$G$444,4,FALSE)</f>
        <v>#N/A</v>
      </c>
      <c r="H2901" s="8" t="e">
        <f>VLOOKUP($D2901,설문!$C$2:$G$444,5,FALSE)</f>
        <v>#N/A</v>
      </c>
    </row>
    <row r="2902" spans="1:8">
      <c r="A2902" s="6" t="s">
        <v>943</v>
      </c>
      <c r="B2902" s="7" t="s">
        <v>4809</v>
      </c>
      <c r="C2902" s="7" t="s">
        <v>4809</v>
      </c>
      <c r="D2902" s="7" t="s">
        <v>5184</v>
      </c>
      <c r="E2902" s="6" t="s">
        <v>5185</v>
      </c>
      <c r="F2902" s="8" t="e">
        <f>VLOOKUP($D2902,설문!$C$2:$G$444,3,FALSE)</f>
        <v>#N/A</v>
      </c>
      <c r="G2902" s="8" t="e">
        <f>VLOOKUP($D2902,설문!$C$2:$G$444,4,FALSE)</f>
        <v>#N/A</v>
      </c>
      <c r="H2902" s="8" t="e">
        <f>VLOOKUP($D2902,설문!$C$2:$G$444,5,FALSE)</f>
        <v>#N/A</v>
      </c>
    </row>
    <row r="2903" spans="1:8">
      <c r="A2903" s="6" t="s">
        <v>943</v>
      </c>
      <c r="B2903" s="7" t="s">
        <v>1913</v>
      </c>
      <c r="C2903" s="7" t="s">
        <v>1913</v>
      </c>
      <c r="D2903" s="7" t="s">
        <v>5186</v>
      </c>
      <c r="E2903" s="6" t="s">
        <v>5187</v>
      </c>
      <c r="F2903" s="8" t="str">
        <f>VLOOKUP($D2903,설문!$C$2:$G$444,3,FALSE)</f>
        <v>세일즈</v>
      </c>
      <c r="G2903" s="8" t="str">
        <f>VLOOKUP($D2903,설문!$C$2:$G$444,4,FALSE)</f>
        <v>금융회사</v>
      </c>
      <c r="H2903" s="8" t="str">
        <f>VLOOKUP($D2903,설문!$C$2:$G$444,5,FALSE)</f>
        <v>국내주식/지수</v>
      </c>
    </row>
    <row r="2904" spans="1:8">
      <c r="A2904" s="6" t="s">
        <v>943</v>
      </c>
      <c r="B2904" s="7" t="s">
        <v>5188</v>
      </c>
      <c r="C2904" s="7" t="s">
        <v>5188</v>
      </c>
      <c r="D2904" s="7" t="s">
        <v>5189</v>
      </c>
      <c r="E2904" s="6" t="s">
        <v>2071</v>
      </c>
      <c r="F2904" s="8" t="str">
        <f>VLOOKUP($D2904,설문!$C$2:$G$444,3,FALSE)</f>
        <v>세일즈</v>
      </c>
      <c r="G2904" s="8" t="str">
        <f>VLOOKUP($D2904,설문!$C$2:$G$444,4,FALSE)</f>
        <v>금융회사</v>
      </c>
      <c r="H2904" s="8" t="str">
        <f>VLOOKUP($D2904,설문!$C$2:$G$444,5,FALSE)</f>
        <v>국내주식/지수</v>
      </c>
    </row>
    <row r="2905" spans="1:8">
      <c r="A2905" s="6" t="s">
        <v>943</v>
      </c>
      <c r="B2905" s="7" t="s">
        <v>5188</v>
      </c>
      <c r="C2905" s="7" t="s">
        <v>1910</v>
      </c>
      <c r="D2905" s="7" t="s">
        <v>5190</v>
      </c>
      <c r="E2905" s="6" t="s">
        <v>2621</v>
      </c>
      <c r="F2905" s="8" t="e">
        <f>VLOOKUP($D2905,설문!$C$2:$G$444,3,FALSE)</f>
        <v>#N/A</v>
      </c>
      <c r="G2905" s="8" t="e">
        <f>VLOOKUP($D2905,설문!$C$2:$G$444,4,FALSE)</f>
        <v>#N/A</v>
      </c>
      <c r="H2905" s="8" t="e">
        <f>VLOOKUP($D2905,설문!$C$2:$G$444,5,FALSE)</f>
        <v>#N/A</v>
      </c>
    </row>
    <row r="2906" spans="1:8">
      <c r="A2906" s="6" t="s">
        <v>943</v>
      </c>
      <c r="B2906" s="7" t="s">
        <v>5188</v>
      </c>
      <c r="C2906" s="7" t="s">
        <v>1910</v>
      </c>
      <c r="D2906" s="7" t="s">
        <v>5191</v>
      </c>
      <c r="E2906" s="6" t="s">
        <v>5192</v>
      </c>
      <c r="F2906" s="8" t="e">
        <f>VLOOKUP($D2906,설문!$C$2:$G$444,3,FALSE)</f>
        <v>#N/A</v>
      </c>
      <c r="G2906" s="8" t="e">
        <f>VLOOKUP($D2906,설문!$C$2:$G$444,4,FALSE)</f>
        <v>#N/A</v>
      </c>
      <c r="H2906" s="8" t="e">
        <f>VLOOKUP($D2906,설문!$C$2:$G$444,5,FALSE)</f>
        <v>#N/A</v>
      </c>
    </row>
    <row r="2907" spans="1:8">
      <c r="A2907" s="6" t="s">
        <v>943</v>
      </c>
      <c r="B2907" s="7" t="s">
        <v>1909</v>
      </c>
      <c r="C2907" s="7" t="s">
        <v>1910</v>
      </c>
      <c r="D2907" s="7" t="s">
        <v>5193</v>
      </c>
      <c r="E2907" s="6" t="s">
        <v>5194</v>
      </c>
      <c r="F2907" s="8" t="e">
        <f>VLOOKUP($D2907,설문!$C$2:$G$444,3,FALSE)</f>
        <v>#N/A</v>
      </c>
      <c r="G2907" s="8" t="e">
        <f>VLOOKUP($D2907,설문!$C$2:$G$444,4,FALSE)</f>
        <v>#N/A</v>
      </c>
      <c r="H2907" s="8" t="e">
        <f>VLOOKUP($D2907,설문!$C$2:$G$444,5,FALSE)</f>
        <v>#N/A</v>
      </c>
    </row>
    <row r="2908" spans="1:8">
      <c r="A2908" s="6" t="s">
        <v>943</v>
      </c>
      <c r="B2908" s="7" t="s">
        <v>1909</v>
      </c>
      <c r="C2908" s="7" t="s">
        <v>1910</v>
      </c>
      <c r="D2908" s="7" t="s">
        <v>5195</v>
      </c>
      <c r="E2908" s="6" t="s">
        <v>5196</v>
      </c>
      <c r="F2908" s="8" t="e">
        <f>VLOOKUP($D2908,설문!$C$2:$G$444,3,FALSE)</f>
        <v>#N/A</v>
      </c>
      <c r="G2908" s="8" t="e">
        <f>VLOOKUP($D2908,설문!$C$2:$G$444,4,FALSE)</f>
        <v>#N/A</v>
      </c>
      <c r="H2908" s="8" t="e">
        <f>VLOOKUP($D2908,설문!$C$2:$G$444,5,FALSE)</f>
        <v>#N/A</v>
      </c>
    </row>
    <row r="2909" spans="1:8">
      <c r="A2909" s="6" t="s">
        <v>943</v>
      </c>
      <c r="B2909" s="7" t="s">
        <v>5197</v>
      </c>
      <c r="C2909" s="7" t="s">
        <v>5197</v>
      </c>
      <c r="D2909" s="7" t="s">
        <v>5198</v>
      </c>
      <c r="E2909" s="6" t="s">
        <v>5199</v>
      </c>
      <c r="F2909" s="8" t="e">
        <f>VLOOKUP($D2909,설문!$C$2:$G$444,3,FALSE)</f>
        <v>#N/A</v>
      </c>
      <c r="G2909" s="8" t="e">
        <f>VLOOKUP($D2909,설문!$C$2:$G$444,4,FALSE)</f>
        <v>#N/A</v>
      </c>
      <c r="H2909" s="8" t="e">
        <f>VLOOKUP($D2909,설문!$C$2:$G$444,5,FALSE)</f>
        <v>#N/A</v>
      </c>
    </row>
    <row r="2910" spans="1:8">
      <c r="A2910" s="6" t="s">
        <v>943</v>
      </c>
      <c r="B2910" s="7" t="s">
        <v>4416</v>
      </c>
      <c r="C2910" s="7" t="s">
        <v>4416</v>
      </c>
      <c r="D2910" s="7" t="s">
        <v>5200</v>
      </c>
      <c r="E2910" s="6" t="s">
        <v>5201</v>
      </c>
      <c r="F2910" s="8" t="e">
        <f>VLOOKUP($D2910,설문!$C$2:$G$444,3,FALSE)</f>
        <v>#N/A</v>
      </c>
      <c r="G2910" s="8" t="e">
        <f>VLOOKUP($D2910,설문!$C$2:$G$444,4,FALSE)</f>
        <v>#N/A</v>
      </c>
      <c r="H2910" s="8" t="e">
        <f>VLOOKUP($D2910,설문!$C$2:$G$444,5,FALSE)</f>
        <v>#N/A</v>
      </c>
    </row>
    <row r="2911" spans="1:8">
      <c r="A2911" s="6" t="s">
        <v>943</v>
      </c>
      <c r="B2911" s="7" t="s">
        <v>944</v>
      </c>
      <c r="C2911" s="7" t="s">
        <v>1910</v>
      </c>
      <c r="D2911" s="7" t="s">
        <v>5202</v>
      </c>
      <c r="E2911" s="6" t="s">
        <v>946</v>
      </c>
      <c r="F2911" s="8" t="e">
        <f>VLOOKUP($D2911,설문!$C$2:$G$444,3,FALSE)</f>
        <v>#N/A</v>
      </c>
      <c r="G2911" s="8" t="e">
        <f>VLOOKUP($D2911,설문!$C$2:$G$444,4,FALSE)</f>
        <v>#N/A</v>
      </c>
      <c r="H2911" s="8" t="e">
        <f>VLOOKUP($D2911,설문!$C$2:$G$444,5,FALSE)</f>
        <v>#N/A</v>
      </c>
    </row>
    <row r="2912" spans="1:8">
      <c r="A2912" s="6" t="s">
        <v>943</v>
      </c>
      <c r="B2912" s="7" t="s">
        <v>944</v>
      </c>
      <c r="C2912" s="7" t="s">
        <v>1910</v>
      </c>
      <c r="D2912" s="7" t="s">
        <v>5203</v>
      </c>
      <c r="E2912" s="6" t="s">
        <v>946</v>
      </c>
      <c r="F2912" s="8" t="e">
        <f>VLOOKUP($D2912,설문!$C$2:$G$444,3,FALSE)</f>
        <v>#N/A</v>
      </c>
      <c r="G2912" s="8" t="e">
        <f>VLOOKUP($D2912,설문!$C$2:$G$444,4,FALSE)</f>
        <v>#N/A</v>
      </c>
      <c r="H2912" s="8" t="e">
        <f>VLOOKUP($D2912,설문!$C$2:$G$444,5,FALSE)</f>
        <v>#N/A</v>
      </c>
    </row>
    <row r="2913" spans="1:8">
      <c r="A2913" s="6" t="s">
        <v>943</v>
      </c>
      <c r="B2913" s="7" t="s">
        <v>944</v>
      </c>
      <c r="C2913" s="7" t="s">
        <v>1910</v>
      </c>
      <c r="D2913" s="7" t="s">
        <v>5204</v>
      </c>
      <c r="E2913" s="6" t="s">
        <v>5205</v>
      </c>
      <c r="F2913" s="8" t="e">
        <f>VLOOKUP($D2913,설문!$C$2:$G$444,3,FALSE)</f>
        <v>#N/A</v>
      </c>
      <c r="G2913" s="8" t="e">
        <f>VLOOKUP($D2913,설문!$C$2:$G$444,4,FALSE)</f>
        <v>#N/A</v>
      </c>
      <c r="H2913" s="8" t="e">
        <f>VLOOKUP($D2913,설문!$C$2:$G$444,5,FALSE)</f>
        <v>#N/A</v>
      </c>
    </row>
    <row r="2914" spans="1:8">
      <c r="A2914" s="6" t="s">
        <v>943</v>
      </c>
      <c r="B2914" s="7" t="s">
        <v>944</v>
      </c>
      <c r="C2914" s="7" t="s">
        <v>1910</v>
      </c>
      <c r="D2914" s="7" t="s">
        <v>5206</v>
      </c>
      <c r="E2914" s="6" t="s">
        <v>5207</v>
      </c>
      <c r="F2914" s="8" t="str">
        <f>VLOOKUP($D2914,설문!$C$2:$G$444,3,FALSE)</f>
        <v>딜러</v>
      </c>
      <c r="G2914" s="8" t="str">
        <f>VLOOKUP($D2914,설문!$C$2:$G$444,4,FALSE)</f>
        <v>금융회사,기타</v>
      </c>
      <c r="H2914" s="8" t="str">
        <f>VLOOKUP($D2914,설문!$C$2:$G$444,5,FALSE)</f>
        <v>국내주식/지수</v>
      </c>
    </row>
    <row r="2915" spans="1:8">
      <c r="A2915" s="6" t="s">
        <v>1903</v>
      </c>
      <c r="B2915" s="7" t="s">
        <v>725</v>
      </c>
      <c r="C2915" s="7" t="s">
        <v>725</v>
      </c>
      <c r="D2915" s="7" t="s">
        <v>1904</v>
      </c>
      <c r="E2915" s="6" t="s">
        <v>1809</v>
      </c>
      <c r="F2915" s="8" t="e">
        <f>VLOOKUP($D2915,설문!$C$2:$G$444,3,FALSE)</f>
        <v>#N/A</v>
      </c>
      <c r="G2915" s="8" t="e">
        <f>VLOOKUP($D2915,설문!$C$2:$G$444,4,FALSE)</f>
        <v>#N/A</v>
      </c>
      <c r="H2915" s="8" t="e">
        <f>VLOOKUP($D2915,설문!$C$2:$G$444,5,FALSE)</f>
        <v>#N/A</v>
      </c>
    </row>
    <row r="2916" spans="1:8">
      <c r="A2916" s="6" t="s">
        <v>1903</v>
      </c>
      <c r="B2916" s="7" t="s">
        <v>74</v>
      </c>
      <c r="C2916" s="7" t="s">
        <v>9</v>
      </c>
      <c r="D2916" s="7" t="s">
        <v>2670</v>
      </c>
      <c r="E2916" s="6" t="s">
        <v>2671</v>
      </c>
      <c r="F2916" s="8" t="e">
        <f>VLOOKUP($D2916,설문!$C$2:$G$444,3,FALSE)</f>
        <v>#N/A</v>
      </c>
      <c r="G2916" s="8" t="e">
        <f>VLOOKUP($D2916,설문!$C$2:$G$444,4,FALSE)</f>
        <v>#N/A</v>
      </c>
      <c r="H2916" s="8" t="e">
        <f>VLOOKUP($D2916,설문!$C$2:$G$444,5,FALSE)</f>
        <v>#N/A</v>
      </c>
    </row>
    <row r="2917" spans="1:8">
      <c r="A2917" s="6" t="s">
        <v>1903</v>
      </c>
      <c r="B2917" s="7" t="s">
        <v>386</v>
      </c>
      <c r="C2917" s="7" t="s">
        <v>386</v>
      </c>
      <c r="D2917" s="7" t="s">
        <v>2672</v>
      </c>
      <c r="E2917" s="6" t="s">
        <v>2673</v>
      </c>
      <c r="F2917" s="8" t="e">
        <f>VLOOKUP($D2917,설문!$C$2:$G$444,3,FALSE)</f>
        <v>#N/A</v>
      </c>
      <c r="G2917" s="8" t="e">
        <f>VLOOKUP($D2917,설문!$C$2:$G$444,4,FALSE)</f>
        <v>#N/A</v>
      </c>
      <c r="H2917" s="8" t="e">
        <f>VLOOKUP($D2917,설문!$C$2:$G$444,5,FALSE)</f>
        <v>#N/A</v>
      </c>
    </row>
    <row r="2918" spans="1:8">
      <c r="A2918" s="6" t="s">
        <v>1903</v>
      </c>
      <c r="B2918" s="7" t="s">
        <v>386</v>
      </c>
      <c r="C2918" s="7" t="s">
        <v>386</v>
      </c>
      <c r="D2918" s="7" t="s">
        <v>2674</v>
      </c>
      <c r="E2918" s="6" t="s">
        <v>2675</v>
      </c>
      <c r="F2918" s="8" t="str">
        <f>VLOOKUP($D2918,설문!$C$2:$G$444,3,FALSE)</f>
        <v>리스크관리(미들),백오피스,분석 및 전략</v>
      </c>
      <c r="G2918" s="8" t="str">
        <f>VLOOKUP($D2918,설문!$C$2:$G$444,4,FALSE)</f>
        <v>금융회사,기타</v>
      </c>
      <c r="H2918" s="8" t="str">
        <f>VLOOKUP($D2918,설문!$C$2:$G$444,5,FALSE)</f>
        <v>국고채/통안채,회사채,Korean Paper,외화채권(KP제외),원화 구조화채권,외화 구조화채권,FX Spot &amp; FX Swap,CRS &amp; FX Option,ELW,대체투자(부동산/인프라)</v>
      </c>
    </row>
    <row r="2919" spans="1:8">
      <c r="A2919" s="6" t="s">
        <v>1903</v>
      </c>
      <c r="B2919" s="7" t="s">
        <v>2676</v>
      </c>
      <c r="C2919" s="7" t="s">
        <v>2677</v>
      </c>
      <c r="D2919" s="7" t="s">
        <v>2678</v>
      </c>
      <c r="E2919" s="6" t="s">
        <v>2679</v>
      </c>
      <c r="F2919" s="8" t="e">
        <f>VLOOKUP($D2919,설문!$C$2:$G$444,3,FALSE)</f>
        <v>#N/A</v>
      </c>
      <c r="G2919" s="8" t="e">
        <f>VLOOKUP($D2919,설문!$C$2:$G$444,4,FALSE)</f>
        <v>#N/A</v>
      </c>
      <c r="H2919" s="8" t="e">
        <f>VLOOKUP($D2919,설문!$C$2:$G$444,5,FALSE)</f>
        <v>#N/A</v>
      </c>
    </row>
    <row r="2920" spans="1:8">
      <c r="A2920" s="6" t="s">
        <v>1903</v>
      </c>
      <c r="B2920" s="7" t="s">
        <v>2676</v>
      </c>
      <c r="C2920" s="7" t="s">
        <v>2677</v>
      </c>
      <c r="D2920" s="7" t="s">
        <v>2681</v>
      </c>
      <c r="E2920" s="6" t="s">
        <v>2682</v>
      </c>
      <c r="F2920" s="8" t="e">
        <f>VLOOKUP($D2920,설문!$C$2:$G$444,3,FALSE)</f>
        <v>#N/A</v>
      </c>
      <c r="G2920" s="8" t="e">
        <f>VLOOKUP($D2920,설문!$C$2:$G$444,4,FALSE)</f>
        <v>#N/A</v>
      </c>
      <c r="H2920" s="8" t="e">
        <f>VLOOKUP($D2920,설문!$C$2:$G$444,5,FALSE)</f>
        <v>#N/A</v>
      </c>
    </row>
    <row r="2921" spans="1:8">
      <c r="A2921" s="6" t="s">
        <v>1903</v>
      </c>
      <c r="B2921" s="7" t="s">
        <v>2676</v>
      </c>
      <c r="C2921" s="7" t="s">
        <v>2677</v>
      </c>
      <c r="D2921" s="7" t="s">
        <v>2683</v>
      </c>
      <c r="E2921" s="6" t="s">
        <v>2684</v>
      </c>
      <c r="F2921" s="8" t="e">
        <f>VLOOKUP($D2921,설문!$C$2:$G$444,3,FALSE)</f>
        <v>#N/A</v>
      </c>
      <c r="G2921" s="8" t="e">
        <f>VLOOKUP($D2921,설문!$C$2:$G$444,4,FALSE)</f>
        <v>#N/A</v>
      </c>
      <c r="H2921" s="8" t="e">
        <f>VLOOKUP($D2921,설문!$C$2:$G$444,5,FALSE)</f>
        <v>#N/A</v>
      </c>
    </row>
    <row r="2922" spans="1:8">
      <c r="A2922" s="6" t="s">
        <v>2222</v>
      </c>
      <c r="B2922" s="7" t="s">
        <v>69</v>
      </c>
      <c r="C2922" s="7" t="s">
        <v>1052</v>
      </c>
      <c r="D2922" s="7" t="s">
        <v>2223</v>
      </c>
      <c r="E2922" s="6" t="s">
        <v>2224</v>
      </c>
      <c r="F2922" s="8" t="str">
        <f>VLOOKUP($D2922,설문!$C$2:$G$444,3,FALSE)</f>
        <v>트레이더</v>
      </c>
      <c r="G2922" s="8" t="str">
        <f>VLOOKUP($D2922,설문!$C$2:$G$444,4,FALSE)</f>
        <v>금융회사</v>
      </c>
      <c r="H2922" s="8" t="str">
        <f>VLOOKUP($D2922,설문!$C$2:$G$444,5,FALSE)</f>
        <v>국내주식/지수</v>
      </c>
    </row>
    <row r="2923" spans="1:8">
      <c r="A2923" s="6" t="s">
        <v>319</v>
      </c>
      <c r="B2923" s="7" t="s">
        <v>320</v>
      </c>
      <c r="C2923" s="7" t="s">
        <v>320</v>
      </c>
      <c r="D2923" s="7" t="s">
        <v>321</v>
      </c>
      <c r="E2923" s="6" t="s">
        <v>322</v>
      </c>
      <c r="F2923" s="8" t="e">
        <f>VLOOKUP($D2923,설문!$C$2:$G$444,3,FALSE)</f>
        <v>#N/A</v>
      </c>
      <c r="G2923" s="8" t="e">
        <f>VLOOKUP($D2923,설문!$C$2:$G$444,4,FALSE)</f>
        <v>#N/A</v>
      </c>
      <c r="H2923" s="8" t="e">
        <f>VLOOKUP($D2923,설문!$C$2:$G$444,5,FALSE)</f>
        <v>#N/A</v>
      </c>
    </row>
    <row r="2924" spans="1:8">
      <c r="A2924" s="6" t="s">
        <v>319</v>
      </c>
      <c r="B2924" s="7" t="s">
        <v>320</v>
      </c>
      <c r="C2924" s="7" t="s">
        <v>320</v>
      </c>
      <c r="D2924" s="7" t="s">
        <v>323</v>
      </c>
      <c r="E2924" s="6" t="s">
        <v>324</v>
      </c>
      <c r="F2924" s="8" t="e">
        <f>VLOOKUP($D2924,설문!$C$2:$G$444,3,FALSE)</f>
        <v>#N/A</v>
      </c>
      <c r="G2924" s="8" t="e">
        <f>VLOOKUP($D2924,설문!$C$2:$G$444,4,FALSE)</f>
        <v>#N/A</v>
      </c>
      <c r="H2924" s="8" t="e">
        <f>VLOOKUP($D2924,설문!$C$2:$G$444,5,FALSE)</f>
        <v>#N/A</v>
      </c>
    </row>
    <row r="2925" spans="1:8">
      <c r="A2925" s="6" t="s">
        <v>319</v>
      </c>
      <c r="B2925" s="7" t="s">
        <v>320</v>
      </c>
      <c r="C2925" s="7" t="s">
        <v>320</v>
      </c>
      <c r="D2925" s="7" t="s">
        <v>325</v>
      </c>
      <c r="E2925" s="6" t="s">
        <v>326</v>
      </c>
      <c r="F2925" s="8" t="e">
        <f>VLOOKUP($D2925,설문!$C$2:$G$444,3,FALSE)</f>
        <v>#N/A</v>
      </c>
      <c r="G2925" s="8" t="e">
        <f>VLOOKUP($D2925,설문!$C$2:$G$444,4,FALSE)</f>
        <v>#N/A</v>
      </c>
      <c r="H2925" s="8" t="e">
        <f>VLOOKUP($D2925,설문!$C$2:$G$444,5,FALSE)</f>
        <v>#N/A</v>
      </c>
    </row>
    <row r="2926" spans="1:8">
      <c r="A2926" s="6" t="s">
        <v>319</v>
      </c>
      <c r="B2926" s="7" t="s">
        <v>108</v>
      </c>
      <c r="C2926" s="7" t="s">
        <v>108</v>
      </c>
      <c r="D2926" s="7" t="s">
        <v>969</v>
      </c>
      <c r="E2926" s="6" t="s">
        <v>970</v>
      </c>
      <c r="F2926" s="8" t="e">
        <f>VLOOKUP($D2926,설문!$C$2:$G$444,3,FALSE)</f>
        <v>#N/A</v>
      </c>
      <c r="G2926" s="8" t="e">
        <f>VLOOKUP($D2926,설문!$C$2:$G$444,4,FALSE)</f>
        <v>#N/A</v>
      </c>
      <c r="H2926" s="8" t="e">
        <f>VLOOKUP($D2926,설문!$C$2:$G$444,5,FALSE)</f>
        <v>#N/A</v>
      </c>
    </row>
    <row r="2927" spans="1:8">
      <c r="A2927" s="6" t="s">
        <v>319</v>
      </c>
      <c r="B2927" s="7" t="s">
        <v>108</v>
      </c>
      <c r="C2927" s="7" t="s">
        <v>108</v>
      </c>
      <c r="D2927" s="7" t="s">
        <v>997</v>
      </c>
      <c r="E2927" s="6" t="s">
        <v>998</v>
      </c>
      <c r="F2927" s="8" t="e">
        <f>VLOOKUP($D2927,설문!$C$2:$G$444,3,FALSE)</f>
        <v>#N/A</v>
      </c>
      <c r="G2927" s="8" t="e">
        <f>VLOOKUP($D2927,설문!$C$2:$G$444,4,FALSE)</f>
        <v>#N/A</v>
      </c>
      <c r="H2927" s="8" t="e">
        <f>VLOOKUP($D2927,설문!$C$2:$G$444,5,FALSE)</f>
        <v>#N/A</v>
      </c>
    </row>
    <row r="2928" spans="1:8">
      <c r="A2928" s="6" t="s">
        <v>319</v>
      </c>
      <c r="B2928" s="7" t="s">
        <v>108</v>
      </c>
      <c r="C2928" s="7" t="s">
        <v>108</v>
      </c>
      <c r="D2928" s="7" t="s">
        <v>1001</v>
      </c>
      <c r="E2928" s="6" t="s">
        <v>1002</v>
      </c>
      <c r="F2928" s="8" t="e">
        <f>VLOOKUP($D2928,설문!$C$2:$G$444,3,FALSE)</f>
        <v>#N/A</v>
      </c>
      <c r="G2928" s="8" t="e">
        <f>VLOOKUP($D2928,설문!$C$2:$G$444,4,FALSE)</f>
        <v>#N/A</v>
      </c>
      <c r="H2928" s="8" t="e">
        <f>VLOOKUP($D2928,설문!$C$2:$G$444,5,FALSE)</f>
        <v>#N/A</v>
      </c>
    </row>
    <row r="2929" spans="1:8">
      <c r="A2929" s="6" t="s">
        <v>319</v>
      </c>
      <c r="B2929" s="7" t="s">
        <v>1020</v>
      </c>
      <c r="C2929" s="7" t="s">
        <v>1020</v>
      </c>
      <c r="D2929" s="7" t="s">
        <v>1021</v>
      </c>
      <c r="E2929" s="6" t="s">
        <v>1022</v>
      </c>
      <c r="F2929" s="8" t="e">
        <f>VLOOKUP($D2929,설문!$C$2:$G$444,3,FALSE)</f>
        <v>#N/A</v>
      </c>
      <c r="G2929" s="8" t="e">
        <f>VLOOKUP($D2929,설문!$C$2:$G$444,4,FALSE)</f>
        <v>#N/A</v>
      </c>
      <c r="H2929" s="8" t="e">
        <f>VLOOKUP($D2929,설문!$C$2:$G$444,5,FALSE)</f>
        <v>#N/A</v>
      </c>
    </row>
    <row r="2930" spans="1:8">
      <c r="A2930" s="6" t="s">
        <v>319</v>
      </c>
      <c r="B2930" s="7" t="s">
        <v>227</v>
      </c>
      <c r="C2930" s="7" t="s">
        <v>1160</v>
      </c>
      <c r="D2930" s="7" t="s">
        <v>1161</v>
      </c>
      <c r="E2930" s="6" t="s">
        <v>1162</v>
      </c>
      <c r="F2930" s="8" t="e">
        <f>VLOOKUP($D2930,설문!$C$2:$G$444,3,FALSE)</f>
        <v>#N/A</v>
      </c>
      <c r="G2930" s="8" t="e">
        <f>VLOOKUP($D2930,설문!$C$2:$G$444,4,FALSE)</f>
        <v>#N/A</v>
      </c>
      <c r="H2930" s="8" t="e">
        <f>VLOOKUP($D2930,설문!$C$2:$G$444,5,FALSE)</f>
        <v>#N/A</v>
      </c>
    </row>
    <row r="2931" spans="1:8">
      <c r="A2931" s="6" t="s">
        <v>319</v>
      </c>
      <c r="B2931" s="7" t="s">
        <v>320</v>
      </c>
      <c r="C2931" s="7" t="s">
        <v>320</v>
      </c>
      <c r="D2931" s="7" t="s">
        <v>1495</v>
      </c>
      <c r="E2931" s="6" t="s">
        <v>1496</v>
      </c>
      <c r="F2931" s="8" t="str">
        <f>VLOOKUP($D2931,설문!$C$2:$G$444,3,FALSE)</f>
        <v>세일즈,브로커</v>
      </c>
      <c r="G2931" s="8" t="str">
        <f>VLOOKUP($D2931,설문!$C$2:$G$444,4,FALSE)</f>
        <v>금융회사</v>
      </c>
      <c r="H2931" s="8" t="str">
        <f>VLOOKUP($D2931,설문!$C$2:$G$444,5,FALSE)</f>
        <v>국고채/통안채,회사채</v>
      </c>
    </row>
    <row r="2932" spans="1:8">
      <c r="A2932" s="6" t="s">
        <v>319</v>
      </c>
      <c r="B2932" s="7" t="s">
        <v>108</v>
      </c>
      <c r="C2932" s="7" t="s">
        <v>108</v>
      </c>
      <c r="D2932" s="7" t="s">
        <v>1497</v>
      </c>
      <c r="E2932" s="6" t="s">
        <v>1498</v>
      </c>
      <c r="F2932" s="8" t="str">
        <f>VLOOKUP($D2932,설문!$C$2:$G$444,3,FALSE)</f>
        <v>브로커</v>
      </c>
      <c r="G2932" s="8" t="str">
        <f>VLOOKUP($D2932,설문!$C$2:$G$444,4,FALSE)</f>
        <v>금융회사</v>
      </c>
      <c r="H2932" s="8" t="str">
        <f>VLOOKUP($D2932,설문!$C$2:$G$444,5,FALSE)</f>
        <v>국고채/통안채</v>
      </c>
    </row>
    <row r="2933" spans="1:8">
      <c r="A2933" s="6" t="s">
        <v>319</v>
      </c>
      <c r="B2933" s="7" t="s">
        <v>839</v>
      </c>
      <c r="C2933" s="7" t="s">
        <v>839</v>
      </c>
      <c r="D2933" s="7" t="s">
        <v>1499</v>
      </c>
      <c r="E2933" s="6" t="s">
        <v>823</v>
      </c>
      <c r="F2933" s="8" t="e">
        <f>VLOOKUP($D2933,설문!$C$2:$G$444,3,FALSE)</f>
        <v>#N/A</v>
      </c>
      <c r="G2933" s="8" t="e">
        <f>VLOOKUP($D2933,설문!$C$2:$G$444,4,FALSE)</f>
        <v>#N/A</v>
      </c>
      <c r="H2933" s="8" t="e">
        <f>VLOOKUP($D2933,설문!$C$2:$G$444,5,FALSE)</f>
        <v>#N/A</v>
      </c>
    </row>
    <row r="2934" spans="1:8">
      <c r="A2934" s="6" t="s">
        <v>319</v>
      </c>
      <c r="B2934" s="7" t="s">
        <v>320</v>
      </c>
      <c r="C2934" s="7" t="s">
        <v>320</v>
      </c>
      <c r="D2934" s="7" t="s">
        <v>1500</v>
      </c>
      <c r="E2934" s="6" t="s">
        <v>1501</v>
      </c>
      <c r="F2934" s="8" t="e">
        <f>VLOOKUP($D2934,설문!$C$2:$G$444,3,FALSE)</f>
        <v>#N/A</v>
      </c>
      <c r="G2934" s="8" t="e">
        <f>VLOOKUP($D2934,설문!$C$2:$G$444,4,FALSE)</f>
        <v>#N/A</v>
      </c>
      <c r="H2934" s="8" t="e">
        <f>VLOOKUP($D2934,설문!$C$2:$G$444,5,FALSE)</f>
        <v>#N/A</v>
      </c>
    </row>
    <row r="2935" spans="1:8">
      <c r="A2935" s="6" t="s">
        <v>319</v>
      </c>
      <c r="B2935" s="7" t="s">
        <v>839</v>
      </c>
      <c r="C2935" s="7" t="s">
        <v>839</v>
      </c>
      <c r="D2935" s="7" t="s">
        <v>1502</v>
      </c>
      <c r="E2935" s="6" t="s">
        <v>1503</v>
      </c>
      <c r="F2935" s="8" t="e">
        <f>VLOOKUP($D2935,설문!$C$2:$G$444,3,FALSE)</f>
        <v>#N/A</v>
      </c>
      <c r="G2935" s="8" t="e">
        <f>VLOOKUP($D2935,설문!$C$2:$G$444,4,FALSE)</f>
        <v>#N/A</v>
      </c>
      <c r="H2935" s="8" t="e">
        <f>VLOOKUP($D2935,설문!$C$2:$G$444,5,FALSE)</f>
        <v>#N/A</v>
      </c>
    </row>
    <row r="2936" spans="1:8">
      <c r="A2936" s="6" t="s">
        <v>319</v>
      </c>
      <c r="B2936" s="7" t="s">
        <v>108</v>
      </c>
      <c r="C2936" s="7" t="s">
        <v>108</v>
      </c>
      <c r="D2936" s="7" t="s">
        <v>1892</v>
      </c>
      <c r="E2936" s="6" t="s">
        <v>1893</v>
      </c>
      <c r="F2936" s="8" t="e">
        <f>VLOOKUP($D2936,설문!$C$2:$G$444,3,FALSE)</f>
        <v>#N/A</v>
      </c>
      <c r="G2936" s="8" t="e">
        <f>VLOOKUP($D2936,설문!$C$2:$G$444,4,FALSE)</f>
        <v>#N/A</v>
      </c>
      <c r="H2936" s="8" t="e">
        <f>VLOOKUP($D2936,설문!$C$2:$G$444,5,FALSE)</f>
        <v>#N/A</v>
      </c>
    </row>
    <row r="2937" spans="1:8">
      <c r="A2937" s="6" t="s">
        <v>319</v>
      </c>
      <c r="B2937" s="7" t="s">
        <v>839</v>
      </c>
      <c r="C2937" s="7" t="s">
        <v>839</v>
      </c>
      <c r="D2937" s="7" t="s">
        <v>5004</v>
      </c>
      <c r="E2937" s="6" t="s">
        <v>5005</v>
      </c>
      <c r="F2937" s="8" t="e">
        <f>VLOOKUP($D2937,설문!$C$2:$G$444,3,FALSE)</f>
        <v>#N/A</v>
      </c>
      <c r="G2937" s="8" t="e">
        <f>VLOOKUP($D2937,설문!$C$2:$G$444,4,FALSE)</f>
        <v>#N/A</v>
      </c>
      <c r="H2937" s="8" t="e">
        <f>VLOOKUP($D2937,설문!$C$2:$G$444,5,FALSE)</f>
        <v>#N/A</v>
      </c>
    </row>
    <row r="2938" spans="1:8">
      <c r="A2938" s="6" t="s">
        <v>2427</v>
      </c>
      <c r="B2938" s="7" t="s">
        <v>1411</v>
      </c>
      <c r="C2938" s="7" t="s">
        <v>270</v>
      </c>
      <c r="D2938" s="7" t="s">
        <v>2428</v>
      </c>
      <c r="E2938" s="6" t="s">
        <v>2429</v>
      </c>
      <c r="F2938" s="8" t="str">
        <f>VLOOKUP($D2938,설문!$C$2:$G$444,3,FALSE)</f>
        <v>펀드매니저</v>
      </c>
      <c r="G2938" s="8" t="str">
        <f>VLOOKUP($D2938,설문!$C$2:$G$444,4,FALSE)</f>
        <v>금융회사</v>
      </c>
      <c r="H2938" s="8" t="str">
        <f>VLOOKUP($D2938,설문!$C$2:$G$444,5,FALSE)</f>
        <v>국고채/통안채,원화 구조화채권</v>
      </c>
    </row>
    <row r="2939" spans="1:8">
      <c r="A2939" s="6" t="s">
        <v>2427</v>
      </c>
      <c r="B2939" s="7" t="s">
        <v>1411</v>
      </c>
      <c r="C2939" s="7" t="s">
        <v>2372</v>
      </c>
      <c r="D2939" s="7" t="s">
        <v>2430</v>
      </c>
      <c r="E2939" s="6" t="s">
        <v>2431</v>
      </c>
      <c r="F2939" s="8" t="e">
        <f>VLOOKUP($D2939,설문!$C$2:$G$444,3,FALSE)</f>
        <v>#N/A</v>
      </c>
      <c r="G2939" s="8" t="e">
        <f>VLOOKUP($D2939,설문!$C$2:$G$444,4,FALSE)</f>
        <v>#N/A</v>
      </c>
      <c r="H2939" s="8" t="e">
        <f>VLOOKUP($D2939,설문!$C$2:$G$444,5,FALSE)</f>
        <v>#N/A</v>
      </c>
    </row>
    <row r="2940" spans="1:8">
      <c r="A2940" s="6" t="s">
        <v>2427</v>
      </c>
      <c r="B2940" s="7" t="s">
        <v>1411</v>
      </c>
      <c r="C2940" s="7" t="s">
        <v>2432</v>
      </c>
      <c r="D2940" s="7" t="s">
        <v>2433</v>
      </c>
      <c r="E2940" s="6" t="s">
        <v>2434</v>
      </c>
      <c r="F2940" s="8" t="str">
        <f>VLOOKUP($D2940,설문!$C$2:$G$444,3,FALSE)</f>
        <v>기타,리스크관리(미들)</v>
      </c>
      <c r="G2940" s="8" t="str">
        <f>VLOOKUP($D2940,설문!$C$2:$G$444,4,FALSE)</f>
        <v>금융회사</v>
      </c>
      <c r="H2940" s="8" t="str">
        <f>VLOOKUP($D2940,설문!$C$2:$G$444,5,FALSE)</f>
        <v>대체투자(부동산/인프라)</v>
      </c>
    </row>
  </sheetData>
  <autoFilter ref="A1:H2940">
    <sortState ref="A2:H3520">
      <sortCondition ref="A2:A3520"/>
    </sortState>
  </autoFilter>
  <phoneticPr fontId="2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G444"/>
  <sheetViews>
    <sheetView topLeftCell="A18" workbookViewId="0">
      <selection activeCell="C34" sqref="C34"/>
    </sheetView>
  </sheetViews>
  <sheetFormatPr defaultRowHeight="13.2"/>
  <cols>
    <col min="1" max="2" width="20" bestFit="1" customWidth="1"/>
    <col min="3" max="3" width="15" bestFit="1" customWidth="1"/>
    <col min="4" max="4" width="8.88671875" customWidth="1"/>
    <col min="5" max="5" width="32.6640625" customWidth="1"/>
    <col min="6" max="6" width="34.6640625" customWidth="1"/>
    <col min="7" max="7" width="57.33203125" customWidth="1"/>
  </cols>
  <sheetData>
    <row r="1" spans="1:7">
      <c r="A1" s="2" t="s">
        <v>6918</v>
      </c>
      <c r="B1" s="2" t="s">
        <v>6919</v>
      </c>
      <c r="C1" s="2" t="s">
        <v>6920</v>
      </c>
      <c r="D1" s="2" t="s">
        <v>6921</v>
      </c>
      <c r="E1" s="2" t="s">
        <v>6922</v>
      </c>
      <c r="F1" s="2" t="s">
        <v>6923</v>
      </c>
      <c r="G1" s="2" t="s">
        <v>6924</v>
      </c>
    </row>
    <row r="2" spans="1:7">
      <c r="A2" s="1" t="s">
        <v>6925</v>
      </c>
      <c r="B2" s="1" t="s">
        <v>1695</v>
      </c>
      <c r="C2" s="1" t="s">
        <v>3291</v>
      </c>
      <c r="D2" s="1" t="s">
        <v>3292</v>
      </c>
      <c r="E2" s="1" t="s">
        <v>3334</v>
      </c>
      <c r="F2" s="1" t="s">
        <v>6926</v>
      </c>
      <c r="G2" s="1" t="s">
        <v>6927</v>
      </c>
    </row>
    <row r="3" spans="1:7">
      <c r="A3" s="1" t="s">
        <v>6928</v>
      </c>
      <c r="B3" s="1" t="s">
        <v>429</v>
      </c>
      <c r="C3" s="1" t="s">
        <v>3288</v>
      </c>
      <c r="D3" s="1" t="s">
        <v>3289</v>
      </c>
      <c r="E3" s="1" t="s">
        <v>3334</v>
      </c>
      <c r="F3" s="1" t="s">
        <v>6929</v>
      </c>
      <c r="G3" s="1" t="s">
        <v>6930</v>
      </c>
    </row>
    <row r="4" spans="1:7">
      <c r="A4" s="1" t="s">
        <v>6928</v>
      </c>
      <c r="B4" s="1" t="s">
        <v>1695</v>
      </c>
      <c r="C4" s="1" t="s">
        <v>3293</v>
      </c>
      <c r="D4" s="1" t="s">
        <v>3294</v>
      </c>
      <c r="E4" s="1" t="s">
        <v>6931</v>
      </c>
      <c r="F4" s="1" t="s">
        <v>6926</v>
      </c>
      <c r="G4" s="1" t="s">
        <v>6932</v>
      </c>
    </row>
    <row r="5" spans="1:7">
      <c r="A5" s="1" t="s">
        <v>6933</v>
      </c>
      <c r="B5" s="1" t="s">
        <v>2692</v>
      </c>
      <c r="C5" s="1" t="s">
        <v>2693</v>
      </c>
      <c r="D5" s="1" t="s">
        <v>2694</v>
      </c>
      <c r="E5" s="1" t="s">
        <v>6934</v>
      </c>
      <c r="F5" s="1" t="s">
        <v>6929</v>
      </c>
      <c r="G5" s="1" t="s">
        <v>6935</v>
      </c>
    </row>
    <row r="6" spans="1:7">
      <c r="A6" s="1" t="s">
        <v>6936</v>
      </c>
      <c r="B6" s="1" t="s">
        <v>264</v>
      </c>
      <c r="C6" s="1" t="s">
        <v>3057</v>
      </c>
      <c r="D6" s="1" t="s">
        <v>3058</v>
      </c>
      <c r="E6" s="1" t="s">
        <v>6931</v>
      </c>
      <c r="F6" s="1" t="s">
        <v>6929</v>
      </c>
      <c r="G6" s="1" t="s">
        <v>6937</v>
      </c>
    </row>
    <row r="7" spans="1:7">
      <c r="A7" s="1" t="s">
        <v>6938</v>
      </c>
      <c r="B7" s="1" t="s">
        <v>340</v>
      </c>
      <c r="C7" s="1" t="s">
        <v>698</v>
      </c>
      <c r="D7" s="1" t="s">
        <v>699</v>
      </c>
      <c r="E7" s="1" t="s">
        <v>6939</v>
      </c>
      <c r="F7" s="1" t="s">
        <v>6926</v>
      </c>
      <c r="G7" s="1" t="s">
        <v>6940</v>
      </c>
    </row>
    <row r="8" spans="1:7">
      <c r="A8" s="1" t="s">
        <v>6938</v>
      </c>
      <c r="B8" s="1" t="s">
        <v>739</v>
      </c>
      <c r="C8" s="1" t="s">
        <v>740</v>
      </c>
      <c r="D8" s="1" t="s">
        <v>741</v>
      </c>
      <c r="E8" s="1" t="s">
        <v>5162</v>
      </c>
      <c r="F8" s="1" t="s">
        <v>6929</v>
      </c>
      <c r="G8" s="1" t="s">
        <v>6941</v>
      </c>
    </row>
    <row r="9" spans="1:7">
      <c r="A9" s="1" t="s">
        <v>6938</v>
      </c>
      <c r="B9" s="1" t="s">
        <v>739</v>
      </c>
      <c r="C9" s="1" t="s">
        <v>3019</v>
      </c>
      <c r="D9" s="1" t="s">
        <v>3020</v>
      </c>
      <c r="E9" s="1" t="s">
        <v>6939</v>
      </c>
      <c r="F9" s="1" t="s">
        <v>6929</v>
      </c>
      <c r="G9" s="1" t="s">
        <v>6942</v>
      </c>
    </row>
    <row r="10" spans="1:7">
      <c r="A10" s="1" t="s">
        <v>6938</v>
      </c>
      <c r="B10" s="1" t="s">
        <v>119</v>
      </c>
      <c r="C10" s="1" t="s">
        <v>723</v>
      </c>
      <c r="D10" s="1" t="s">
        <v>724</v>
      </c>
      <c r="E10" s="1" t="s">
        <v>6943</v>
      </c>
      <c r="F10" s="1" t="s">
        <v>6929</v>
      </c>
      <c r="G10" s="1" t="s">
        <v>6927</v>
      </c>
    </row>
    <row r="11" spans="1:7">
      <c r="A11" s="1" t="s">
        <v>6938</v>
      </c>
      <c r="B11" s="1" t="s">
        <v>799</v>
      </c>
      <c r="C11" s="1" t="s">
        <v>800</v>
      </c>
      <c r="D11" s="1" t="s">
        <v>801</v>
      </c>
      <c r="E11" s="1" t="s">
        <v>6944</v>
      </c>
      <c r="F11" s="1" t="s">
        <v>6926</v>
      </c>
      <c r="G11" s="1" t="s">
        <v>6945</v>
      </c>
    </row>
    <row r="12" spans="1:7">
      <c r="A12" s="1" t="s">
        <v>6946</v>
      </c>
      <c r="B12" s="1" t="s">
        <v>395</v>
      </c>
      <c r="C12" s="1" t="s">
        <v>6947</v>
      </c>
      <c r="D12" s="1" t="s">
        <v>2785</v>
      </c>
      <c r="E12" s="1" t="s">
        <v>3334</v>
      </c>
      <c r="F12" s="1" t="s">
        <v>6929</v>
      </c>
      <c r="G12" s="1" t="s">
        <v>6948</v>
      </c>
    </row>
    <row r="13" spans="1:7">
      <c r="A13" s="1" t="s">
        <v>6949</v>
      </c>
      <c r="B13" s="1" t="s">
        <v>153</v>
      </c>
      <c r="C13" s="1" t="s">
        <v>5300</v>
      </c>
      <c r="D13" s="1" t="s">
        <v>5301</v>
      </c>
      <c r="E13" s="1" t="s">
        <v>5162</v>
      </c>
      <c r="F13" s="1" t="s">
        <v>6950</v>
      </c>
      <c r="G13" s="1" t="s">
        <v>6951</v>
      </c>
    </row>
    <row r="14" spans="1:7">
      <c r="A14" s="1" t="s">
        <v>6952</v>
      </c>
      <c r="B14" s="1" t="s">
        <v>377</v>
      </c>
      <c r="C14" s="1" t="s">
        <v>5152</v>
      </c>
      <c r="D14" s="1" t="s">
        <v>547</v>
      </c>
      <c r="E14" s="1" t="s">
        <v>3334</v>
      </c>
      <c r="F14" s="1" t="s">
        <v>6929</v>
      </c>
      <c r="G14" s="1" t="s">
        <v>6951</v>
      </c>
    </row>
    <row r="15" spans="1:7">
      <c r="A15" s="1" t="s">
        <v>6952</v>
      </c>
      <c r="B15" s="1" t="s">
        <v>1079</v>
      </c>
      <c r="C15" s="1" t="s">
        <v>5148</v>
      </c>
      <c r="D15" s="1" t="s">
        <v>5149</v>
      </c>
      <c r="E15" s="1" t="s">
        <v>5162</v>
      </c>
      <c r="F15" s="1" t="s">
        <v>6953</v>
      </c>
      <c r="G15" s="1" t="s">
        <v>6954</v>
      </c>
    </row>
    <row r="16" spans="1:7">
      <c r="A16" s="1" t="s">
        <v>6952</v>
      </c>
      <c r="B16" s="1" t="s">
        <v>5162</v>
      </c>
      <c r="C16" s="1" t="s">
        <v>5165</v>
      </c>
      <c r="D16" s="1" t="s">
        <v>5166</v>
      </c>
      <c r="E16" s="1" t="s">
        <v>6955</v>
      </c>
      <c r="F16" s="1" t="s">
        <v>6929</v>
      </c>
      <c r="G16" s="1" t="s">
        <v>6940</v>
      </c>
    </row>
    <row r="17" spans="1:7">
      <c r="A17" s="1" t="s">
        <v>6956</v>
      </c>
      <c r="B17" s="1" t="s">
        <v>1305</v>
      </c>
      <c r="C17" s="1" t="s">
        <v>5116</v>
      </c>
      <c r="D17" s="1" t="s">
        <v>5117</v>
      </c>
      <c r="E17" s="1" t="s">
        <v>6957</v>
      </c>
      <c r="F17" s="1" t="s">
        <v>6929</v>
      </c>
      <c r="G17" s="1" t="s">
        <v>6951</v>
      </c>
    </row>
    <row r="18" spans="1:7">
      <c r="A18" s="1" t="s">
        <v>6958</v>
      </c>
      <c r="B18" s="1" t="s">
        <v>675</v>
      </c>
      <c r="C18" s="1" t="s">
        <v>5679</v>
      </c>
      <c r="D18" s="1" t="s">
        <v>5680</v>
      </c>
      <c r="E18" s="1" t="s">
        <v>6939</v>
      </c>
      <c r="F18" s="1" t="s">
        <v>6953</v>
      </c>
      <c r="G18" s="1" t="s">
        <v>6959</v>
      </c>
    </row>
    <row r="19" spans="1:7">
      <c r="A19" s="1" t="s">
        <v>6958</v>
      </c>
      <c r="B19" s="1" t="s">
        <v>365</v>
      </c>
      <c r="C19" s="1" t="s">
        <v>5692</v>
      </c>
      <c r="D19" s="1" t="s">
        <v>5693</v>
      </c>
      <c r="E19" s="1" t="s">
        <v>3334</v>
      </c>
      <c r="F19" s="1" t="s">
        <v>6929</v>
      </c>
      <c r="G19" s="1" t="s">
        <v>6940</v>
      </c>
    </row>
    <row r="20" spans="1:7">
      <c r="A20" s="1" t="s">
        <v>6958</v>
      </c>
      <c r="B20" s="1" t="s">
        <v>965</v>
      </c>
      <c r="C20" s="1" t="s">
        <v>1721</v>
      </c>
      <c r="D20" s="1" t="s">
        <v>1722</v>
      </c>
      <c r="E20" s="1" t="s">
        <v>6960</v>
      </c>
      <c r="F20" s="1" t="s">
        <v>6961</v>
      </c>
      <c r="G20" s="1" t="s">
        <v>6962</v>
      </c>
    </row>
    <row r="21" spans="1:7">
      <c r="A21" s="1" t="s">
        <v>6958</v>
      </c>
      <c r="B21" s="1" t="s">
        <v>5658</v>
      </c>
      <c r="C21" s="1" t="s">
        <v>5659</v>
      </c>
      <c r="D21" s="1" t="s">
        <v>4076</v>
      </c>
      <c r="E21" s="1" t="s">
        <v>6957</v>
      </c>
      <c r="F21" s="1" t="s">
        <v>6953</v>
      </c>
      <c r="G21" s="1" t="s">
        <v>6963</v>
      </c>
    </row>
    <row r="22" spans="1:7">
      <c r="A22" s="1" t="s">
        <v>6958</v>
      </c>
      <c r="B22" s="1" t="s">
        <v>74</v>
      </c>
      <c r="C22" s="1" t="s">
        <v>5641</v>
      </c>
      <c r="D22" s="1" t="s">
        <v>5642</v>
      </c>
      <c r="E22" s="1" t="s">
        <v>6964</v>
      </c>
      <c r="F22" s="1" t="s">
        <v>6965</v>
      </c>
      <c r="G22" s="1" t="s">
        <v>6966</v>
      </c>
    </row>
    <row r="23" spans="1:7">
      <c r="A23" s="1" t="s">
        <v>6958</v>
      </c>
      <c r="B23" s="1" t="s">
        <v>5643</v>
      </c>
      <c r="C23" s="1" t="s">
        <v>5646</v>
      </c>
      <c r="D23" s="1" t="s">
        <v>5647</v>
      </c>
      <c r="E23" s="1" t="s">
        <v>6960</v>
      </c>
      <c r="F23" s="1" t="s">
        <v>6929</v>
      </c>
      <c r="G23" s="1" t="s">
        <v>6967</v>
      </c>
    </row>
    <row r="24" spans="1:7">
      <c r="A24" s="1" t="s">
        <v>6958</v>
      </c>
      <c r="B24" s="1" t="s">
        <v>675</v>
      </c>
      <c r="C24" s="1" t="s">
        <v>1686</v>
      </c>
      <c r="D24" s="1" t="s">
        <v>1687</v>
      </c>
      <c r="E24" s="1" t="s">
        <v>6939</v>
      </c>
      <c r="F24" s="1" t="s">
        <v>6953</v>
      </c>
      <c r="G24" s="1" t="s">
        <v>6927</v>
      </c>
    </row>
    <row r="25" spans="1:7">
      <c r="A25" s="1" t="s">
        <v>6958</v>
      </c>
      <c r="B25" s="1" t="s">
        <v>5651</v>
      </c>
      <c r="C25" s="1" t="s">
        <v>5652</v>
      </c>
      <c r="D25" s="1" t="s">
        <v>5653</v>
      </c>
      <c r="E25" s="1" t="s">
        <v>6934</v>
      </c>
      <c r="F25" s="1" t="s">
        <v>6953</v>
      </c>
      <c r="G25" s="1" t="s">
        <v>6968</v>
      </c>
    </row>
    <row r="26" spans="1:7">
      <c r="A26" s="1" t="s">
        <v>6969</v>
      </c>
      <c r="B26" s="1" t="s">
        <v>736</v>
      </c>
      <c r="C26" s="1" t="s">
        <v>737</v>
      </c>
      <c r="D26" s="1" t="s">
        <v>738</v>
      </c>
      <c r="E26" s="1" t="s">
        <v>6931</v>
      </c>
      <c r="F26" s="1" t="s">
        <v>6929</v>
      </c>
      <c r="G26" s="1" t="s">
        <v>6970</v>
      </c>
    </row>
    <row r="27" spans="1:7">
      <c r="A27" s="1" t="s">
        <v>6969</v>
      </c>
      <c r="B27" s="1" t="s">
        <v>2376</v>
      </c>
      <c r="C27" s="1" t="s">
        <v>2377</v>
      </c>
      <c r="D27" s="1" t="s">
        <v>2378</v>
      </c>
      <c r="E27" s="1" t="s">
        <v>6934</v>
      </c>
      <c r="F27" s="1" t="s">
        <v>6944</v>
      </c>
      <c r="G27" s="1" t="s">
        <v>6971</v>
      </c>
    </row>
    <row r="28" spans="1:7">
      <c r="A28" s="1" t="s">
        <v>6972</v>
      </c>
      <c r="B28" s="1" t="s">
        <v>2115</v>
      </c>
      <c r="C28" s="1" t="s">
        <v>2116</v>
      </c>
      <c r="D28" s="1" t="s">
        <v>2117</v>
      </c>
      <c r="E28" s="1" t="s">
        <v>6931</v>
      </c>
      <c r="F28" s="1" t="s">
        <v>6973</v>
      </c>
      <c r="G28" s="1" t="s">
        <v>6951</v>
      </c>
    </row>
    <row r="29" spans="1:7">
      <c r="A29" s="1" t="s">
        <v>6972</v>
      </c>
      <c r="B29" s="1" t="s">
        <v>358</v>
      </c>
      <c r="C29" s="1" t="s">
        <v>1064</v>
      </c>
      <c r="D29" s="1" t="s">
        <v>1065</v>
      </c>
      <c r="E29" s="1" t="s">
        <v>6931</v>
      </c>
      <c r="F29" s="1" t="s">
        <v>6929</v>
      </c>
      <c r="G29" s="1" t="s">
        <v>6954</v>
      </c>
    </row>
    <row r="30" spans="1:7">
      <c r="A30" s="1" t="s">
        <v>6972</v>
      </c>
      <c r="B30" s="1" t="s">
        <v>134</v>
      </c>
      <c r="C30" s="1" t="s">
        <v>2111</v>
      </c>
      <c r="D30" s="1" t="s">
        <v>2112</v>
      </c>
      <c r="E30" s="1" t="s">
        <v>6931</v>
      </c>
      <c r="F30" s="1" t="s">
        <v>6953</v>
      </c>
      <c r="G30" s="1" t="s">
        <v>6932</v>
      </c>
    </row>
    <row r="31" spans="1:7">
      <c r="A31" s="1" t="s">
        <v>6974</v>
      </c>
      <c r="B31" s="1" t="s">
        <v>149</v>
      </c>
      <c r="C31" s="1" t="s">
        <v>1759</v>
      </c>
      <c r="D31" s="1" t="s">
        <v>1760</v>
      </c>
      <c r="E31" s="1" t="s">
        <v>6939</v>
      </c>
      <c r="F31" s="1" t="s">
        <v>6929</v>
      </c>
      <c r="G31" s="1" t="s">
        <v>6967</v>
      </c>
    </row>
    <row r="32" spans="1:7">
      <c r="A32" s="1" t="s">
        <v>6975</v>
      </c>
      <c r="B32" s="1" t="s">
        <v>1913</v>
      </c>
      <c r="C32" s="1" t="s">
        <v>5186</v>
      </c>
      <c r="D32" s="1" t="s">
        <v>5187</v>
      </c>
      <c r="E32" s="1" t="s">
        <v>6957</v>
      </c>
      <c r="F32" s="1" t="s">
        <v>6929</v>
      </c>
      <c r="G32" s="1" t="s">
        <v>6951</v>
      </c>
    </row>
    <row r="33" spans="1:7">
      <c r="A33" s="1" t="s">
        <v>6975</v>
      </c>
      <c r="B33" s="1" t="s">
        <v>5188</v>
      </c>
      <c r="C33" s="1" t="s">
        <v>5189</v>
      </c>
      <c r="D33" s="1" t="s">
        <v>2071</v>
      </c>
      <c r="E33" s="1" t="s">
        <v>6957</v>
      </c>
      <c r="F33" s="1" t="s">
        <v>6929</v>
      </c>
      <c r="G33" s="1" t="s">
        <v>6951</v>
      </c>
    </row>
    <row r="34" spans="1:7">
      <c r="A34" s="1" t="s">
        <v>6976</v>
      </c>
      <c r="B34" s="1" t="s">
        <v>1061</v>
      </c>
      <c r="C34" s="1" t="s">
        <v>1062</v>
      </c>
      <c r="D34" s="1" t="s">
        <v>1063</v>
      </c>
      <c r="E34" s="1" t="s">
        <v>6934</v>
      </c>
      <c r="F34" s="1" t="s">
        <v>6973</v>
      </c>
      <c r="G34" s="1" t="s">
        <v>6977</v>
      </c>
    </row>
    <row r="35" spans="1:7">
      <c r="A35" s="1" t="s">
        <v>6976</v>
      </c>
      <c r="B35" s="1" t="s">
        <v>3721</v>
      </c>
      <c r="C35" s="1" t="s">
        <v>3725</v>
      </c>
      <c r="D35" s="1" t="s">
        <v>3726</v>
      </c>
      <c r="E35" s="1" t="s">
        <v>6931</v>
      </c>
      <c r="F35" s="1" t="s">
        <v>6929</v>
      </c>
      <c r="G35" s="1" t="s">
        <v>6978</v>
      </c>
    </row>
    <row r="36" spans="1:7">
      <c r="A36" s="1" t="s">
        <v>6976</v>
      </c>
      <c r="B36" s="1" t="s">
        <v>483</v>
      </c>
      <c r="C36" s="1" t="s">
        <v>3729</v>
      </c>
      <c r="D36" s="1" t="s">
        <v>3730</v>
      </c>
      <c r="E36" s="1" t="s">
        <v>6931</v>
      </c>
      <c r="F36" s="1" t="s">
        <v>6929</v>
      </c>
      <c r="G36" s="1" t="s">
        <v>6979</v>
      </c>
    </row>
    <row r="37" spans="1:7">
      <c r="A37" s="1" t="s">
        <v>6976</v>
      </c>
      <c r="B37" s="1" t="s">
        <v>1764</v>
      </c>
      <c r="C37" s="1" t="s">
        <v>1765</v>
      </c>
      <c r="D37" s="1" t="s">
        <v>1766</v>
      </c>
      <c r="E37" s="1" t="s">
        <v>6931</v>
      </c>
      <c r="F37" s="1" t="s">
        <v>6953</v>
      </c>
      <c r="G37" s="1" t="s">
        <v>6980</v>
      </c>
    </row>
    <row r="38" spans="1:7">
      <c r="A38" s="1" t="s">
        <v>6981</v>
      </c>
      <c r="B38" s="1" t="s">
        <v>2148</v>
      </c>
      <c r="C38" s="1" t="s">
        <v>2149</v>
      </c>
      <c r="D38" s="1" t="s">
        <v>2150</v>
      </c>
      <c r="E38" s="1" t="s">
        <v>6982</v>
      </c>
      <c r="F38" s="1" t="s">
        <v>6944</v>
      </c>
      <c r="G38" s="1" t="s">
        <v>6983</v>
      </c>
    </row>
    <row r="39" spans="1:7">
      <c r="A39" s="1" t="s">
        <v>4712</v>
      </c>
      <c r="B39" s="1" t="s">
        <v>988</v>
      </c>
      <c r="C39" s="1" t="s">
        <v>4728</v>
      </c>
      <c r="D39" s="1" t="s">
        <v>1333</v>
      </c>
      <c r="E39" s="1" t="s">
        <v>6984</v>
      </c>
      <c r="F39" s="1" t="s">
        <v>6929</v>
      </c>
      <c r="G39" s="1" t="s">
        <v>6985</v>
      </c>
    </row>
    <row r="40" spans="1:7">
      <c r="A40" s="1" t="s">
        <v>4712</v>
      </c>
      <c r="B40" s="1" t="s">
        <v>149</v>
      </c>
      <c r="C40" s="1" t="s">
        <v>4709</v>
      </c>
      <c r="D40" s="1" t="s">
        <v>4710</v>
      </c>
      <c r="E40" s="1" t="s">
        <v>6939</v>
      </c>
      <c r="F40" s="1" t="s">
        <v>6929</v>
      </c>
      <c r="G40" s="1" t="s">
        <v>6986</v>
      </c>
    </row>
    <row r="41" spans="1:7">
      <c r="A41" s="1" t="s">
        <v>4712</v>
      </c>
      <c r="B41" s="1" t="s">
        <v>789</v>
      </c>
      <c r="C41" s="1" t="s">
        <v>4700</v>
      </c>
      <c r="D41" s="1" t="s">
        <v>4701</v>
      </c>
      <c r="E41" s="1" t="s">
        <v>6957</v>
      </c>
      <c r="F41" s="1" t="s">
        <v>6987</v>
      </c>
      <c r="G41" s="1" t="s">
        <v>6988</v>
      </c>
    </row>
    <row r="42" spans="1:7">
      <c r="A42" s="1" t="s">
        <v>4712</v>
      </c>
      <c r="B42" s="1" t="s">
        <v>78</v>
      </c>
      <c r="C42" s="1" t="s">
        <v>4705</v>
      </c>
      <c r="D42" s="1" t="s">
        <v>4706</v>
      </c>
      <c r="E42" s="1" t="s">
        <v>3334</v>
      </c>
      <c r="F42" s="1" t="s">
        <v>6929</v>
      </c>
      <c r="G42" s="1" t="s">
        <v>6951</v>
      </c>
    </row>
    <row r="43" spans="1:7">
      <c r="A43" s="1" t="s">
        <v>4712</v>
      </c>
      <c r="B43" s="1" t="s">
        <v>988</v>
      </c>
      <c r="C43" s="1" t="s">
        <v>4731</v>
      </c>
      <c r="D43" s="1" t="s">
        <v>4732</v>
      </c>
      <c r="E43" s="1" t="s">
        <v>6989</v>
      </c>
      <c r="F43" s="1" t="s">
        <v>6929</v>
      </c>
      <c r="G43" s="1" t="s">
        <v>6990</v>
      </c>
    </row>
    <row r="44" spans="1:7">
      <c r="A44" s="1" t="s">
        <v>6991</v>
      </c>
      <c r="B44" s="1" t="s">
        <v>1629</v>
      </c>
      <c r="C44" s="1" t="s">
        <v>1630</v>
      </c>
      <c r="D44" s="1" t="s">
        <v>1631</v>
      </c>
      <c r="E44" s="1" t="s">
        <v>6992</v>
      </c>
      <c r="F44" s="1" t="s">
        <v>6929</v>
      </c>
      <c r="G44" s="1" t="s">
        <v>6967</v>
      </c>
    </row>
    <row r="45" spans="1:7">
      <c r="A45" s="1" t="s">
        <v>6991</v>
      </c>
      <c r="B45" s="1" t="s">
        <v>561</v>
      </c>
      <c r="C45" s="1" t="s">
        <v>4594</v>
      </c>
      <c r="D45" s="1" t="s">
        <v>4595</v>
      </c>
      <c r="E45" s="1" t="s">
        <v>6993</v>
      </c>
      <c r="F45" s="1" t="s">
        <v>6929</v>
      </c>
      <c r="G45" s="1" t="s">
        <v>6994</v>
      </c>
    </row>
    <row r="46" spans="1:7">
      <c r="A46" s="1" t="s">
        <v>6995</v>
      </c>
      <c r="B46" s="1" t="s">
        <v>2422</v>
      </c>
      <c r="C46" s="1" t="s">
        <v>2423</v>
      </c>
      <c r="D46" s="1" t="s">
        <v>2424</v>
      </c>
      <c r="E46" s="1" t="s">
        <v>6931</v>
      </c>
      <c r="F46" s="1" t="s">
        <v>6953</v>
      </c>
      <c r="G46" s="1" t="s">
        <v>6996</v>
      </c>
    </row>
    <row r="47" spans="1:7">
      <c r="A47" s="1" t="s">
        <v>6995</v>
      </c>
      <c r="B47" s="1" t="s">
        <v>2419</v>
      </c>
      <c r="C47" s="1" t="s">
        <v>2420</v>
      </c>
      <c r="D47" s="1" t="s">
        <v>2421</v>
      </c>
      <c r="E47" s="1" t="s">
        <v>6934</v>
      </c>
      <c r="F47" s="1" t="s">
        <v>6944</v>
      </c>
      <c r="G47" s="1" t="s">
        <v>6997</v>
      </c>
    </row>
    <row r="48" spans="1:7">
      <c r="A48" s="1" t="s">
        <v>6998</v>
      </c>
      <c r="B48" s="1" t="s">
        <v>657</v>
      </c>
      <c r="C48" s="1" t="s">
        <v>3622</v>
      </c>
      <c r="D48" s="1" t="s">
        <v>3623</v>
      </c>
      <c r="E48" s="1" t="s">
        <v>6931</v>
      </c>
      <c r="F48" s="1" t="s">
        <v>6999</v>
      </c>
      <c r="G48" s="1" t="s">
        <v>7000</v>
      </c>
    </row>
    <row r="49" spans="1:7">
      <c r="A49" s="1" t="s">
        <v>6998</v>
      </c>
      <c r="B49" s="1" t="s">
        <v>657</v>
      </c>
      <c r="C49" s="1" t="s">
        <v>927</v>
      </c>
      <c r="D49" s="1" t="s">
        <v>928</v>
      </c>
      <c r="E49" s="1" t="s">
        <v>6931</v>
      </c>
      <c r="F49" s="1" t="s">
        <v>7001</v>
      </c>
      <c r="G49" s="1" t="s">
        <v>7002</v>
      </c>
    </row>
    <row r="50" spans="1:7">
      <c r="A50" s="1" t="s">
        <v>6998</v>
      </c>
      <c r="B50" s="1" t="s">
        <v>286</v>
      </c>
      <c r="C50" s="1" t="s">
        <v>1814</v>
      </c>
      <c r="D50" s="1" t="s">
        <v>1815</v>
      </c>
      <c r="E50" s="1" t="s">
        <v>7003</v>
      </c>
      <c r="F50" s="1" t="s">
        <v>7004</v>
      </c>
      <c r="G50" s="1" t="s">
        <v>7005</v>
      </c>
    </row>
    <row r="51" spans="1:7">
      <c r="A51" s="1" t="s">
        <v>6998</v>
      </c>
      <c r="B51" s="1" t="s">
        <v>286</v>
      </c>
      <c r="C51" s="1" t="s">
        <v>1311</v>
      </c>
      <c r="D51" s="1" t="s">
        <v>1312</v>
      </c>
      <c r="E51" s="1" t="s">
        <v>6931</v>
      </c>
      <c r="F51" s="1" t="s">
        <v>6929</v>
      </c>
      <c r="G51" s="1" t="s">
        <v>6940</v>
      </c>
    </row>
    <row r="52" spans="1:7">
      <c r="A52" s="1" t="s">
        <v>6998</v>
      </c>
      <c r="B52" s="1" t="s">
        <v>657</v>
      </c>
      <c r="C52" s="1" t="s">
        <v>1701</v>
      </c>
      <c r="D52" s="1" t="s">
        <v>1702</v>
      </c>
      <c r="E52" s="1" t="s">
        <v>6931</v>
      </c>
      <c r="F52" s="1" t="s">
        <v>7001</v>
      </c>
      <c r="G52" s="1" t="s">
        <v>6940</v>
      </c>
    </row>
    <row r="53" spans="1:7">
      <c r="A53" s="1" t="s">
        <v>6998</v>
      </c>
      <c r="B53" s="1" t="s">
        <v>978</v>
      </c>
      <c r="C53" s="1" t="s">
        <v>979</v>
      </c>
      <c r="D53" s="1" t="s">
        <v>980</v>
      </c>
      <c r="E53" s="1" t="s">
        <v>7006</v>
      </c>
      <c r="F53" s="1" t="s">
        <v>6929</v>
      </c>
      <c r="G53" s="1" t="s">
        <v>7007</v>
      </c>
    </row>
    <row r="54" spans="1:7">
      <c r="A54" s="1" t="s">
        <v>6998</v>
      </c>
      <c r="B54" s="1" t="s">
        <v>657</v>
      </c>
      <c r="C54" s="1" t="s">
        <v>658</v>
      </c>
      <c r="D54" s="1" t="s">
        <v>659</v>
      </c>
      <c r="E54" s="1" t="s">
        <v>6931</v>
      </c>
      <c r="F54" s="1" t="s">
        <v>7008</v>
      </c>
      <c r="G54" s="1" t="s">
        <v>7009</v>
      </c>
    </row>
    <row r="55" spans="1:7">
      <c r="A55" s="1" t="s">
        <v>6</v>
      </c>
      <c r="B55" s="1" t="s">
        <v>1089</v>
      </c>
      <c r="C55" s="1" t="s">
        <v>1111</v>
      </c>
      <c r="D55" s="1" t="s">
        <v>1112</v>
      </c>
      <c r="E55" s="1" t="s">
        <v>7010</v>
      </c>
      <c r="F55" s="1" t="s">
        <v>7011</v>
      </c>
      <c r="G55" s="1" t="s">
        <v>7012</v>
      </c>
    </row>
    <row r="56" spans="1:7">
      <c r="A56" s="1" t="s">
        <v>6</v>
      </c>
      <c r="B56" s="1" t="s">
        <v>623</v>
      </c>
      <c r="C56" s="1" t="s">
        <v>6051</v>
      </c>
      <c r="D56" s="1" t="s">
        <v>813</v>
      </c>
      <c r="E56" s="1" t="s">
        <v>3334</v>
      </c>
      <c r="F56" s="1" t="s">
        <v>6999</v>
      </c>
      <c r="G56" s="1" t="s">
        <v>7013</v>
      </c>
    </row>
    <row r="57" spans="1:7">
      <c r="A57" s="1" t="s">
        <v>6</v>
      </c>
      <c r="B57" s="1" t="s">
        <v>1066</v>
      </c>
      <c r="C57" s="1" t="s">
        <v>6072</v>
      </c>
      <c r="D57" s="1" t="s">
        <v>6073</v>
      </c>
      <c r="E57" s="1" t="s">
        <v>7014</v>
      </c>
      <c r="F57" s="1" t="s">
        <v>6929</v>
      </c>
      <c r="G57" s="1" t="s">
        <v>7015</v>
      </c>
    </row>
    <row r="58" spans="1:7">
      <c r="A58" s="1" t="s">
        <v>6</v>
      </c>
      <c r="B58" s="1" t="s">
        <v>635</v>
      </c>
      <c r="C58" s="1" t="s">
        <v>636</v>
      </c>
      <c r="D58" s="1" t="s">
        <v>637</v>
      </c>
      <c r="E58" s="1" t="s">
        <v>7016</v>
      </c>
      <c r="F58" s="1" t="s">
        <v>6965</v>
      </c>
      <c r="G58" s="1" t="s">
        <v>7017</v>
      </c>
    </row>
    <row r="59" spans="1:7">
      <c r="A59" s="1" t="s">
        <v>6</v>
      </c>
      <c r="B59" s="1" t="s">
        <v>1089</v>
      </c>
      <c r="C59" s="1" t="s">
        <v>1520</v>
      </c>
      <c r="D59" s="1" t="s">
        <v>1521</v>
      </c>
      <c r="E59" s="1" t="s">
        <v>6957</v>
      </c>
      <c r="F59" s="1" t="s">
        <v>7018</v>
      </c>
      <c r="G59" s="1" t="s">
        <v>7019</v>
      </c>
    </row>
    <row r="60" spans="1:7">
      <c r="A60" s="1" t="s">
        <v>6</v>
      </c>
      <c r="B60" s="1" t="s">
        <v>666</v>
      </c>
      <c r="C60" s="1" t="s">
        <v>6106</v>
      </c>
      <c r="D60" s="1" t="s">
        <v>6107</v>
      </c>
      <c r="E60" s="1" t="s">
        <v>6943</v>
      </c>
      <c r="F60" s="1" t="s">
        <v>6929</v>
      </c>
      <c r="G60" s="1" t="s">
        <v>7020</v>
      </c>
    </row>
    <row r="61" spans="1:7">
      <c r="A61" s="1" t="s">
        <v>6</v>
      </c>
      <c r="B61" s="1" t="s">
        <v>666</v>
      </c>
      <c r="C61" s="1" t="s">
        <v>6104</v>
      </c>
      <c r="D61" s="1" t="s">
        <v>6105</v>
      </c>
      <c r="E61" s="1" t="s">
        <v>6982</v>
      </c>
      <c r="F61" s="1" t="s">
        <v>6987</v>
      </c>
      <c r="G61" s="1" t="s">
        <v>7020</v>
      </c>
    </row>
    <row r="62" spans="1:7">
      <c r="A62" s="1" t="s">
        <v>6</v>
      </c>
      <c r="B62" s="1" t="s">
        <v>443</v>
      </c>
      <c r="C62" s="1" t="s">
        <v>1666</v>
      </c>
      <c r="D62" s="1" t="s">
        <v>1667</v>
      </c>
      <c r="E62" s="1" t="s">
        <v>3334</v>
      </c>
      <c r="F62" s="1" t="s">
        <v>6929</v>
      </c>
      <c r="G62" s="1" t="s">
        <v>6970</v>
      </c>
    </row>
    <row r="63" spans="1:7">
      <c r="A63" s="1" t="s">
        <v>6</v>
      </c>
      <c r="B63" s="1" t="s">
        <v>1049</v>
      </c>
      <c r="C63" s="1" t="s">
        <v>1050</v>
      </c>
      <c r="D63" s="1" t="s">
        <v>1051</v>
      </c>
      <c r="E63" s="1" t="s">
        <v>3334</v>
      </c>
      <c r="F63" s="1" t="s">
        <v>7018</v>
      </c>
      <c r="G63" s="1" t="s">
        <v>6932</v>
      </c>
    </row>
    <row r="64" spans="1:7">
      <c r="A64" s="1" t="s">
        <v>6</v>
      </c>
      <c r="B64" s="1" t="s">
        <v>623</v>
      </c>
      <c r="C64" s="1" t="s">
        <v>6049</v>
      </c>
      <c r="D64" s="1" t="s">
        <v>6050</v>
      </c>
      <c r="E64" s="1" t="s">
        <v>7021</v>
      </c>
      <c r="F64" s="1" t="s">
        <v>6953</v>
      </c>
      <c r="G64" s="1" t="s">
        <v>6951</v>
      </c>
    </row>
    <row r="65" spans="1:7">
      <c r="A65" s="1" t="s">
        <v>6</v>
      </c>
      <c r="B65" s="1" t="s">
        <v>1066</v>
      </c>
      <c r="C65" s="1" t="s">
        <v>6066</v>
      </c>
      <c r="D65" s="1" t="s">
        <v>6067</v>
      </c>
      <c r="E65" s="1" t="s">
        <v>6957</v>
      </c>
      <c r="F65" s="1" t="s">
        <v>7018</v>
      </c>
      <c r="G65" s="1" t="s">
        <v>7022</v>
      </c>
    </row>
    <row r="66" spans="1:7">
      <c r="A66" s="1" t="s">
        <v>6</v>
      </c>
      <c r="B66" s="1" t="s">
        <v>5344</v>
      </c>
      <c r="C66" s="1" t="s">
        <v>5345</v>
      </c>
      <c r="D66" s="1" t="s">
        <v>3012</v>
      </c>
      <c r="E66" s="1" t="s">
        <v>6939</v>
      </c>
      <c r="F66" s="1" t="s">
        <v>6929</v>
      </c>
      <c r="G66" s="1" t="s">
        <v>6954</v>
      </c>
    </row>
    <row r="67" spans="1:7">
      <c r="A67" s="1" t="s">
        <v>6</v>
      </c>
      <c r="B67" s="1" t="s">
        <v>112</v>
      </c>
      <c r="C67" s="1" t="s">
        <v>6056</v>
      </c>
      <c r="D67" s="1" t="s">
        <v>6057</v>
      </c>
      <c r="E67" s="1" t="s">
        <v>7023</v>
      </c>
      <c r="F67" s="1" t="s">
        <v>7018</v>
      </c>
      <c r="G67" s="1" t="s">
        <v>7024</v>
      </c>
    </row>
    <row r="68" spans="1:7">
      <c r="A68" s="1" t="s">
        <v>6</v>
      </c>
      <c r="B68" s="1" t="s">
        <v>613</v>
      </c>
      <c r="C68" s="1" t="s">
        <v>5314</v>
      </c>
      <c r="D68" s="1" t="s">
        <v>5315</v>
      </c>
      <c r="E68" s="1" t="s">
        <v>3334</v>
      </c>
      <c r="F68" s="1" t="s">
        <v>6953</v>
      </c>
      <c r="G68" s="1" t="s">
        <v>6951</v>
      </c>
    </row>
    <row r="69" spans="1:7">
      <c r="A69" s="1" t="s">
        <v>6</v>
      </c>
      <c r="B69" s="1" t="s">
        <v>1794</v>
      </c>
      <c r="C69" s="1" t="s">
        <v>5336</v>
      </c>
      <c r="D69" s="1" t="s">
        <v>5337</v>
      </c>
      <c r="E69" s="1" t="s">
        <v>3334</v>
      </c>
      <c r="F69" s="1" t="s">
        <v>6929</v>
      </c>
      <c r="G69" s="1" t="s">
        <v>7025</v>
      </c>
    </row>
    <row r="70" spans="1:7">
      <c r="A70" s="1" t="s">
        <v>6</v>
      </c>
      <c r="B70" s="1" t="s">
        <v>6127</v>
      </c>
      <c r="C70" s="1" t="s">
        <v>6131</v>
      </c>
      <c r="D70" s="1" t="s">
        <v>6132</v>
      </c>
      <c r="E70" s="1" t="s">
        <v>6939</v>
      </c>
      <c r="F70" s="1" t="s">
        <v>6929</v>
      </c>
      <c r="G70" s="1" t="s">
        <v>7026</v>
      </c>
    </row>
    <row r="71" spans="1:7">
      <c r="A71" s="1" t="s">
        <v>6</v>
      </c>
      <c r="B71" s="1" t="s">
        <v>962</v>
      </c>
      <c r="C71" s="1" t="s">
        <v>963</v>
      </c>
      <c r="D71" s="1" t="s">
        <v>964</v>
      </c>
      <c r="E71" s="1" t="s">
        <v>7027</v>
      </c>
      <c r="F71" s="1" t="s">
        <v>6944</v>
      </c>
      <c r="G71" s="1" t="s">
        <v>7028</v>
      </c>
    </row>
    <row r="72" spans="1:7">
      <c r="A72" s="1" t="s">
        <v>6</v>
      </c>
      <c r="B72" s="1" t="s">
        <v>1482</v>
      </c>
      <c r="C72" s="1" t="s">
        <v>1789</v>
      </c>
      <c r="D72" s="1" t="s">
        <v>1790</v>
      </c>
      <c r="E72" s="1" t="s">
        <v>6931</v>
      </c>
      <c r="F72" s="1" t="s">
        <v>7011</v>
      </c>
      <c r="G72" s="1" t="s">
        <v>7029</v>
      </c>
    </row>
    <row r="73" spans="1:7">
      <c r="A73" s="1" t="s">
        <v>6</v>
      </c>
      <c r="B73" s="1" t="s">
        <v>606</v>
      </c>
      <c r="C73" s="1" t="s">
        <v>6116</v>
      </c>
      <c r="D73" s="1" t="s">
        <v>6117</v>
      </c>
      <c r="E73" s="1" t="s">
        <v>7030</v>
      </c>
      <c r="F73" s="1" t="s">
        <v>6987</v>
      </c>
      <c r="G73" s="1" t="s">
        <v>6966</v>
      </c>
    </row>
    <row r="74" spans="1:7">
      <c r="A74" s="1" t="s">
        <v>7031</v>
      </c>
      <c r="B74" s="1" t="s">
        <v>443</v>
      </c>
      <c r="C74" s="1" t="s">
        <v>5340</v>
      </c>
      <c r="D74" s="1" t="s">
        <v>5341</v>
      </c>
      <c r="E74" s="1" t="s">
        <v>3334</v>
      </c>
      <c r="F74" s="1" t="s">
        <v>7011</v>
      </c>
      <c r="G74" s="1" t="s">
        <v>7032</v>
      </c>
    </row>
    <row r="75" spans="1:7">
      <c r="A75" s="1" t="s">
        <v>7031</v>
      </c>
      <c r="B75" s="1" t="s">
        <v>6095</v>
      </c>
      <c r="C75" s="1" t="s">
        <v>6096</v>
      </c>
      <c r="D75" s="1" t="s">
        <v>6097</v>
      </c>
      <c r="E75" s="1" t="s">
        <v>3334</v>
      </c>
      <c r="F75" s="1" t="s">
        <v>6929</v>
      </c>
      <c r="G75" s="1" t="s">
        <v>6967</v>
      </c>
    </row>
    <row r="76" spans="1:7">
      <c r="A76" s="1" t="s">
        <v>7033</v>
      </c>
      <c r="B76" s="1" t="s">
        <v>4364</v>
      </c>
      <c r="C76" s="1" t="s">
        <v>4367</v>
      </c>
      <c r="D76" s="1" t="s">
        <v>2875</v>
      </c>
      <c r="E76" s="1" t="s">
        <v>7034</v>
      </c>
      <c r="F76" s="1" t="s">
        <v>6929</v>
      </c>
      <c r="G76" s="1" t="s">
        <v>7035</v>
      </c>
    </row>
    <row r="77" spans="1:7">
      <c r="A77" s="1" t="s">
        <v>7036</v>
      </c>
      <c r="B77" s="1" t="s">
        <v>483</v>
      </c>
      <c r="C77" s="1" t="s">
        <v>4359</v>
      </c>
      <c r="D77" s="1" t="s">
        <v>4360</v>
      </c>
      <c r="E77" s="1" t="s">
        <v>6934</v>
      </c>
      <c r="F77" s="1" t="s">
        <v>6929</v>
      </c>
      <c r="G77" s="1" t="s">
        <v>7037</v>
      </c>
    </row>
    <row r="78" spans="1:7">
      <c r="A78" s="1" t="s">
        <v>7036</v>
      </c>
      <c r="B78" s="1" t="s">
        <v>4364</v>
      </c>
      <c r="C78" s="1" t="s">
        <v>4370</v>
      </c>
      <c r="D78" s="1" t="s">
        <v>4371</v>
      </c>
      <c r="E78" s="1" t="s">
        <v>3334</v>
      </c>
      <c r="F78" s="1" t="s">
        <v>7018</v>
      </c>
      <c r="G78" s="1" t="s">
        <v>7038</v>
      </c>
    </row>
    <row r="79" spans="1:7">
      <c r="A79" s="1" t="s">
        <v>7036</v>
      </c>
      <c r="B79" s="1" t="s">
        <v>4310</v>
      </c>
      <c r="C79" s="1" t="s">
        <v>4311</v>
      </c>
      <c r="D79" s="1" t="s">
        <v>4312</v>
      </c>
      <c r="E79" s="1" t="s">
        <v>6982</v>
      </c>
      <c r="F79" s="1" t="s">
        <v>7018</v>
      </c>
      <c r="G79" s="1" t="s">
        <v>7039</v>
      </c>
    </row>
    <row r="80" spans="1:7">
      <c r="A80" s="1" t="s">
        <v>7036</v>
      </c>
      <c r="B80" s="1" t="s">
        <v>4328</v>
      </c>
      <c r="C80" s="1" t="s">
        <v>4379</v>
      </c>
      <c r="D80" s="1" t="s">
        <v>4380</v>
      </c>
      <c r="E80" s="1" t="s">
        <v>6982</v>
      </c>
      <c r="F80" s="1" t="s">
        <v>6973</v>
      </c>
      <c r="G80" s="1" t="s">
        <v>7040</v>
      </c>
    </row>
    <row r="81" spans="1:7">
      <c r="A81" s="1" t="s">
        <v>267</v>
      </c>
      <c r="B81" s="1" t="s">
        <v>78</v>
      </c>
      <c r="C81" s="1" t="s">
        <v>268</v>
      </c>
      <c r="D81" s="1" t="s">
        <v>269</v>
      </c>
      <c r="E81" s="1" t="s">
        <v>7041</v>
      </c>
      <c r="F81" s="1" t="s">
        <v>6953</v>
      </c>
      <c r="G81" s="1" t="s">
        <v>7042</v>
      </c>
    </row>
    <row r="82" spans="1:7">
      <c r="A82" s="1" t="s">
        <v>7043</v>
      </c>
      <c r="B82" s="1" t="s">
        <v>904</v>
      </c>
      <c r="C82" s="1" t="s">
        <v>986</v>
      </c>
      <c r="D82" s="1" t="s">
        <v>987</v>
      </c>
      <c r="E82" s="1" t="s">
        <v>6939</v>
      </c>
      <c r="F82" s="1" t="s">
        <v>6929</v>
      </c>
      <c r="G82" s="1" t="s">
        <v>7044</v>
      </c>
    </row>
    <row r="83" spans="1:7">
      <c r="A83" s="1" t="s">
        <v>7045</v>
      </c>
      <c r="B83" s="1" t="s">
        <v>9</v>
      </c>
      <c r="C83" s="1" t="s">
        <v>1724</v>
      </c>
      <c r="D83" s="1" t="s">
        <v>1725</v>
      </c>
      <c r="E83" s="1" t="s">
        <v>7046</v>
      </c>
      <c r="F83" s="1" t="s">
        <v>6987</v>
      </c>
      <c r="G83" s="1" t="s">
        <v>7047</v>
      </c>
    </row>
    <row r="84" spans="1:7">
      <c r="A84" s="1" t="s">
        <v>7048</v>
      </c>
      <c r="B84" s="1" t="s">
        <v>496</v>
      </c>
      <c r="C84" s="1" t="s">
        <v>3108</v>
      </c>
      <c r="D84" s="1" t="s">
        <v>3109</v>
      </c>
      <c r="E84" s="1" t="s">
        <v>6931</v>
      </c>
      <c r="F84" s="1" t="s">
        <v>6929</v>
      </c>
      <c r="G84" s="1" t="s">
        <v>6951</v>
      </c>
    </row>
    <row r="85" spans="1:7">
      <c r="A85" s="1" t="s">
        <v>7048</v>
      </c>
      <c r="B85" s="1" t="s">
        <v>3084</v>
      </c>
      <c r="C85" s="1" t="s">
        <v>3085</v>
      </c>
      <c r="D85" s="1" t="s">
        <v>3086</v>
      </c>
      <c r="E85" s="1" t="s">
        <v>6931</v>
      </c>
      <c r="F85" s="1" t="s">
        <v>6929</v>
      </c>
      <c r="G85" s="1" t="s">
        <v>6927</v>
      </c>
    </row>
    <row r="86" spans="1:7">
      <c r="A86" s="1" t="s">
        <v>7048</v>
      </c>
      <c r="B86" s="1" t="s">
        <v>3111</v>
      </c>
      <c r="C86" s="1" t="s">
        <v>3125</v>
      </c>
      <c r="D86" s="1" t="s">
        <v>3126</v>
      </c>
      <c r="E86" s="1" t="s">
        <v>5162</v>
      </c>
      <c r="F86" s="1" t="s">
        <v>6929</v>
      </c>
      <c r="G86" s="1" t="s">
        <v>7049</v>
      </c>
    </row>
    <row r="87" spans="1:7">
      <c r="A87" s="1" t="s">
        <v>7048</v>
      </c>
      <c r="B87" s="1" t="s">
        <v>1717</v>
      </c>
      <c r="C87" s="1" t="s">
        <v>1718</v>
      </c>
      <c r="D87" s="1" t="s">
        <v>1719</v>
      </c>
      <c r="E87" s="1" t="s">
        <v>6957</v>
      </c>
      <c r="F87" s="1" t="s">
        <v>6929</v>
      </c>
      <c r="G87" s="1" t="s">
        <v>7007</v>
      </c>
    </row>
    <row r="88" spans="1:7">
      <c r="A88" s="1" t="s">
        <v>7050</v>
      </c>
      <c r="B88" s="1" t="s">
        <v>264</v>
      </c>
      <c r="C88" s="1" t="s">
        <v>4073</v>
      </c>
      <c r="D88" s="1" t="s">
        <v>4074</v>
      </c>
      <c r="E88" s="1" t="s">
        <v>7051</v>
      </c>
      <c r="F88" s="1" t="s">
        <v>6929</v>
      </c>
      <c r="G88" s="1" t="s">
        <v>6967</v>
      </c>
    </row>
    <row r="89" spans="1:7">
      <c r="A89" s="1" t="s">
        <v>7052</v>
      </c>
      <c r="B89" s="1" t="s">
        <v>635</v>
      </c>
      <c r="C89" s="1" t="s">
        <v>6366</v>
      </c>
      <c r="D89" s="1" t="s">
        <v>6367</v>
      </c>
      <c r="E89" s="1" t="s">
        <v>7053</v>
      </c>
      <c r="F89" s="1" t="s">
        <v>7054</v>
      </c>
      <c r="G89" s="1" t="s">
        <v>7055</v>
      </c>
    </row>
    <row r="90" spans="1:7">
      <c r="A90" s="1" t="s">
        <v>7052</v>
      </c>
      <c r="B90" s="1" t="s">
        <v>116</v>
      </c>
      <c r="C90" s="1" t="s">
        <v>6420</v>
      </c>
      <c r="D90" s="1" t="s">
        <v>3615</v>
      </c>
      <c r="E90" s="1" t="s">
        <v>6934</v>
      </c>
      <c r="F90" s="1" t="s">
        <v>6929</v>
      </c>
      <c r="G90" s="1" t="s">
        <v>6954</v>
      </c>
    </row>
    <row r="91" spans="1:7">
      <c r="A91" s="1" t="s">
        <v>7052</v>
      </c>
      <c r="B91" s="1" t="s">
        <v>5252</v>
      </c>
      <c r="C91" s="1" t="s">
        <v>6414</v>
      </c>
      <c r="D91" s="1" t="s">
        <v>6415</v>
      </c>
      <c r="E91" s="1" t="s">
        <v>6943</v>
      </c>
      <c r="F91" s="1" t="s">
        <v>7056</v>
      </c>
      <c r="G91" s="1" t="s">
        <v>6927</v>
      </c>
    </row>
    <row r="92" spans="1:7">
      <c r="A92" s="1" t="s">
        <v>7052</v>
      </c>
      <c r="B92" s="1" t="s">
        <v>635</v>
      </c>
      <c r="C92" s="1" t="s">
        <v>6371</v>
      </c>
      <c r="D92" s="1" t="s">
        <v>6372</v>
      </c>
      <c r="E92" s="1" t="s">
        <v>6939</v>
      </c>
      <c r="F92" s="1" t="s">
        <v>7018</v>
      </c>
      <c r="G92" s="1" t="s">
        <v>7057</v>
      </c>
    </row>
    <row r="93" spans="1:7">
      <c r="A93" s="1" t="s">
        <v>7052</v>
      </c>
      <c r="B93" s="1" t="s">
        <v>935</v>
      </c>
      <c r="C93" s="1" t="s">
        <v>6411</v>
      </c>
      <c r="D93" s="1" t="s">
        <v>6412</v>
      </c>
      <c r="E93" s="1" t="s">
        <v>6982</v>
      </c>
      <c r="F93" s="1" t="s">
        <v>6929</v>
      </c>
      <c r="G93" s="1" t="s">
        <v>7058</v>
      </c>
    </row>
    <row r="94" spans="1:7">
      <c r="A94" s="1" t="s">
        <v>7052</v>
      </c>
      <c r="B94" s="1" t="s">
        <v>112</v>
      </c>
      <c r="C94" s="1" t="s">
        <v>6355</v>
      </c>
      <c r="D94" s="1" t="s">
        <v>7059</v>
      </c>
      <c r="E94" s="1" t="s">
        <v>6939</v>
      </c>
      <c r="F94" s="1" t="s">
        <v>6929</v>
      </c>
      <c r="G94" s="1" t="s">
        <v>7060</v>
      </c>
    </row>
    <row r="95" spans="1:7">
      <c r="A95" s="1" t="s">
        <v>7052</v>
      </c>
      <c r="B95" s="1" t="s">
        <v>628</v>
      </c>
      <c r="C95" s="1" t="s">
        <v>6390</v>
      </c>
      <c r="D95" s="1" t="s">
        <v>6391</v>
      </c>
      <c r="E95" s="1" t="s">
        <v>6939</v>
      </c>
      <c r="F95" s="1" t="s">
        <v>6929</v>
      </c>
      <c r="G95" s="1" t="s">
        <v>7061</v>
      </c>
    </row>
    <row r="96" spans="1:7">
      <c r="A96" s="1" t="s">
        <v>7052</v>
      </c>
      <c r="B96" s="1" t="s">
        <v>1671</v>
      </c>
      <c r="C96" s="1" t="s">
        <v>6408</v>
      </c>
      <c r="D96" s="1" t="s">
        <v>7062</v>
      </c>
      <c r="E96" s="1" t="s">
        <v>5162</v>
      </c>
      <c r="F96" s="1" t="s">
        <v>6929</v>
      </c>
      <c r="G96" s="1" t="s">
        <v>7049</v>
      </c>
    </row>
    <row r="97" spans="1:7">
      <c r="A97" s="1" t="s">
        <v>7063</v>
      </c>
      <c r="B97" s="1" t="s">
        <v>4424</v>
      </c>
      <c r="C97" s="1" t="s">
        <v>4425</v>
      </c>
      <c r="D97" s="1" t="s">
        <v>3789</v>
      </c>
      <c r="E97" s="1" t="s">
        <v>6944</v>
      </c>
      <c r="F97" s="1" t="s">
        <v>6944</v>
      </c>
      <c r="G97" s="1" t="s">
        <v>7064</v>
      </c>
    </row>
    <row r="98" spans="1:7">
      <c r="A98" s="1" t="s">
        <v>7063</v>
      </c>
      <c r="B98" s="1" t="s">
        <v>4363</v>
      </c>
      <c r="C98" s="1" t="s">
        <v>4422</v>
      </c>
      <c r="D98" s="1" t="s">
        <v>4423</v>
      </c>
      <c r="E98" s="1" t="s">
        <v>3334</v>
      </c>
      <c r="F98" s="1" t="s">
        <v>6929</v>
      </c>
      <c r="G98" s="1" t="s">
        <v>7065</v>
      </c>
    </row>
    <row r="99" spans="1:7">
      <c r="A99" s="1" t="s">
        <v>7066</v>
      </c>
      <c r="B99" s="1" t="s">
        <v>747</v>
      </c>
      <c r="C99" s="1" t="s">
        <v>2348</v>
      </c>
      <c r="D99" s="1" t="s">
        <v>2349</v>
      </c>
      <c r="E99" s="1" t="s">
        <v>7067</v>
      </c>
      <c r="F99" s="1" t="s">
        <v>6953</v>
      </c>
      <c r="G99" s="1" t="s">
        <v>7068</v>
      </c>
    </row>
    <row r="100" spans="1:7">
      <c r="A100" s="1" t="s">
        <v>554</v>
      </c>
      <c r="B100" s="1" t="s">
        <v>149</v>
      </c>
      <c r="C100" s="1" t="s">
        <v>1251</v>
      </c>
      <c r="D100" s="1" t="s">
        <v>1252</v>
      </c>
      <c r="E100" s="1" t="s">
        <v>7069</v>
      </c>
      <c r="F100" s="1" t="s">
        <v>7056</v>
      </c>
      <c r="G100" s="1" t="s">
        <v>7070</v>
      </c>
    </row>
    <row r="101" spans="1:7">
      <c r="A101" s="1" t="s">
        <v>554</v>
      </c>
      <c r="B101" s="1" t="s">
        <v>1104</v>
      </c>
      <c r="C101" s="1" t="s">
        <v>5853</v>
      </c>
      <c r="D101" s="1" t="s">
        <v>5854</v>
      </c>
      <c r="E101" s="1" t="s">
        <v>7071</v>
      </c>
      <c r="F101" s="1" t="s">
        <v>6944</v>
      </c>
      <c r="G101" s="1" t="s">
        <v>7072</v>
      </c>
    </row>
    <row r="102" spans="1:7">
      <c r="A102" s="1" t="s">
        <v>554</v>
      </c>
      <c r="B102" s="1" t="s">
        <v>898</v>
      </c>
      <c r="C102" s="1" t="s">
        <v>5835</v>
      </c>
      <c r="D102" s="1" t="s">
        <v>5836</v>
      </c>
      <c r="E102" s="1" t="s">
        <v>6939</v>
      </c>
      <c r="F102" s="1" t="s">
        <v>6929</v>
      </c>
      <c r="G102" s="1" t="s">
        <v>6951</v>
      </c>
    </row>
    <row r="103" spans="1:7">
      <c r="A103" s="1" t="s">
        <v>554</v>
      </c>
      <c r="B103" s="1" t="s">
        <v>1017</v>
      </c>
      <c r="C103" s="1" t="s">
        <v>5826</v>
      </c>
      <c r="D103" s="1" t="s">
        <v>5827</v>
      </c>
      <c r="E103" s="1" t="s">
        <v>3334</v>
      </c>
      <c r="F103" s="1" t="s">
        <v>6929</v>
      </c>
      <c r="G103" s="1" t="s">
        <v>7073</v>
      </c>
    </row>
    <row r="104" spans="1:7">
      <c r="A104" s="1" t="s">
        <v>85</v>
      </c>
      <c r="B104" s="1" t="s">
        <v>86</v>
      </c>
      <c r="C104" s="1" t="s">
        <v>3924</v>
      </c>
      <c r="D104" s="1" t="s">
        <v>3925</v>
      </c>
      <c r="E104" s="1" t="s">
        <v>5162</v>
      </c>
      <c r="F104" s="1" t="s">
        <v>6929</v>
      </c>
      <c r="G104" s="1" t="s">
        <v>7074</v>
      </c>
    </row>
    <row r="105" spans="1:7">
      <c r="A105" s="1" t="s">
        <v>85</v>
      </c>
      <c r="B105" s="1" t="s">
        <v>414</v>
      </c>
      <c r="C105" s="1" t="s">
        <v>3915</v>
      </c>
      <c r="D105" s="1" t="s">
        <v>3916</v>
      </c>
      <c r="E105" s="1" t="s">
        <v>6982</v>
      </c>
      <c r="F105" s="1" t="s">
        <v>6929</v>
      </c>
      <c r="G105" s="1" t="s">
        <v>7075</v>
      </c>
    </row>
    <row r="106" spans="1:7">
      <c r="A106" s="1" t="s">
        <v>85</v>
      </c>
      <c r="B106" s="1" t="s">
        <v>3931</v>
      </c>
      <c r="C106" s="1" t="s">
        <v>3932</v>
      </c>
      <c r="D106" s="1" t="s">
        <v>3933</v>
      </c>
      <c r="E106" s="1" t="s">
        <v>6982</v>
      </c>
      <c r="F106" s="1" t="s">
        <v>7056</v>
      </c>
      <c r="G106" s="1" t="s">
        <v>6967</v>
      </c>
    </row>
    <row r="107" spans="1:7">
      <c r="A107" s="1" t="s">
        <v>85</v>
      </c>
      <c r="B107" s="1" t="s">
        <v>86</v>
      </c>
      <c r="C107" s="1" t="s">
        <v>3918</v>
      </c>
      <c r="D107" s="1" t="s">
        <v>3919</v>
      </c>
      <c r="E107" s="1" t="s">
        <v>5162</v>
      </c>
      <c r="F107" s="1" t="s">
        <v>6929</v>
      </c>
      <c r="G107" s="1" t="s">
        <v>6927</v>
      </c>
    </row>
    <row r="108" spans="1:7">
      <c r="A108" s="1" t="s">
        <v>7076</v>
      </c>
      <c r="B108" s="1" t="s">
        <v>293</v>
      </c>
      <c r="C108" s="1" t="s">
        <v>294</v>
      </c>
      <c r="D108" s="1" t="s">
        <v>295</v>
      </c>
      <c r="E108" s="1" t="s">
        <v>6931</v>
      </c>
      <c r="F108" s="1" t="s">
        <v>7001</v>
      </c>
      <c r="G108" s="1" t="s">
        <v>7077</v>
      </c>
    </row>
    <row r="109" spans="1:7">
      <c r="A109" s="1" t="s">
        <v>534</v>
      </c>
      <c r="B109" s="1" t="s">
        <v>108</v>
      </c>
      <c r="C109" s="1" t="s">
        <v>5796</v>
      </c>
      <c r="D109" s="1" t="s">
        <v>5797</v>
      </c>
      <c r="E109" s="1" t="s">
        <v>7078</v>
      </c>
      <c r="F109" s="1" t="s">
        <v>6929</v>
      </c>
      <c r="G109" s="1" t="s">
        <v>6967</v>
      </c>
    </row>
    <row r="110" spans="1:7">
      <c r="A110" s="1" t="s">
        <v>534</v>
      </c>
      <c r="B110" s="1" t="s">
        <v>108</v>
      </c>
      <c r="C110" s="1" t="s">
        <v>535</v>
      </c>
      <c r="D110" s="1" t="s">
        <v>536</v>
      </c>
      <c r="E110" s="1" t="s">
        <v>6939</v>
      </c>
      <c r="F110" s="1" t="s">
        <v>6929</v>
      </c>
      <c r="G110" s="1" t="s">
        <v>6927</v>
      </c>
    </row>
    <row r="111" spans="1:7">
      <c r="A111" s="1" t="s">
        <v>534</v>
      </c>
      <c r="B111" s="1" t="s">
        <v>227</v>
      </c>
      <c r="C111" s="1" t="s">
        <v>5806</v>
      </c>
      <c r="D111" s="1" t="s">
        <v>5807</v>
      </c>
      <c r="E111" s="1" t="s">
        <v>6939</v>
      </c>
      <c r="F111" s="1" t="s">
        <v>6929</v>
      </c>
      <c r="G111" s="1" t="s">
        <v>7026</v>
      </c>
    </row>
    <row r="112" spans="1:7">
      <c r="A112" s="1" t="s">
        <v>401</v>
      </c>
      <c r="B112" s="1" t="s">
        <v>2934</v>
      </c>
      <c r="C112" s="1" t="s">
        <v>2945</v>
      </c>
      <c r="D112" s="1" t="s">
        <v>2946</v>
      </c>
      <c r="E112" s="1" t="s">
        <v>6931</v>
      </c>
      <c r="F112" s="1" t="s">
        <v>6929</v>
      </c>
      <c r="G112" s="1" t="s">
        <v>7068</v>
      </c>
    </row>
    <row r="113" spans="1:7">
      <c r="A113" s="1" t="s">
        <v>401</v>
      </c>
      <c r="B113" s="1" t="s">
        <v>414</v>
      </c>
      <c r="C113" s="1" t="s">
        <v>2928</v>
      </c>
      <c r="D113" s="1" t="s">
        <v>2931</v>
      </c>
      <c r="E113" s="1" t="s">
        <v>6982</v>
      </c>
      <c r="F113" s="1" t="s">
        <v>7056</v>
      </c>
      <c r="G113" s="1" t="s">
        <v>7079</v>
      </c>
    </row>
    <row r="114" spans="1:7">
      <c r="A114" s="1" t="s">
        <v>401</v>
      </c>
      <c r="B114" s="1" t="s">
        <v>402</v>
      </c>
      <c r="C114" s="1" t="s">
        <v>403</v>
      </c>
      <c r="D114" s="1" t="s">
        <v>404</v>
      </c>
      <c r="E114" s="1" t="s">
        <v>6931</v>
      </c>
      <c r="F114" s="1" t="s">
        <v>6953</v>
      </c>
      <c r="G114" s="1" t="s">
        <v>7068</v>
      </c>
    </row>
    <row r="115" spans="1:7">
      <c r="A115" s="1" t="s">
        <v>7080</v>
      </c>
      <c r="B115" s="1" t="s">
        <v>2516</v>
      </c>
      <c r="C115" s="1" t="s">
        <v>2612</v>
      </c>
      <c r="D115" s="1" t="s">
        <v>251</v>
      </c>
      <c r="E115" s="1" t="s">
        <v>6934</v>
      </c>
      <c r="F115" s="1" t="s">
        <v>7018</v>
      </c>
      <c r="G115" s="1" t="s">
        <v>6951</v>
      </c>
    </row>
    <row r="116" spans="1:7">
      <c r="A116" s="1" t="s">
        <v>7080</v>
      </c>
      <c r="B116" s="1" t="s">
        <v>2551</v>
      </c>
      <c r="C116" s="1" t="s">
        <v>2595</v>
      </c>
      <c r="D116" s="1" t="s">
        <v>2596</v>
      </c>
      <c r="E116" s="1" t="s">
        <v>6943</v>
      </c>
      <c r="F116" s="1" t="s">
        <v>6929</v>
      </c>
      <c r="G116" s="1" t="s">
        <v>7081</v>
      </c>
    </row>
    <row r="117" spans="1:7">
      <c r="A117" s="1" t="s">
        <v>7080</v>
      </c>
      <c r="B117" s="1" t="s">
        <v>2530</v>
      </c>
      <c r="C117" s="1" t="s">
        <v>2541</v>
      </c>
      <c r="D117" s="1" t="s">
        <v>2542</v>
      </c>
      <c r="E117" s="1" t="s">
        <v>7067</v>
      </c>
      <c r="F117" s="1" t="s">
        <v>6929</v>
      </c>
      <c r="G117" s="1" t="s">
        <v>6951</v>
      </c>
    </row>
    <row r="118" spans="1:7">
      <c r="A118" s="1" t="s">
        <v>7080</v>
      </c>
      <c r="B118" s="1" t="s">
        <v>600</v>
      </c>
      <c r="C118" s="1" t="s">
        <v>2588</v>
      </c>
      <c r="D118" s="1" t="s">
        <v>2589</v>
      </c>
      <c r="E118" s="1" t="s">
        <v>6982</v>
      </c>
      <c r="F118" s="1" t="s">
        <v>6961</v>
      </c>
      <c r="G118" s="1" t="s">
        <v>7082</v>
      </c>
    </row>
    <row r="119" spans="1:7">
      <c r="A119" s="1" t="s">
        <v>7080</v>
      </c>
      <c r="B119" s="1" t="s">
        <v>2579</v>
      </c>
      <c r="C119" s="1" t="s">
        <v>2613</v>
      </c>
      <c r="D119" s="1" t="s">
        <v>2614</v>
      </c>
      <c r="E119" s="1" t="s">
        <v>6944</v>
      </c>
      <c r="F119" s="1" t="s">
        <v>6953</v>
      </c>
      <c r="G119" s="1" t="s">
        <v>7083</v>
      </c>
    </row>
    <row r="120" spans="1:7">
      <c r="A120" s="1" t="s">
        <v>7080</v>
      </c>
      <c r="B120" s="1" t="s">
        <v>2527</v>
      </c>
      <c r="C120" s="1" t="s">
        <v>2533</v>
      </c>
      <c r="D120" s="1" t="s">
        <v>2188</v>
      </c>
      <c r="E120" s="1" t="s">
        <v>6934</v>
      </c>
      <c r="F120" s="1" t="s">
        <v>6953</v>
      </c>
      <c r="G120" s="1" t="s">
        <v>7019</v>
      </c>
    </row>
    <row r="121" spans="1:7">
      <c r="A121" s="1" t="s">
        <v>7080</v>
      </c>
      <c r="B121" s="1" t="s">
        <v>2520</v>
      </c>
      <c r="C121" s="1" t="s">
        <v>2521</v>
      </c>
      <c r="D121" s="1" t="s">
        <v>2522</v>
      </c>
      <c r="E121" s="1" t="s">
        <v>6944</v>
      </c>
      <c r="F121" s="1" t="s">
        <v>6929</v>
      </c>
      <c r="G121" s="1" t="s">
        <v>7084</v>
      </c>
    </row>
    <row r="122" spans="1:7">
      <c r="A122" s="1" t="s">
        <v>7080</v>
      </c>
      <c r="B122" s="1" t="s">
        <v>2545</v>
      </c>
      <c r="C122" s="1" t="s">
        <v>2546</v>
      </c>
      <c r="D122" s="1" t="s">
        <v>2547</v>
      </c>
      <c r="E122" s="1" t="s">
        <v>6982</v>
      </c>
      <c r="F122" s="1" t="s">
        <v>6961</v>
      </c>
      <c r="G122" s="1" t="s">
        <v>7085</v>
      </c>
    </row>
    <row r="123" spans="1:7">
      <c r="A123" s="1" t="s">
        <v>372</v>
      </c>
      <c r="B123" s="1" t="s">
        <v>1431</v>
      </c>
      <c r="C123" s="1" t="s">
        <v>1905</v>
      </c>
      <c r="D123" s="1" t="s">
        <v>1906</v>
      </c>
      <c r="E123" s="1" t="s">
        <v>3334</v>
      </c>
      <c r="F123" s="1" t="s">
        <v>6953</v>
      </c>
      <c r="G123" s="1" t="s">
        <v>6951</v>
      </c>
    </row>
    <row r="124" spans="1:7">
      <c r="A124" s="1" t="s">
        <v>372</v>
      </c>
      <c r="B124" s="1" t="s">
        <v>1937</v>
      </c>
      <c r="C124" s="1" t="s">
        <v>3387</v>
      </c>
      <c r="D124" s="1" t="s">
        <v>1939</v>
      </c>
      <c r="E124" s="1" t="s">
        <v>6931</v>
      </c>
      <c r="F124" s="1" t="s">
        <v>7086</v>
      </c>
      <c r="G124" s="1" t="s">
        <v>6954</v>
      </c>
    </row>
    <row r="125" spans="1:7">
      <c r="A125" s="1" t="s">
        <v>372</v>
      </c>
      <c r="B125" s="1" t="s">
        <v>789</v>
      </c>
      <c r="C125" s="1" t="s">
        <v>1032</v>
      </c>
      <c r="D125" s="1" t="s">
        <v>1033</v>
      </c>
      <c r="E125" s="1" t="s">
        <v>6931</v>
      </c>
      <c r="F125" s="1" t="s">
        <v>6929</v>
      </c>
      <c r="G125" s="1" t="s">
        <v>6927</v>
      </c>
    </row>
    <row r="126" spans="1:7">
      <c r="A126" s="1" t="s">
        <v>447</v>
      </c>
      <c r="B126" s="1" t="s">
        <v>1512</v>
      </c>
      <c r="C126" s="1" t="s">
        <v>6893</v>
      </c>
      <c r="D126" s="1" t="s">
        <v>6894</v>
      </c>
      <c r="E126" s="1" t="s">
        <v>5162</v>
      </c>
      <c r="F126" s="1" t="s">
        <v>6944</v>
      </c>
      <c r="G126" s="1" t="s">
        <v>7087</v>
      </c>
    </row>
    <row r="127" spans="1:7">
      <c r="A127" s="1" t="s">
        <v>447</v>
      </c>
      <c r="B127" s="1" t="s">
        <v>1512</v>
      </c>
      <c r="C127" s="1" t="s">
        <v>6902</v>
      </c>
      <c r="D127" s="1" t="s">
        <v>6903</v>
      </c>
      <c r="E127" s="1" t="s">
        <v>5162</v>
      </c>
      <c r="F127" s="1" t="s">
        <v>6929</v>
      </c>
      <c r="G127" s="1" t="s">
        <v>6941</v>
      </c>
    </row>
    <row r="128" spans="1:7">
      <c r="A128" s="1" t="s">
        <v>447</v>
      </c>
      <c r="B128" s="1" t="s">
        <v>742</v>
      </c>
      <c r="C128" s="1" t="s">
        <v>6887</v>
      </c>
      <c r="D128" s="1" t="s">
        <v>6888</v>
      </c>
      <c r="E128" s="1" t="s">
        <v>6931</v>
      </c>
      <c r="F128" s="1" t="s">
        <v>6929</v>
      </c>
      <c r="G128" s="1" t="s">
        <v>7070</v>
      </c>
    </row>
    <row r="129" spans="1:7">
      <c r="A129" s="1" t="s">
        <v>447</v>
      </c>
      <c r="B129" s="1" t="s">
        <v>1512</v>
      </c>
      <c r="C129" s="1" t="s">
        <v>6900</v>
      </c>
      <c r="D129" s="1" t="s">
        <v>6901</v>
      </c>
      <c r="E129" s="1" t="s">
        <v>6939</v>
      </c>
      <c r="F129" s="1" t="s">
        <v>6929</v>
      </c>
      <c r="G129" s="1" t="s">
        <v>7088</v>
      </c>
    </row>
    <row r="130" spans="1:7">
      <c r="A130" s="1" t="s">
        <v>447</v>
      </c>
      <c r="B130" s="1" t="s">
        <v>6868</v>
      </c>
      <c r="C130" s="1" t="s">
        <v>6871</v>
      </c>
      <c r="D130" s="1" t="s">
        <v>6872</v>
      </c>
      <c r="E130" s="1" t="s">
        <v>6931</v>
      </c>
      <c r="F130" s="1" t="s">
        <v>7008</v>
      </c>
      <c r="G130" s="1" t="s">
        <v>7089</v>
      </c>
    </row>
    <row r="131" spans="1:7">
      <c r="A131" s="1" t="s">
        <v>447</v>
      </c>
      <c r="B131" s="1" t="s">
        <v>365</v>
      </c>
      <c r="C131" s="1" t="s">
        <v>6884</v>
      </c>
      <c r="D131" s="1" t="s">
        <v>2748</v>
      </c>
      <c r="E131" s="1" t="s">
        <v>7090</v>
      </c>
      <c r="F131" s="1" t="s">
        <v>7018</v>
      </c>
      <c r="G131" s="1" t="s">
        <v>7091</v>
      </c>
    </row>
    <row r="132" spans="1:7">
      <c r="A132" s="1" t="s">
        <v>447</v>
      </c>
      <c r="B132" s="1" t="s">
        <v>448</v>
      </c>
      <c r="C132" s="1" t="s">
        <v>449</v>
      </c>
      <c r="D132" s="1" t="s">
        <v>450</v>
      </c>
      <c r="E132" s="1" t="s">
        <v>6957</v>
      </c>
      <c r="F132" s="1" t="s">
        <v>7018</v>
      </c>
      <c r="G132" s="1" t="s">
        <v>7092</v>
      </c>
    </row>
    <row r="133" spans="1:7">
      <c r="A133" s="1" t="s">
        <v>447</v>
      </c>
      <c r="B133" s="1" t="s">
        <v>365</v>
      </c>
      <c r="C133" s="1" t="s">
        <v>6880</v>
      </c>
      <c r="D133" s="1" t="s">
        <v>6881</v>
      </c>
      <c r="E133" s="1" t="s">
        <v>7093</v>
      </c>
      <c r="F133" s="1" t="s">
        <v>6929</v>
      </c>
      <c r="G133" s="1" t="s">
        <v>7094</v>
      </c>
    </row>
    <row r="134" spans="1:7">
      <c r="A134" s="3" t="s">
        <v>7095</v>
      </c>
      <c r="B134" s="1" t="s">
        <v>2829</v>
      </c>
      <c r="C134" s="1" t="s">
        <v>2830</v>
      </c>
      <c r="D134" s="1" t="s">
        <v>2831</v>
      </c>
      <c r="E134" s="1" t="s">
        <v>6982</v>
      </c>
      <c r="F134" s="1" t="s">
        <v>6944</v>
      </c>
      <c r="G134" s="1" t="s">
        <v>6935</v>
      </c>
    </row>
    <row r="135" spans="1:7">
      <c r="A135" s="1" t="s">
        <v>7096</v>
      </c>
      <c r="B135" s="1" t="s">
        <v>2868</v>
      </c>
      <c r="C135" s="1" t="s">
        <v>2869</v>
      </c>
      <c r="D135" s="1" t="s">
        <v>2213</v>
      </c>
      <c r="E135" s="1" t="s">
        <v>6931</v>
      </c>
      <c r="F135" s="1" t="s">
        <v>6929</v>
      </c>
      <c r="G135" s="1" t="s">
        <v>6951</v>
      </c>
    </row>
    <row r="136" spans="1:7">
      <c r="A136" s="1" t="s">
        <v>7096</v>
      </c>
      <c r="B136" s="1" t="s">
        <v>2856</v>
      </c>
      <c r="C136" s="1" t="s">
        <v>2857</v>
      </c>
      <c r="D136" s="1" t="s">
        <v>2858</v>
      </c>
      <c r="E136" s="1" t="s">
        <v>7097</v>
      </c>
      <c r="F136" s="1" t="s">
        <v>6929</v>
      </c>
      <c r="G136" s="1" t="s">
        <v>7042</v>
      </c>
    </row>
    <row r="137" spans="1:7">
      <c r="A137" s="1" t="s">
        <v>248</v>
      </c>
      <c r="B137" s="1" t="s">
        <v>4574</v>
      </c>
      <c r="C137" s="1" t="s">
        <v>4575</v>
      </c>
      <c r="D137" s="1" t="s">
        <v>4576</v>
      </c>
      <c r="E137" s="1" t="s">
        <v>6931</v>
      </c>
      <c r="F137" s="1" t="s">
        <v>6929</v>
      </c>
      <c r="G137" s="1" t="s">
        <v>7098</v>
      </c>
    </row>
    <row r="138" spans="1:7">
      <c r="A138" s="1" t="s">
        <v>248</v>
      </c>
      <c r="B138" s="1" t="s">
        <v>4577</v>
      </c>
      <c r="C138" s="1" t="s">
        <v>4592</v>
      </c>
      <c r="D138" s="1" t="s">
        <v>4593</v>
      </c>
      <c r="E138" s="1" t="s">
        <v>6931</v>
      </c>
      <c r="F138" s="1" t="s">
        <v>7099</v>
      </c>
      <c r="G138" s="1" t="s">
        <v>7100</v>
      </c>
    </row>
    <row r="139" spans="1:7">
      <c r="A139" s="1" t="s">
        <v>3987</v>
      </c>
      <c r="B139" s="1" t="s">
        <v>2676</v>
      </c>
      <c r="C139" s="1" t="s">
        <v>4005</v>
      </c>
      <c r="D139" s="1" t="s">
        <v>4006</v>
      </c>
      <c r="E139" s="1" t="s">
        <v>6934</v>
      </c>
      <c r="F139" s="1" t="s">
        <v>6953</v>
      </c>
      <c r="G139" s="1" t="s">
        <v>7101</v>
      </c>
    </row>
    <row r="140" spans="1:7">
      <c r="A140" s="1" t="s">
        <v>3987</v>
      </c>
      <c r="B140" s="1" t="s">
        <v>3997</v>
      </c>
      <c r="C140" s="1" t="s">
        <v>4042</v>
      </c>
      <c r="D140" s="1" t="s">
        <v>3900</v>
      </c>
      <c r="E140" s="1" t="s">
        <v>6931</v>
      </c>
      <c r="F140" s="1" t="s">
        <v>6929</v>
      </c>
      <c r="G140" s="1" t="s">
        <v>7102</v>
      </c>
    </row>
    <row r="141" spans="1:7">
      <c r="A141" s="1" t="s">
        <v>3987</v>
      </c>
      <c r="B141" s="1" t="s">
        <v>2856</v>
      </c>
      <c r="C141" s="1" t="s">
        <v>3990</v>
      </c>
      <c r="D141" s="1" t="s">
        <v>3991</v>
      </c>
      <c r="E141" s="1" t="s">
        <v>6943</v>
      </c>
      <c r="F141" s="1" t="s">
        <v>6929</v>
      </c>
      <c r="G141" s="1" t="s">
        <v>6979</v>
      </c>
    </row>
    <row r="142" spans="1:7">
      <c r="A142" s="1" t="s">
        <v>763</v>
      </c>
      <c r="B142" s="1" t="s">
        <v>1052</v>
      </c>
      <c r="C142" s="1" t="s">
        <v>4047</v>
      </c>
      <c r="D142" s="1" t="s">
        <v>4048</v>
      </c>
      <c r="E142" s="1" t="s">
        <v>6934</v>
      </c>
      <c r="F142" s="1" t="s">
        <v>6929</v>
      </c>
      <c r="G142" s="1" t="s">
        <v>6935</v>
      </c>
    </row>
    <row r="143" spans="1:7">
      <c r="A143" s="1" t="s">
        <v>763</v>
      </c>
      <c r="B143" s="1" t="s">
        <v>1052</v>
      </c>
      <c r="C143" s="1" t="s">
        <v>4051</v>
      </c>
      <c r="D143" s="1" t="s">
        <v>4052</v>
      </c>
      <c r="E143" s="1" t="s">
        <v>6934</v>
      </c>
      <c r="F143" s="1" t="s">
        <v>6929</v>
      </c>
      <c r="G143" s="1" t="s">
        <v>7103</v>
      </c>
    </row>
    <row r="144" spans="1:7">
      <c r="A144" s="1" t="s">
        <v>763</v>
      </c>
      <c r="B144" s="1" t="s">
        <v>1131</v>
      </c>
      <c r="C144" s="1" t="s">
        <v>1132</v>
      </c>
      <c r="D144" s="1" t="s">
        <v>1133</v>
      </c>
      <c r="E144" s="1" t="s">
        <v>6982</v>
      </c>
      <c r="F144" s="1" t="s">
        <v>6929</v>
      </c>
      <c r="G144" s="1" t="s">
        <v>7104</v>
      </c>
    </row>
    <row r="145" spans="1:7">
      <c r="A145" s="1" t="s">
        <v>1738</v>
      </c>
      <c r="B145" s="1" t="s">
        <v>4106</v>
      </c>
      <c r="C145" s="1" t="s">
        <v>4107</v>
      </c>
      <c r="D145" s="1" t="s">
        <v>4108</v>
      </c>
      <c r="E145" s="1" t="s">
        <v>6943</v>
      </c>
      <c r="F145" s="1" t="s">
        <v>6929</v>
      </c>
      <c r="G145" s="1" t="s">
        <v>7105</v>
      </c>
    </row>
    <row r="146" spans="1:7">
      <c r="A146" s="1" t="s">
        <v>1738</v>
      </c>
      <c r="B146" s="1" t="s">
        <v>1100</v>
      </c>
      <c r="C146" s="1" t="s">
        <v>4091</v>
      </c>
      <c r="D146" s="1" t="s">
        <v>7106</v>
      </c>
      <c r="E146" s="1" t="s">
        <v>6931</v>
      </c>
      <c r="F146" s="1" t="s">
        <v>6953</v>
      </c>
      <c r="G146" s="1" t="s">
        <v>6932</v>
      </c>
    </row>
    <row r="147" spans="1:7">
      <c r="A147" s="1" t="s">
        <v>1738</v>
      </c>
      <c r="B147" s="1" t="s">
        <v>1100</v>
      </c>
      <c r="C147" s="1" t="s">
        <v>4093</v>
      </c>
      <c r="D147" s="1" t="s">
        <v>7107</v>
      </c>
      <c r="E147" s="1" t="s">
        <v>6934</v>
      </c>
      <c r="F147" s="1" t="s">
        <v>6929</v>
      </c>
      <c r="G147" s="1" t="s">
        <v>7108</v>
      </c>
    </row>
    <row r="148" spans="1:7">
      <c r="A148" s="1" t="s">
        <v>1738</v>
      </c>
      <c r="B148" s="1" t="s">
        <v>7109</v>
      </c>
      <c r="C148" s="1" t="s">
        <v>4069</v>
      </c>
      <c r="D148" s="1" t="s">
        <v>7110</v>
      </c>
      <c r="E148" s="1" t="s">
        <v>5162</v>
      </c>
      <c r="F148" s="1" t="s">
        <v>7018</v>
      </c>
      <c r="G148" s="1" t="s">
        <v>7111</v>
      </c>
    </row>
    <row r="149" spans="1:7">
      <c r="A149" s="1" t="s">
        <v>1738</v>
      </c>
      <c r="B149" s="1" t="s">
        <v>4083</v>
      </c>
      <c r="C149" s="1" t="s">
        <v>4084</v>
      </c>
      <c r="D149" s="1" t="s">
        <v>4085</v>
      </c>
      <c r="E149" s="1" t="s">
        <v>6944</v>
      </c>
      <c r="F149" s="1" t="s">
        <v>6929</v>
      </c>
      <c r="G149" s="1" t="s">
        <v>7112</v>
      </c>
    </row>
    <row r="150" spans="1:7">
      <c r="A150" s="1" t="s">
        <v>1738</v>
      </c>
      <c r="B150" s="1" t="s">
        <v>1739</v>
      </c>
      <c r="C150" s="1" t="s">
        <v>4101</v>
      </c>
      <c r="D150" s="1" t="s">
        <v>6449</v>
      </c>
      <c r="E150" s="1" t="s">
        <v>6944</v>
      </c>
      <c r="F150" s="1" t="s">
        <v>6929</v>
      </c>
      <c r="G150" s="1" t="s">
        <v>7032</v>
      </c>
    </row>
    <row r="151" spans="1:7">
      <c r="A151" s="1" t="s">
        <v>1738</v>
      </c>
      <c r="B151" s="1" t="s">
        <v>78</v>
      </c>
      <c r="C151" s="1" t="s">
        <v>4078</v>
      </c>
      <c r="D151" s="1" t="s">
        <v>4079</v>
      </c>
      <c r="E151" s="1" t="s">
        <v>6934</v>
      </c>
      <c r="F151" s="1" t="s">
        <v>6929</v>
      </c>
      <c r="G151" s="1" t="s">
        <v>6951</v>
      </c>
    </row>
    <row r="152" spans="1:7">
      <c r="A152" s="1" t="s">
        <v>1738</v>
      </c>
      <c r="B152" s="1" t="s">
        <v>264</v>
      </c>
      <c r="C152" s="1" t="s">
        <v>4071</v>
      </c>
      <c r="D152" s="1" t="s">
        <v>4072</v>
      </c>
      <c r="E152" s="1" t="s">
        <v>6931</v>
      </c>
      <c r="F152" s="1" t="s">
        <v>6929</v>
      </c>
      <c r="G152" s="1" t="s">
        <v>6967</v>
      </c>
    </row>
    <row r="153" spans="1:7">
      <c r="A153" s="1" t="s">
        <v>7113</v>
      </c>
      <c r="B153" s="1" t="s">
        <v>1756</v>
      </c>
      <c r="C153" s="1" t="s">
        <v>4135</v>
      </c>
      <c r="D153" s="1" t="s">
        <v>4136</v>
      </c>
      <c r="E153" s="1" t="s">
        <v>6982</v>
      </c>
      <c r="F153" s="1" t="s">
        <v>6929</v>
      </c>
      <c r="G153" s="1" t="s">
        <v>7114</v>
      </c>
    </row>
    <row r="154" spans="1:7">
      <c r="A154" s="1" t="s">
        <v>7113</v>
      </c>
      <c r="B154" s="1" t="s">
        <v>4153</v>
      </c>
      <c r="C154" s="1" t="s">
        <v>4154</v>
      </c>
      <c r="D154" s="1" t="s">
        <v>4155</v>
      </c>
      <c r="E154" s="1" t="s">
        <v>6931</v>
      </c>
      <c r="F154" s="1" t="s">
        <v>6929</v>
      </c>
      <c r="G154" s="1" t="s">
        <v>7068</v>
      </c>
    </row>
    <row r="155" spans="1:7">
      <c r="A155" s="1" t="s">
        <v>7113</v>
      </c>
      <c r="B155" s="1" t="s">
        <v>796</v>
      </c>
      <c r="C155" s="1" t="s">
        <v>1780</v>
      </c>
      <c r="D155" s="1" t="s">
        <v>7115</v>
      </c>
      <c r="E155" s="1" t="s">
        <v>6992</v>
      </c>
      <c r="F155" s="1" t="s">
        <v>6929</v>
      </c>
      <c r="G155" s="1" t="s">
        <v>6954</v>
      </c>
    </row>
    <row r="156" spans="1:7">
      <c r="A156" s="1" t="s">
        <v>569</v>
      </c>
      <c r="B156" s="1" t="s">
        <v>3309</v>
      </c>
      <c r="C156" s="1" t="s">
        <v>3310</v>
      </c>
      <c r="D156" s="1" t="s">
        <v>3311</v>
      </c>
      <c r="E156" s="1" t="s">
        <v>6931</v>
      </c>
      <c r="F156" s="1" t="s">
        <v>7086</v>
      </c>
      <c r="G156" s="1" t="s">
        <v>6940</v>
      </c>
    </row>
    <row r="157" spans="1:7">
      <c r="A157" s="1" t="s">
        <v>569</v>
      </c>
      <c r="B157" s="1" t="s">
        <v>3304</v>
      </c>
      <c r="C157" s="1" t="s">
        <v>3305</v>
      </c>
      <c r="D157" s="1" t="s">
        <v>2418</v>
      </c>
      <c r="E157" s="1" t="s">
        <v>6931</v>
      </c>
      <c r="F157" s="1" t="s">
        <v>6953</v>
      </c>
      <c r="G157" s="1" t="s">
        <v>7116</v>
      </c>
    </row>
    <row r="158" spans="1:7">
      <c r="A158" s="1" t="s">
        <v>438</v>
      </c>
      <c r="B158" s="1" t="s">
        <v>1600</v>
      </c>
      <c r="C158" s="1" t="s">
        <v>1603</v>
      </c>
      <c r="D158" s="1" t="s">
        <v>1567</v>
      </c>
      <c r="E158" s="1" t="s">
        <v>3334</v>
      </c>
      <c r="F158" s="1" t="s">
        <v>6953</v>
      </c>
      <c r="G158" s="1" t="s">
        <v>6954</v>
      </c>
    </row>
    <row r="159" spans="1:7">
      <c r="A159" s="1" t="s">
        <v>438</v>
      </c>
      <c r="B159" s="1" t="s">
        <v>440</v>
      </c>
      <c r="C159" s="1" t="s">
        <v>865</v>
      </c>
      <c r="D159" s="1" t="s">
        <v>866</v>
      </c>
      <c r="E159" s="1" t="s">
        <v>6944</v>
      </c>
      <c r="F159" s="1" t="s">
        <v>6926</v>
      </c>
      <c r="G159" s="1" t="s">
        <v>7117</v>
      </c>
    </row>
    <row r="160" spans="1:7">
      <c r="A160" s="1" t="s">
        <v>438</v>
      </c>
      <c r="B160" s="1" t="s">
        <v>1649</v>
      </c>
      <c r="C160" s="1" t="s">
        <v>6785</v>
      </c>
      <c r="D160" s="1" t="s">
        <v>6786</v>
      </c>
      <c r="E160" s="1" t="s">
        <v>5162</v>
      </c>
      <c r="F160" s="1" t="s">
        <v>6944</v>
      </c>
      <c r="G160" s="1" t="s">
        <v>6967</v>
      </c>
    </row>
    <row r="161" spans="1:7">
      <c r="A161" s="1" t="s">
        <v>438</v>
      </c>
      <c r="B161" s="1" t="s">
        <v>4618</v>
      </c>
      <c r="C161" s="1" t="s">
        <v>6780</v>
      </c>
      <c r="D161" s="1" t="s">
        <v>6781</v>
      </c>
      <c r="E161" s="1" t="s">
        <v>5162</v>
      </c>
      <c r="F161" s="1" t="s">
        <v>6953</v>
      </c>
      <c r="G161" s="1" t="s">
        <v>7118</v>
      </c>
    </row>
    <row r="162" spans="1:7">
      <c r="A162" s="1" t="s">
        <v>438</v>
      </c>
      <c r="B162" s="1" t="s">
        <v>1529</v>
      </c>
      <c r="C162" s="1" t="s">
        <v>6788</v>
      </c>
      <c r="D162" s="1" t="s">
        <v>6789</v>
      </c>
      <c r="E162" s="1" t="s">
        <v>6931</v>
      </c>
      <c r="F162" s="1" t="s">
        <v>6999</v>
      </c>
      <c r="G162" s="1" t="s">
        <v>7119</v>
      </c>
    </row>
    <row r="163" spans="1:7">
      <c r="A163" s="1" t="s">
        <v>438</v>
      </c>
      <c r="B163" s="1" t="s">
        <v>1649</v>
      </c>
      <c r="C163" s="1" t="s">
        <v>6791</v>
      </c>
      <c r="D163" s="1" t="s">
        <v>6792</v>
      </c>
      <c r="E163" s="1" t="s">
        <v>6939</v>
      </c>
      <c r="F163" s="1" t="s">
        <v>6953</v>
      </c>
      <c r="G163" s="1" t="s">
        <v>6932</v>
      </c>
    </row>
    <row r="164" spans="1:7">
      <c r="A164" s="1" t="s">
        <v>991</v>
      </c>
      <c r="B164" s="1" t="s">
        <v>1834</v>
      </c>
      <c r="C164" s="1" t="s">
        <v>2747</v>
      </c>
      <c r="D164" s="1" t="s">
        <v>2748</v>
      </c>
      <c r="E164" s="1" t="s">
        <v>6931</v>
      </c>
      <c r="F164" s="1" t="s">
        <v>6929</v>
      </c>
      <c r="G164" s="1" t="s">
        <v>6951</v>
      </c>
    </row>
    <row r="165" spans="1:7">
      <c r="A165" s="1" t="s">
        <v>991</v>
      </c>
      <c r="B165" s="1" t="s">
        <v>2765</v>
      </c>
      <c r="C165" s="1" t="s">
        <v>2766</v>
      </c>
      <c r="D165" s="1" t="s">
        <v>2767</v>
      </c>
      <c r="E165" s="1" t="s">
        <v>6931</v>
      </c>
      <c r="F165" s="1" t="s">
        <v>6929</v>
      </c>
      <c r="G165" s="1" t="s">
        <v>7068</v>
      </c>
    </row>
    <row r="166" spans="1:7">
      <c r="A166" s="1" t="s">
        <v>1163</v>
      </c>
      <c r="B166" s="1" t="s">
        <v>1131</v>
      </c>
      <c r="C166" s="1" t="s">
        <v>1164</v>
      </c>
      <c r="D166" s="1" t="s">
        <v>1165</v>
      </c>
      <c r="E166" s="1" t="s">
        <v>7120</v>
      </c>
      <c r="F166" s="1" t="s">
        <v>7099</v>
      </c>
      <c r="G166" s="1" t="s">
        <v>7121</v>
      </c>
    </row>
    <row r="167" spans="1:7">
      <c r="A167" s="1" t="s">
        <v>920</v>
      </c>
      <c r="B167" s="1" t="s">
        <v>4801</v>
      </c>
      <c r="C167" s="1" t="s">
        <v>4802</v>
      </c>
      <c r="D167" s="1" t="s">
        <v>4803</v>
      </c>
      <c r="E167" s="1" t="s">
        <v>7030</v>
      </c>
      <c r="F167" s="1" t="s">
        <v>6929</v>
      </c>
      <c r="G167" s="1" t="s">
        <v>6951</v>
      </c>
    </row>
    <row r="168" spans="1:7">
      <c r="A168" s="1" t="s">
        <v>1923</v>
      </c>
      <c r="B168" s="1" t="s">
        <v>134</v>
      </c>
      <c r="C168" s="1" t="s">
        <v>3536</v>
      </c>
      <c r="D168" s="1" t="s">
        <v>3537</v>
      </c>
      <c r="E168" s="1" t="s">
        <v>6931</v>
      </c>
      <c r="F168" s="1" t="s">
        <v>7056</v>
      </c>
      <c r="G168" s="1" t="s">
        <v>7122</v>
      </c>
    </row>
    <row r="169" spans="1:7">
      <c r="A169" s="1" t="s">
        <v>1923</v>
      </c>
      <c r="B169" s="1" t="s">
        <v>3529</v>
      </c>
      <c r="C169" s="1" t="s">
        <v>3538</v>
      </c>
      <c r="D169" s="1" t="s">
        <v>3539</v>
      </c>
      <c r="E169" s="1" t="s">
        <v>6931</v>
      </c>
      <c r="F169" s="1" t="s">
        <v>6944</v>
      </c>
      <c r="G169" s="1" t="s">
        <v>6951</v>
      </c>
    </row>
    <row r="170" spans="1:7">
      <c r="A170" s="1" t="s">
        <v>1923</v>
      </c>
      <c r="B170" s="1" t="s">
        <v>3529</v>
      </c>
      <c r="C170" s="1" t="s">
        <v>3530</v>
      </c>
      <c r="D170" s="1" t="s">
        <v>3531</v>
      </c>
      <c r="E170" s="1" t="s">
        <v>6931</v>
      </c>
      <c r="F170" s="1" t="s">
        <v>6953</v>
      </c>
      <c r="G170" s="1" t="s">
        <v>6940</v>
      </c>
    </row>
    <row r="171" spans="1:7">
      <c r="A171" s="1" t="s">
        <v>1923</v>
      </c>
      <c r="B171" s="1" t="s">
        <v>1131</v>
      </c>
      <c r="C171" s="1" t="s">
        <v>3524</v>
      </c>
      <c r="D171" s="1" t="s">
        <v>3525</v>
      </c>
      <c r="E171" s="1" t="s">
        <v>6982</v>
      </c>
      <c r="F171" s="1" t="s">
        <v>6953</v>
      </c>
      <c r="G171" s="1" t="s">
        <v>7123</v>
      </c>
    </row>
    <row r="172" spans="1:7">
      <c r="A172" s="1" t="s">
        <v>1515</v>
      </c>
      <c r="B172" s="1" t="s">
        <v>1512</v>
      </c>
      <c r="C172" s="1" t="s">
        <v>2437</v>
      </c>
      <c r="D172" s="1" t="s">
        <v>2438</v>
      </c>
      <c r="E172" s="1" t="s">
        <v>6931</v>
      </c>
      <c r="F172" s="1" t="s">
        <v>6929</v>
      </c>
      <c r="G172" s="1" t="s">
        <v>7124</v>
      </c>
    </row>
    <row r="173" spans="1:7">
      <c r="A173" s="1" t="s">
        <v>34</v>
      </c>
      <c r="B173" s="1" t="s">
        <v>839</v>
      </c>
      <c r="C173" s="1" t="s">
        <v>1092</v>
      </c>
      <c r="D173" s="1" t="s">
        <v>1093</v>
      </c>
      <c r="E173" s="1" t="s">
        <v>5162</v>
      </c>
      <c r="F173" s="1" t="s">
        <v>6929</v>
      </c>
      <c r="G173" s="1" t="s">
        <v>6932</v>
      </c>
    </row>
    <row r="174" spans="1:7">
      <c r="A174" s="1" t="s">
        <v>34</v>
      </c>
      <c r="B174" s="1" t="s">
        <v>839</v>
      </c>
      <c r="C174" s="1" t="s">
        <v>1220</v>
      </c>
      <c r="D174" s="1" t="s">
        <v>1221</v>
      </c>
      <c r="E174" s="1" t="s">
        <v>6939</v>
      </c>
      <c r="F174" s="1" t="s">
        <v>6929</v>
      </c>
      <c r="G174" s="1" t="s">
        <v>6967</v>
      </c>
    </row>
    <row r="175" spans="1:7">
      <c r="A175" s="1" t="s">
        <v>34</v>
      </c>
      <c r="B175" s="1" t="s">
        <v>1827</v>
      </c>
      <c r="C175" s="1" t="s">
        <v>1828</v>
      </c>
      <c r="D175" s="1" t="s">
        <v>1829</v>
      </c>
      <c r="E175" s="1" t="s">
        <v>6934</v>
      </c>
      <c r="F175" s="1" t="s">
        <v>6961</v>
      </c>
      <c r="G175" s="1" t="s">
        <v>7112</v>
      </c>
    </row>
    <row r="176" spans="1:7">
      <c r="A176" s="1" t="s">
        <v>7125</v>
      </c>
      <c r="B176" s="1" t="s">
        <v>435</v>
      </c>
      <c r="C176" s="1" t="s">
        <v>436</v>
      </c>
      <c r="D176" s="1" t="s">
        <v>437</v>
      </c>
      <c r="E176" s="1" t="s">
        <v>6931</v>
      </c>
      <c r="F176" s="1" t="s">
        <v>6929</v>
      </c>
      <c r="G176" s="1" t="s">
        <v>7126</v>
      </c>
    </row>
    <row r="177" spans="1:7">
      <c r="A177" s="1" t="s">
        <v>1171</v>
      </c>
      <c r="B177" s="1" t="s">
        <v>5126</v>
      </c>
      <c r="C177" s="1" t="s">
        <v>5277</v>
      </c>
      <c r="D177" s="1" t="s">
        <v>5278</v>
      </c>
      <c r="E177" s="1" t="s">
        <v>6934</v>
      </c>
      <c r="F177" s="1" t="s">
        <v>6929</v>
      </c>
      <c r="G177" s="1" t="s">
        <v>6951</v>
      </c>
    </row>
    <row r="178" spans="1:7">
      <c r="A178" s="1" t="s">
        <v>530</v>
      </c>
      <c r="B178" s="1" t="s">
        <v>7127</v>
      </c>
      <c r="C178" s="1" t="s">
        <v>1436</v>
      </c>
      <c r="D178" s="1" t="s">
        <v>1437</v>
      </c>
      <c r="E178" s="1" t="s">
        <v>6931</v>
      </c>
      <c r="F178" s="1" t="s">
        <v>6929</v>
      </c>
      <c r="G178" s="1" t="s">
        <v>7128</v>
      </c>
    </row>
    <row r="179" spans="1:7">
      <c r="A179" s="1" t="s">
        <v>530</v>
      </c>
      <c r="B179" s="1" t="s">
        <v>3529</v>
      </c>
      <c r="C179" s="1" t="s">
        <v>1233</v>
      </c>
      <c r="D179" s="1" t="s">
        <v>1234</v>
      </c>
      <c r="E179" s="1" t="s">
        <v>7129</v>
      </c>
      <c r="F179" s="1" t="s">
        <v>6929</v>
      </c>
      <c r="G179" s="1" t="s">
        <v>7007</v>
      </c>
    </row>
    <row r="180" spans="1:7">
      <c r="A180" s="1" t="s">
        <v>7130</v>
      </c>
      <c r="B180" s="1" t="s">
        <v>2397</v>
      </c>
      <c r="C180" s="1" t="s">
        <v>6503</v>
      </c>
      <c r="D180" s="1" t="s">
        <v>6502</v>
      </c>
      <c r="E180" s="1" t="s">
        <v>6939</v>
      </c>
      <c r="F180" s="1" t="s">
        <v>6929</v>
      </c>
      <c r="G180" s="1" t="s">
        <v>7070</v>
      </c>
    </row>
    <row r="181" spans="1:7">
      <c r="A181" s="1" t="s">
        <v>7130</v>
      </c>
      <c r="B181" s="1" t="s">
        <v>709</v>
      </c>
      <c r="C181" s="1" t="s">
        <v>6477</v>
      </c>
      <c r="D181" s="1" t="s">
        <v>6478</v>
      </c>
      <c r="E181" s="1" t="s">
        <v>6943</v>
      </c>
      <c r="F181" s="1" t="s">
        <v>6929</v>
      </c>
      <c r="G181" s="1" t="s">
        <v>7060</v>
      </c>
    </row>
    <row r="182" spans="1:7">
      <c r="A182" s="1" t="s">
        <v>7130</v>
      </c>
      <c r="B182" s="1" t="s">
        <v>191</v>
      </c>
      <c r="C182" s="1" t="s">
        <v>194</v>
      </c>
      <c r="D182" s="1" t="s">
        <v>195</v>
      </c>
      <c r="E182" s="1" t="s">
        <v>6939</v>
      </c>
      <c r="F182" s="1" t="s">
        <v>6929</v>
      </c>
      <c r="G182" s="1" t="s">
        <v>6940</v>
      </c>
    </row>
    <row r="183" spans="1:7">
      <c r="A183" s="1" t="s">
        <v>7130</v>
      </c>
      <c r="B183" s="1" t="s">
        <v>7131</v>
      </c>
      <c r="C183" s="1" t="s">
        <v>7132</v>
      </c>
      <c r="D183" s="1" t="s">
        <v>7133</v>
      </c>
      <c r="E183" s="1" t="s">
        <v>6939</v>
      </c>
      <c r="F183" s="1" t="s">
        <v>6929</v>
      </c>
      <c r="G183" s="1" t="s">
        <v>6967</v>
      </c>
    </row>
    <row r="184" spans="1:7">
      <c r="A184" s="1" t="s">
        <v>7130</v>
      </c>
      <c r="B184" s="1" t="s">
        <v>365</v>
      </c>
      <c r="C184" s="1" t="s">
        <v>366</v>
      </c>
      <c r="D184" s="1" t="s">
        <v>367</v>
      </c>
      <c r="E184" s="1" t="s">
        <v>5162</v>
      </c>
      <c r="F184" s="1" t="s">
        <v>6929</v>
      </c>
      <c r="G184" s="1" t="s">
        <v>7134</v>
      </c>
    </row>
    <row r="185" spans="1:7">
      <c r="A185" s="1" t="s">
        <v>7130</v>
      </c>
      <c r="B185" s="1" t="s">
        <v>527</v>
      </c>
      <c r="C185" s="1" t="s">
        <v>1854</v>
      </c>
      <c r="D185" s="1" t="s">
        <v>1855</v>
      </c>
      <c r="E185" s="1" t="s">
        <v>6957</v>
      </c>
      <c r="F185" s="1" t="s">
        <v>6929</v>
      </c>
      <c r="G185" s="1" t="s">
        <v>6967</v>
      </c>
    </row>
    <row r="186" spans="1:7">
      <c r="A186" s="1" t="s">
        <v>7130</v>
      </c>
      <c r="B186" s="1" t="s">
        <v>898</v>
      </c>
      <c r="C186" s="1" t="s">
        <v>6491</v>
      </c>
      <c r="D186" s="1" t="s">
        <v>1040</v>
      </c>
      <c r="E186" s="1" t="s">
        <v>7046</v>
      </c>
      <c r="F186" s="1" t="s">
        <v>6929</v>
      </c>
      <c r="G186" s="1" t="s">
        <v>6927</v>
      </c>
    </row>
    <row r="187" spans="1:7">
      <c r="A187" s="1" t="s">
        <v>7130</v>
      </c>
      <c r="B187" s="1" t="s">
        <v>365</v>
      </c>
      <c r="C187" s="1" t="s">
        <v>6475</v>
      </c>
      <c r="D187" s="1" t="s">
        <v>6476</v>
      </c>
      <c r="E187" s="1" t="s">
        <v>3334</v>
      </c>
      <c r="F187" s="1" t="s">
        <v>6929</v>
      </c>
      <c r="G187" s="1" t="s">
        <v>7135</v>
      </c>
    </row>
    <row r="188" spans="1:7">
      <c r="A188" s="3" t="s">
        <v>7136</v>
      </c>
      <c r="B188" s="1" t="s">
        <v>1411</v>
      </c>
      <c r="C188" s="1" t="s">
        <v>2471</v>
      </c>
      <c r="D188" s="1" t="s">
        <v>2472</v>
      </c>
      <c r="E188" s="1" t="s">
        <v>6931</v>
      </c>
      <c r="F188" s="1" t="s">
        <v>6929</v>
      </c>
      <c r="G188" s="1" t="s">
        <v>7060</v>
      </c>
    </row>
    <row r="189" spans="1:7">
      <c r="A189" s="1" t="s">
        <v>2632</v>
      </c>
      <c r="B189" s="1" t="s">
        <v>1411</v>
      </c>
      <c r="C189" s="1" t="s">
        <v>2633</v>
      </c>
      <c r="D189" s="1" t="s">
        <v>2634</v>
      </c>
      <c r="E189" s="1" t="s">
        <v>6934</v>
      </c>
      <c r="F189" s="1" t="s">
        <v>6973</v>
      </c>
      <c r="G189" s="1" t="s">
        <v>7137</v>
      </c>
    </row>
    <row r="190" spans="1:7">
      <c r="A190" s="1" t="s">
        <v>2632</v>
      </c>
      <c r="B190" s="1" t="s">
        <v>1411</v>
      </c>
      <c r="C190" s="1" t="s">
        <v>2637</v>
      </c>
      <c r="D190" s="1" t="s">
        <v>2638</v>
      </c>
      <c r="E190" s="1" t="s">
        <v>3334</v>
      </c>
      <c r="F190" s="1" t="s">
        <v>6929</v>
      </c>
      <c r="G190" s="1" t="s">
        <v>7060</v>
      </c>
    </row>
    <row r="191" spans="1:7">
      <c r="A191" s="1" t="s">
        <v>142</v>
      </c>
      <c r="B191" s="1" t="s">
        <v>1438</v>
      </c>
      <c r="C191" s="1" t="s">
        <v>6755</v>
      </c>
      <c r="D191" s="1" t="s">
        <v>7138</v>
      </c>
      <c r="E191" s="1" t="s">
        <v>6955</v>
      </c>
      <c r="F191" s="1" t="s">
        <v>6953</v>
      </c>
      <c r="G191" s="1" t="s">
        <v>6940</v>
      </c>
    </row>
    <row r="192" spans="1:7">
      <c r="A192" s="1" t="s">
        <v>142</v>
      </c>
      <c r="B192" s="1" t="s">
        <v>1858</v>
      </c>
      <c r="C192" s="1" t="s">
        <v>1859</v>
      </c>
      <c r="D192" s="1" t="s">
        <v>1860</v>
      </c>
      <c r="E192" s="1" t="s">
        <v>3334</v>
      </c>
      <c r="F192" s="1" t="s">
        <v>6944</v>
      </c>
      <c r="G192" s="1" t="s">
        <v>6940</v>
      </c>
    </row>
    <row r="193" spans="1:7">
      <c r="A193" s="1" t="s">
        <v>142</v>
      </c>
      <c r="B193" s="1" t="s">
        <v>6685</v>
      </c>
      <c r="C193" s="1" t="s">
        <v>6686</v>
      </c>
      <c r="D193" s="1" t="s">
        <v>6687</v>
      </c>
      <c r="E193" s="1" t="s">
        <v>3334</v>
      </c>
      <c r="F193" s="1" t="s">
        <v>6929</v>
      </c>
      <c r="G193" s="1" t="s">
        <v>6951</v>
      </c>
    </row>
    <row r="194" spans="1:7">
      <c r="A194" s="1" t="s">
        <v>142</v>
      </c>
      <c r="B194" s="1" t="s">
        <v>6664</v>
      </c>
      <c r="C194" s="1" t="s">
        <v>6720</v>
      </c>
      <c r="D194" s="1" t="s">
        <v>6721</v>
      </c>
      <c r="E194" s="1" t="s">
        <v>6939</v>
      </c>
      <c r="F194" s="1" t="s">
        <v>6929</v>
      </c>
      <c r="G194" s="1" t="s">
        <v>6954</v>
      </c>
    </row>
    <row r="195" spans="1:7">
      <c r="A195" s="1" t="s">
        <v>142</v>
      </c>
      <c r="B195" s="1" t="s">
        <v>1100</v>
      </c>
      <c r="C195" s="1" t="s">
        <v>5518</v>
      </c>
      <c r="D195" s="1" t="s">
        <v>5519</v>
      </c>
      <c r="E195" s="1" t="s">
        <v>6931</v>
      </c>
      <c r="F195" s="1" t="s">
        <v>6999</v>
      </c>
      <c r="G195" s="1" t="s">
        <v>7139</v>
      </c>
    </row>
    <row r="196" spans="1:7">
      <c r="A196" s="1" t="s">
        <v>142</v>
      </c>
      <c r="B196" s="1" t="s">
        <v>188</v>
      </c>
      <c r="C196" s="1" t="s">
        <v>6631</v>
      </c>
      <c r="D196" s="1" t="s">
        <v>6632</v>
      </c>
      <c r="E196" s="1" t="s">
        <v>5162</v>
      </c>
      <c r="F196" s="1" t="s">
        <v>6929</v>
      </c>
      <c r="G196" s="1" t="s">
        <v>7140</v>
      </c>
    </row>
    <row r="197" spans="1:7">
      <c r="A197" s="1" t="s">
        <v>142</v>
      </c>
      <c r="B197" s="1" t="s">
        <v>1791</v>
      </c>
      <c r="C197" s="1" t="s">
        <v>1792</v>
      </c>
      <c r="D197" s="1" t="s">
        <v>1793</v>
      </c>
      <c r="E197" s="1" t="s">
        <v>6955</v>
      </c>
      <c r="F197" s="1" t="s">
        <v>6929</v>
      </c>
      <c r="G197" s="1" t="s">
        <v>7141</v>
      </c>
    </row>
    <row r="198" spans="1:7">
      <c r="A198" s="1" t="s">
        <v>142</v>
      </c>
      <c r="B198" s="1" t="s">
        <v>6633</v>
      </c>
      <c r="C198" s="1" t="s">
        <v>6634</v>
      </c>
      <c r="D198" s="1" t="s">
        <v>6635</v>
      </c>
      <c r="E198" s="1" t="s">
        <v>7142</v>
      </c>
      <c r="F198" s="1" t="s">
        <v>6953</v>
      </c>
      <c r="G198" s="1" t="s">
        <v>7057</v>
      </c>
    </row>
    <row r="199" spans="1:7">
      <c r="A199" s="1" t="s">
        <v>142</v>
      </c>
      <c r="B199" s="1" t="s">
        <v>6706</v>
      </c>
      <c r="C199" s="1" t="s">
        <v>6709</v>
      </c>
      <c r="D199" s="1" t="s">
        <v>6708</v>
      </c>
      <c r="E199" s="1" t="s">
        <v>6931</v>
      </c>
      <c r="F199" s="1" t="s">
        <v>6929</v>
      </c>
      <c r="G199" s="1" t="s">
        <v>6951</v>
      </c>
    </row>
    <row r="200" spans="1:7">
      <c r="A200" s="1" t="s">
        <v>142</v>
      </c>
      <c r="B200" s="1" t="s">
        <v>1280</v>
      </c>
      <c r="C200" s="1" t="s">
        <v>1281</v>
      </c>
      <c r="D200" s="1" t="s">
        <v>1282</v>
      </c>
      <c r="E200" s="1" t="s">
        <v>3334</v>
      </c>
      <c r="F200" s="1" t="s">
        <v>6929</v>
      </c>
      <c r="G200" s="1" t="s">
        <v>7143</v>
      </c>
    </row>
    <row r="201" spans="1:7">
      <c r="A201" s="1" t="s">
        <v>142</v>
      </c>
      <c r="B201" s="1" t="s">
        <v>5510</v>
      </c>
      <c r="C201" s="1" t="s">
        <v>5513</v>
      </c>
      <c r="D201" s="1" t="s">
        <v>7144</v>
      </c>
      <c r="E201" s="1" t="s">
        <v>5162</v>
      </c>
      <c r="F201" s="1" t="s">
        <v>7011</v>
      </c>
      <c r="G201" s="1" t="s">
        <v>7145</v>
      </c>
    </row>
    <row r="202" spans="1:7">
      <c r="A202" s="1" t="s">
        <v>142</v>
      </c>
      <c r="B202" s="1" t="s">
        <v>216</v>
      </c>
      <c r="C202" s="1" t="s">
        <v>6638</v>
      </c>
      <c r="D202" s="1" t="s">
        <v>6639</v>
      </c>
      <c r="E202" s="1" t="s">
        <v>6931</v>
      </c>
      <c r="F202" s="1" t="s">
        <v>7018</v>
      </c>
      <c r="G202" s="1" t="s">
        <v>7146</v>
      </c>
    </row>
    <row r="203" spans="1:7">
      <c r="A203" s="1" t="s">
        <v>142</v>
      </c>
      <c r="B203" s="1" t="s">
        <v>1438</v>
      </c>
      <c r="C203" s="1" t="s">
        <v>6745</v>
      </c>
      <c r="D203" s="1" t="s">
        <v>6746</v>
      </c>
      <c r="E203" s="1" t="s">
        <v>6957</v>
      </c>
      <c r="F203" s="1" t="s">
        <v>6944</v>
      </c>
      <c r="G203" s="1" t="s">
        <v>6951</v>
      </c>
    </row>
    <row r="204" spans="1:7">
      <c r="A204" s="1" t="s">
        <v>2622</v>
      </c>
      <c r="B204" s="1" t="s">
        <v>2626</v>
      </c>
      <c r="C204" s="1" t="s">
        <v>2627</v>
      </c>
      <c r="D204" s="1" t="s">
        <v>256</v>
      </c>
      <c r="E204" s="1" t="s">
        <v>7147</v>
      </c>
      <c r="F204" s="1" t="s">
        <v>6953</v>
      </c>
      <c r="G204" s="1" t="s">
        <v>6967</v>
      </c>
    </row>
    <row r="205" spans="1:7">
      <c r="A205" s="1" t="s">
        <v>2622</v>
      </c>
      <c r="B205" s="1" t="s">
        <v>116</v>
      </c>
      <c r="C205" s="1" t="s">
        <v>2624</v>
      </c>
      <c r="D205" s="1" t="s">
        <v>2625</v>
      </c>
      <c r="E205" s="1" t="s">
        <v>6982</v>
      </c>
      <c r="F205" s="1" t="s">
        <v>6953</v>
      </c>
      <c r="G205" s="1" t="s">
        <v>7148</v>
      </c>
    </row>
    <row r="206" spans="1:7">
      <c r="A206" s="1" t="s">
        <v>773</v>
      </c>
      <c r="B206" s="1" t="s">
        <v>3196</v>
      </c>
      <c r="C206" s="1" t="s">
        <v>3203</v>
      </c>
      <c r="D206" s="1" t="s">
        <v>3204</v>
      </c>
      <c r="E206" s="1" t="s">
        <v>6931</v>
      </c>
      <c r="F206" s="1" t="s">
        <v>6929</v>
      </c>
      <c r="G206" s="1" t="s">
        <v>6951</v>
      </c>
    </row>
    <row r="207" spans="1:7">
      <c r="A207" s="1" t="s">
        <v>773</v>
      </c>
      <c r="B207" s="1" t="s">
        <v>3225</v>
      </c>
      <c r="C207" s="1" t="s">
        <v>3226</v>
      </c>
      <c r="D207" s="1" t="s">
        <v>3227</v>
      </c>
      <c r="E207" s="1" t="s">
        <v>6931</v>
      </c>
      <c r="F207" s="1" t="s">
        <v>7011</v>
      </c>
      <c r="G207" s="1" t="s">
        <v>7149</v>
      </c>
    </row>
    <row r="208" spans="1:7">
      <c r="A208" s="1" t="s">
        <v>773</v>
      </c>
      <c r="B208" s="1" t="s">
        <v>3155</v>
      </c>
      <c r="C208" s="1" t="s">
        <v>3201</v>
      </c>
      <c r="D208" s="1" t="s">
        <v>3202</v>
      </c>
      <c r="E208" s="1" t="s">
        <v>6931</v>
      </c>
      <c r="F208" s="1" t="s">
        <v>6953</v>
      </c>
      <c r="G208" s="1" t="s">
        <v>6940</v>
      </c>
    </row>
    <row r="209" spans="1:7">
      <c r="A209" s="1" t="s">
        <v>773</v>
      </c>
      <c r="B209" s="1" t="s">
        <v>1771</v>
      </c>
      <c r="C209" s="1" t="s">
        <v>3223</v>
      </c>
      <c r="D209" s="1" t="s">
        <v>3224</v>
      </c>
      <c r="E209" s="1" t="s">
        <v>7150</v>
      </c>
      <c r="F209" s="1" t="s">
        <v>6953</v>
      </c>
      <c r="G209" s="1" t="s">
        <v>7151</v>
      </c>
    </row>
    <row r="210" spans="1:7">
      <c r="A210" s="1" t="s">
        <v>773</v>
      </c>
      <c r="B210" s="1" t="s">
        <v>3205</v>
      </c>
      <c r="C210" s="1" t="s">
        <v>3206</v>
      </c>
      <c r="D210" s="1" t="s">
        <v>3207</v>
      </c>
      <c r="E210" s="1" t="s">
        <v>6931</v>
      </c>
      <c r="F210" s="1" t="s">
        <v>7011</v>
      </c>
      <c r="G210" s="1" t="s">
        <v>7049</v>
      </c>
    </row>
    <row r="211" spans="1:7">
      <c r="A211" s="1" t="s">
        <v>773</v>
      </c>
      <c r="B211" s="1" t="s">
        <v>3252</v>
      </c>
      <c r="C211" s="1" t="s">
        <v>3253</v>
      </c>
      <c r="D211" s="1" t="s">
        <v>3254</v>
      </c>
      <c r="E211" s="1" t="s">
        <v>6931</v>
      </c>
      <c r="F211" s="1" t="s">
        <v>6929</v>
      </c>
      <c r="G211" s="1" t="s">
        <v>7152</v>
      </c>
    </row>
    <row r="212" spans="1:7">
      <c r="A212" s="1" t="s">
        <v>773</v>
      </c>
      <c r="B212" s="1" t="s">
        <v>983</v>
      </c>
      <c r="C212" s="1" t="s">
        <v>984</v>
      </c>
      <c r="D212" s="1" t="s">
        <v>985</v>
      </c>
      <c r="E212" s="1" t="s">
        <v>6931</v>
      </c>
      <c r="F212" s="1" t="s">
        <v>6929</v>
      </c>
      <c r="G212" s="1" t="s">
        <v>6940</v>
      </c>
    </row>
    <row r="213" spans="1:7">
      <c r="A213" s="1" t="s">
        <v>773</v>
      </c>
      <c r="B213" s="1" t="s">
        <v>3188</v>
      </c>
      <c r="C213" s="1" t="s">
        <v>3212</v>
      </c>
      <c r="D213" s="1" t="s">
        <v>3213</v>
      </c>
      <c r="E213" s="1" t="s">
        <v>6931</v>
      </c>
      <c r="F213" s="1" t="s">
        <v>6929</v>
      </c>
      <c r="G213" s="1" t="s">
        <v>7042</v>
      </c>
    </row>
    <row r="214" spans="1:7">
      <c r="A214" s="1" t="s">
        <v>107</v>
      </c>
      <c r="B214" s="1" t="s">
        <v>108</v>
      </c>
      <c r="C214" s="1" t="s">
        <v>5500</v>
      </c>
      <c r="D214" s="1" t="s">
        <v>5501</v>
      </c>
      <c r="E214" s="1" t="s">
        <v>6943</v>
      </c>
      <c r="F214" s="1" t="s">
        <v>7018</v>
      </c>
      <c r="G214" s="1" t="s">
        <v>7088</v>
      </c>
    </row>
    <row r="215" spans="1:7">
      <c r="A215" s="1" t="s">
        <v>107</v>
      </c>
      <c r="B215" s="1" t="s">
        <v>108</v>
      </c>
      <c r="C215" s="1" t="s">
        <v>5506</v>
      </c>
      <c r="D215" s="1" t="s">
        <v>5507</v>
      </c>
      <c r="E215" s="1" t="s">
        <v>6943</v>
      </c>
      <c r="F215" s="1" t="s">
        <v>6961</v>
      </c>
      <c r="G215" s="1" t="s">
        <v>6927</v>
      </c>
    </row>
    <row r="216" spans="1:7">
      <c r="A216" s="1" t="s">
        <v>1044</v>
      </c>
      <c r="B216" s="1" t="s">
        <v>718</v>
      </c>
      <c r="C216" s="1" t="s">
        <v>1047</v>
      </c>
      <c r="D216" s="1" t="s">
        <v>1048</v>
      </c>
      <c r="E216" s="1" t="s">
        <v>6931</v>
      </c>
      <c r="F216" s="1" t="s">
        <v>6929</v>
      </c>
      <c r="G216" s="1" t="s">
        <v>6967</v>
      </c>
    </row>
    <row r="217" spans="1:7">
      <c r="A217" s="1" t="s">
        <v>1044</v>
      </c>
      <c r="B217" s="1" t="s">
        <v>264</v>
      </c>
      <c r="C217" s="1" t="s">
        <v>2325</v>
      </c>
      <c r="D217" s="1" t="s">
        <v>2326</v>
      </c>
      <c r="E217" s="1" t="s">
        <v>7041</v>
      </c>
      <c r="F217" s="1" t="s">
        <v>6926</v>
      </c>
      <c r="G217" s="1" t="s">
        <v>7153</v>
      </c>
    </row>
    <row r="218" spans="1:7">
      <c r="A218" s="1" t="s">
        <v>1044</v>
      </c>
      <c r="B218" s="1" t="s">
        <v>1698</v>
      </c>
      <c r="C218" s="1" t="s">
        <v>2319</v>
      </c>
      <c r="D218" s="1" t="s">
        <v>2320</v>
      </c>
      <c r="E218" s="1" t="s">
        <v>3334</v>
      </c>
      <c r="F218" s="1" t="s">
        <v>6953</v>
      </c>
      <c r="G218" s="1" t="s">
        <v>7154</v>
      </c>
    </row>
    <row r="219" spans="1:7">
      <c r="A219" s="1" t="s">
        <v>7155</v>
      </c>
      <c r="B219" s="1" t="s">
        <v>78</v>
      </c>
      <c r="C219" s="1" t="s">
        <v>2315</v>
      </c>
      <c r="D219" s="1" t="s">
        <v>2316</v>
      </c>
      <c r="E219" s="1" t="s">
        <v>6931</v>
      </c>
      <c r="F219" s="1" t="s">
        <v>7056</v>
      </c>
      <c r="G219" s="1" t="s">
        <v>6951</v>
      </c>
    </row>
    <row r="220" spans="1:7">
      <c r="A220" s="1" t="s">
        <v>99</v>
      </c>
      <c r="B220" s="1" t="s">
        <v>935</v>
      </c>
      <c r="C220" s="1" t="s">
        <v>6269</v>
      </c>
      <c r="D220" s="1" t="s">
        <v>6270</v>
      </c>
      <c r="E220" s="1" t="s">
        <v>6982</v>
      </c>
      <c r="F220" s="1" t="s">
        <v>6929</v>
      </c>
      <c r="G220" s="1" t="s">
        <v>7156</v>
      </c>
    </row>
    <row r="221" spans="1:7">
      <c r="A221" s="1" t="s">
        <v>99</v>
      </c>
      <c r="B221" s="1" t="s">
        <v>100</v>
      </c>
      <c r="C221" s="1" t="s">
        <v>1075</v>
      </c>
      <c r="D221" s="1" t="s">
        <v>1076</v>
      </c>
      <c r="E221" s="1" t="s">
        <v>6939</v>
      </c>
      <c r="F221" s="1" t="s">
        <v>6929</v>
      </c>
      <c r="G221" s="1" t="s">
        <v>7088</v>
      </c>
    </row>
    <row r="222" spans="1:7">
      <c r="A222" s="1" t="s">
        <v>99</v>
      </c>
      <c r="B222" s="1" t="s">
        <v>898</v>
      </c>
      <c r="C222" s="1" t="s">
        <v>6283</v>
      </c>
      <c r="D222" s="1" t="s">
        <v>6284</v>
      </c>
      <c r="E222" s="1" t="s">
        <v>6943</v>
      </c>
      <c r="F222" s="1" t="s">
        <v>6929</v>
      </c>
      <c r="G222" s="1" t="s">
        <v>7157</v>
      </c>
    </row>
    <row r="223" spans="1:7">
      <c r="A223" s="1" t="s">
        <v>99</v>
      </c>
      <c r="B223" s="1" t="s">
        <v>119</v>
      </c>
      <c r="C223" s="1" t="s">
        <v>1013</v>
      </c>
      <c r="D223" s="1" t="s">
        <v>1014</v>
      </c>
      <c r="E223" s="1" t="s">
        <v>7078</v>
      </c>
      <c r="F223" s="1" t="s">
        <v>6929</v>
      </c>
      <c r="G223" s="1" t="s">
        <v>6932</v>
      </c>
    </row>
    <row r="224" spans="1:7">
      <c r="A224" s="1" t="s">
        <v>99</v>
      </c>
      <c r="B224" s="1" t="s">
        <v>100</v>
      </c>
      <c r="C224" s="1" t="s">
        <v>1077</v>
      </c>
      <c r="D224" s="1" t="s">
        <v>1078</v>
      </c>
      <c r="E224" s="1" t="s">
        <v>7158</v>
      </c>
      <c r="F224" s="1" t="s">
        <v>6929</v>
      </c>
      <c r="G224" s="1" t="s">
        <v>7159</v>
      </c>
    </row>
    <row r="225" spans="1:7">
      <c r="A225" s="1" t="s">
        <v>3942</v>
      </c>
      <c r="B225" s="1" t="s">
        <v>9</v>
      </c>
      <c r="C225" s="1" t="s">
        <v>3945</v>
      </c>
      <c r="D225" s="1" t="s">
        <v>3946</v>
      </c>
      <c r="E225" s="1" t="s">
        <v>5162</v>
      </c>
      <c r="F225" s="1" t="s">
        <v>6953</v>
      </c>
      <c r="G225" s="1" t="s">
        <v>6954</v>
      </c>
    </row>
    <row r="226" spans="1:7">
      <c r="A226" s="1" t="s">
        <v>1373</v>
      </c>
      <c r="B226" s="1" t="s">
        <v>4786</v>
      </c>
      <c r="C226" s="1" t="s">
        <v>4789</v>
      </c>
      <c r="D226" s="1" t="s">
        <v>4790</v>
      </c>
      <c r="E226" s="1" t="s">
        <v>3334</v>
      </c>
      <c r="F226" s="1" t="s">
        <v>6929</v>
      </c>
      <c r="G226" s="1" t="s">
        <v>6951</v>
      </c>
    </row>
    <row r="227" spans="1:7">
      <c r="A227" s="1" t="s">
        <v>7160</v>
      </c>
      <c r="B227" s="1" t="s">
        <v>78</v>
      </c>
      <c r="C227" s="1" t="s">
        <v>1569</v>
      </c>
      <c r="D227" s="1" t="s">
        <v>1570</v>
      </c>
      <c r="E227" s="1" t="s">
        <v>6931</v>
      </c>
      <c r="F227" s="1" t="s">
        <v>6953</v>
      </c>
      <c r="G227" s="1" t="s">
        <v>6951</v>
      </c>
    </row>
    <row r="228" spans="1:7">
      <c r="A228" s="1" t="s">
        <v>7161</v>
      </c>
      <c r="B228" s="1" t="s">
        <v>4648</v>
      </c>
      <c r="C228" s="1" t="s">
        <v>4649</v>
      </c>
      <c r="D228" s="1" t="s">
        <v>4650</v>
      </c>
      <c r="E228" s="1" t="s">
        <v>5162</v>
      </c>
      <c r="F228" s="1" t="s">
        <v>6953</v>
      </c>
      <c r="G228" s="1" t="s">
        <v>7037</v>
      </c>
    </row>
    <row r="229" spans="1:7">
      <c r="A229" s="1" t="s">
        <v>7162</v>
      </c>
      <c r="B229" s="1" t="s">
        <v>2705</v>
      </c>
      <c r="C229" s="1" t="s">
        <v>2706</v>
      </c>
      <c r="D229" s="1" t="s">
        <v>2707</v>
      </c>
      <c r="E229" s="1" t="s">
        <v>3334</v>
      </c>
      <c r="F229" s="1" t="s">
        <v>6929</v>
      </c>
      <c r="G229" s="1" t="s">
        <v>7163</v>
      </c>
    </row>
    <row r="230" spans="1:7">
      <c r="A230" s="1" t="s">
        <v>417</v>
      </c>
      <c r="B230" s="1" t="s">
        <v>644</v>
      </c>
      <c r="C230" s="1" t="s">
        <v>645</v>
      </c>
      <c r="D230" s="1" t="s">
        <v>646</v>
      </c>
      <c r="E230" s="1" t="s">
        <v>6931</v>
      </c>
      <c r="F230" s="1" t="s">
        <v>7001</v>
      </c>
      <c r="G230" s="1" t="s">
        <v>6940</v>
      </c>
    </row>
    <row r="231" spans="1:7">
      <c r="A231" s="1" t="s">
        <v>417</v>
      </c>
      <c r="B231" s="1" t="s">
        <v>1431</v>
      </c>
      <c r="C231" s="1" t="s">
        <v>3581</v>
      </c>
      <c r="D231" s="1" t="s">
        <v>1176</v>
      </c>
      <c r="E231" s="1" t="s">
        <v>3334</v>
      </c>
      <c r="F231" s="1" t="s">
        <v>6944</v>
      </c>
      <c r="G231" s="1" t="s">
        <v>7060</v>
      </c>
    </row>
    <row r="232" spans="1:7">
      <c r="A232" s="1" t="s">
        <v>417</v>
      </c>
      <c r="B232" s="1" t="s">
        <v>418</v>
      </c>
      <c r="C232" s="1" t="s">
        <v>3595</v>
      </c>
      <c r="D232" s="1" t="s">
        <v>3596</v>
      </c>
      <c r="E232" s="1" t="s">
        <v>6931</v>
      </c>
      <c r="F232" s="1" t="s">
        <v>6929</v>
      </c>
      <c r="G232" s="1" t="s">
        <v>7164</v>
      </c>
    </row>
    <row r="233" spans="1:7">
      <c r="A233" s="1" t="s">
        <v>417</v>
      </c>
      <c r="B233" s="1" t="s">
        <v>792</v>
      </c>
      <c r="C233" s="1" t="s">
        <v>793</v>
      </c>
      <c r="D233" s="1" t="s">
        <v>794</v>
      </c>
      <c r="E233" s="1" t="s">
        <v>6931</v>
      </c>
      <c r="F233" s="1" t="s">
        <v>6953</v>
      </c>
      <c r="G233" s="1" t="s">
        <v>6951</v>
      </c>
    </row>
    <row r="234" spans="1:7">
      <c r="A234" s="1" t="s">
        <v>417</v>
      </c>
      <c r="B234" s="1" t="s">
        <v>48</v>
      </c>
      <c r="C234" s="1" t="s">
        <v>1927</v>
      </c>
      <c r="D234" s="1" t="s">
        <v>1928</v>
      </c>
      <c r="E234" s="1" t="s">
        <v>6931</v>
      </c>
      <c r="F234" s="1" t="s">
        <v>6953</v>
      </c>
      <c r="G234" s="1" t="s">
        <v>7165</v>
      </c>
    </row>
    <row r="235" spans="1:7">
      <c r="A235" s="1" t="s">
        <v>160</v>
      </c>
      <c r="B235" s="1" t="s">
        <v>149</v>
      </c>
      <c r="C235" s="1" t="s">
        <v>5724</v>
      </c>
      <c r="D235" s="1" t="s">
        <v>5725</v>
      </c>
      <c r="E235" s="1" t="s">
        <v>6939</v>
      </c>
      <c r="F235" s="1" t="s">
        <v>6929</v>
      </c>
      <c r="G235" s="1" t="s">
        <v>6927</v>
      </c>
    </row>
    <row r="236" spans="1:7">
      <c r="A236" s="3" t="s">
        <v>7166</v>
      </c>
      <c r="B236" s="1" t="s">
        <v>735</v>
      </c>
      <c r="C236" s="1" t="s">
        <v>787</v>
      </c>
      <c r="D236" s="1" t="s">
        <v>788</v>
      </c>
      <c r="E236" s="1" t="s">
        <v>6931</v>
      </c>
      <c r="F236" s="1" t="s">
        <v>6929</v>
      </c>
      <c r="G236" s="1" t="s">
        <v>7167</v>
      </c>
    </row>
    <row r="237" spans="1:7">
      <c r="A237" s="3" t="s">
        <v>7166</v>
      </c>
      <c r="B237" s="1" t="s">
        <v>2479</v>
      </c>
      <c r="C237" s="1" t="s">
        <v>2487</v>
      </c>
      <c r="D237" s="1" t="s">
        <v>2488</v>
      </c>
      <c r="E237" s="1" t="s">
        <v>7041</v>
      </c>
      <c r="F237" s="1" t="s">
        <v>7056</v>
      </c>
      <c r="G237" s="1" t="s">
        <v>7168</v>
      </c>
    </row>
    <row r="238" spans="1:7">
      <c r="A238" s="3" t="s">
        <v>7166</v>
      </c>
      <c r="B238" s="1" t="s">
        <v>2500</v>
      </c>
      <c r="C238" s="1" t="s">
        <v>2501</v>
      </c>
      <c r="D238" s="1" t="s">
        <v>2502</v>
      </c>
      <c r="E238" s="1" t="s">
        <v>6931</v>
      </c>
      <c r="F238" s="1" t="s">
        <v>6929</v>
      </c>
      <c r="G238" s="1" t="s">
        <v>6979</v>
      </c>
    </row>
    <row r="239" spans="1:7">
      <c r="A239" s="3" t="s">
        <v>7166</v>
      </c>
      <c r="B239" s="1" t="s">
        <v>1419</v>
      </c>
      <c r="C239" s="1" t="s">
        <v>1420</v>
      </c>
      <c r="D239" s="1" t="s">
        <v>1421</v>
      </c>
      <c r="E239" s="1" t="s">
        <v>6982</v>
      </c>
      <c r="F239" s="1" t="s">
        <v>6944</v>
      </c>
      <c r="G239" s="1" t="s">
        <v>6967</v>
      </c>
    </row>
    <row r="240" spans="1:7">
      <c r="A240" s="1" t="s">
        <v>853</v>
      </c>
      <c r="B240" s="1" t="s">
        <v>264</v>
      </c>
      <c r="C240" s="1" t="s">
        <v>3825</v>
      </c>
      <c r="D240" s="1" t="s">
        <v>816</v>
      </c>
      <c r="E240" s="1" t="s">
        <v>6931</v>
      </c>
      <c r="F240" s="1" t="s">
        <v>6929</v>
      </c>
      <c r="G240" s="1" t="s">
        <v>7070</v>
      </c>
    </row>
    <row r="241" spans="1:7">
      <c r="A241" s="1" t="s">
        <v>853</v>
      </c>
      <c r="B241" s="1" t="s">
        <v>264</v>
      </c>
      <c r="C241" s="1" t="s">
        <v>3846</v>
      </c>
      <c r="D241" s="1" t="s">
        <v>3847</v>
      </c>
      <c r="E241" s="1" t="s">
        <v>6931</v>
      </c>
      <c r="F241" s="1" t="s">
        <v>6929</v>
      </c>
      <c r="G241" s="1" t="s">
        <v>7169</v>
      </c>
    </row>
    <row r="242" spans="1:7">
      <c r="A242" s="1" t="s">
        <v>853</v>
      </c>
      <c r="B242" s="1" t="s">
        <v>264</v>
      </c>
      <c r="C242" s="1" t="s">
        <v>3826</v>
      </c>
      <c r="D242" s="1" t="s">
        <v>3827</v>
      </c>
      <c r="E242" s="1" t="s">
        <v>6931</v>
      </c>
      <c r="F242" s="1" t="s">
        <v>6929</v>
      </c>
      <c r="G242" s="1" t="s">
        <v>6927</v>
      </c>
    </row>
    <row r="243" spans="1:7">
      <c r="A243" s="1" t="s">
        <v>853</v>
      </c>
      <c r="B243" s="1" t="s">
        <v>1744</v>
      </c>
      <c r="C243" s="1" t="s">
        <v>1745</v>
      </c>
      <c r="D243" s="1" t="s">
        <v>1746</v>
      </c>
      <c r="E243" s="1" t="s">
        <v>7041</v>
      </c>
      <c r="F243" s="1" t="s">
        <v>6926</v>
      </c>
      <c r="G243" s="1" t="s">
        <v>7170</v>
      </c>
    </row>
    <row r="244" spans="1:7">
      <c r="A244" s="1" t="s">
        <v>853</v>
      </c>
      <c r="B244" s="1" t="s">
        <v>3791</v>
      </c>
      <c r="C244" s="1" t="s">
        <v>7171</v>
      </c>
      <c r="D244" s="1" t="s">
        <v>7172</v>
      </c>
      <c r="E244" s="1" t="s">
        <v>6931</v>
      </c>
      <c r="F244" s="1" t="s">
        <v>6929</v>
      </c>
      <c r="G244" s="1" t="s">
        <v>7173</v>
      </c>
    </row>
    <row r="245" spans="1:7">
      <c r="A245" s="1" t="s">
        <v>853</v>
      </c>
      <c r="B245" s="1" t="s">
        <v>116</v>
      </c>
      <c r="C245" s="1" t="s">
        <v>3843</v>
      </c>
      <c r="D245" s="1" t="s">
        <v>3844</v>
      </c>
      <c r="E245" s="1" t="s">
        <v>7041</v>
      </c>
      <c r="F245" s="1" t="s">
        <v>6929</v>
      </c>
      <c r="G245" s="1" t="s">
        <v>7100</v>
      </c>
    </row>
    <row r="246" spans="1:7">
      <c r="A246" s="1" t="s">
        <v>853</v>
      </c>
      <c r="B246" s="1" t="s">
        <v>620</v>
      </c>
      <c r="C246" s="1" t="s">
        <v>3850</v>
      </c>
      <c r="D246" s="1" t="s">
        <v>3851</v>
      </c>
      <c r="E246" s="1" t="s">
        <v>6931</v>
      </c>
      <c r="F246" s="1" t="s">
        <v>6953</v>
      </c>
      <c r="G246" s="1" t="s">
        <v>7174</v>
      </c>
    </row>
    <row r="247" spans="1:7">
      <c r="A247" s="1" t="s">
        <v>853</v>
      </c>
      <c r="B247" s="1" t="s">
        <v>936</v>
      </c>
      <c r="C247" s="1" t="s">
        <v>3863</v>
      </c>
      <c r="D247" s="1" t="s">
        <v>3864</v>
      </c>
      <c r="E247" s="1" t="s">
        <v>6934</v>
      </c>
      <c r="F247" s="1" t="s">
        <v>6929</v>
      </c>
      <c r="G247" s="1" t="s">
        <v>6978</v>
      </c>
    </row>
    <row r="248" spans="1:7">
      <c r="A248" s="1" t="s">
        <v>853</v>
      </c>
      <c r="B248" s="1" t="s">
        <v>855</v>
      </c>
      <c r="C248" s="1" t="s">
        <v>856</v>
      </c>
      <c r="D248" s="1" t="s">
        <v>857</v>
      </c>
      <c r="E248" s="1" t="s">
        <v>7041</v>
      </c>
      <c r="F248" s="1" t="s">
        <v>6953</v>
      </c>
      <c r="G248" s="1" t="s">
        <v>7068</v>
      </c>
    </row>
    <row r="249" spans="1:7">
      <c r="A249" s="1" t="s">
        <v>853</v>
      </c>
      <c r="B249" s="1" t="s">
        <v>2915</v>
      </c>
      <c r="C249" s="1" t="s">
        <v>3817</v>
      </c>
      <c r="D249" s="1" t="s">
        <v>3818</v>
      </c>
      <c r="E249" s="1" t="s">
        <v>6931</v>
      </c>
      <c r="F249" s="1" t="s">
        <v>6929</v>
      </c>
      <c r="G249" s="1" t="s">
        <v>7068</v>
      </c>
    </row>
    <row r="250" spans="1:7">
      <c r="A250" s="1" t="s">
        <v>853</v>
      </c>
      <c r="B250" s="1" t="s">
        <v>1131</v>
      </c>
      <c r="C250" s="1" t="s">
        <v>3865</v>
      </c>
      <c r="D250" s="1" t="s">
        <v>3866</v>
      </c>
      <c r="E250" s="1" t="s">
        <v>6982</v>
      </c>
      <c r="F250" s="1" t="s">
        <v>6929</v>
      </c>
      <c r="G250" s="1" t="s">
        <v>6979</v>
      </c>
    </row>
    <row r="251" spans="1:7">
      <c r="A251" s="1" t="s">
        <v>853</v>
      </c>
      <c r="B251" s="1" t="s">
        <v>620</v>
      </c>
      <c r="C251" s="1" t="s">
        <v>3832</v>
      </c>
      <c r="D251" s="1" t="s">
        <v>3833</v>
      </c>
      <c r="E251" s="1" t="s">
        <v>6931</v>
      </c>
      <c r="F251" s="1" t="s">
        <v>6929</v>
      </c>
      <c r="G251" s="1" t="s">
        <v>6978</v>
      </c>
    </row>
    <row r="252" spans="1:7">
      <c r="A252" s="1" t="s">
        <v>746</v>
      </c>
      <c r="B252" s="1" t="s">
        <v>2161</v>
      </c>
      <c r="C252" s="1" t="s">
        <v>2354</v>
      </c>
      <c r="D252" s="1" t="s">
        <v>2355</v>
      </c>
      <c r="E252" s="1" t="s">
        <v>6934</v>
      </c>
      <c r="F252" s="1" t="s">
        <v>6929</v>
      </c>
      <c r="G252" s="1" t="s">
        <v>7175</v>
      </c>
    </row>
    <row r="253" spans="1:7">
      <c r="A253" s="1" t="s">
        <v>1206</v>
      </c>
      <c r="B253" s="1" t="s">
        <v>1207</v>
      </c>
      <c r="C253" s="1" t="s">
        <v>1208</v>
      </c>
      <c r="D253" s="1" t="s">
        <v>1209</v>
      </c>
      <c r="E253" s="1" t="s">
        <v>6939</v>
      </c>
      <c r="F253" s="1" t="s">
        <v>6929</v>
      </c>
      <c r="G253" s="1" t="s">
        <v>6927</v>
      </c>
    </row>
    <row r="254" spans="1:7">
      <c r="A254" s="1" t="s">
        <v>1416</v>
      </c>
      <c r="B254" s="1" t="s">
        <v>1319</v>
      </c>
      <c r="C254" s="1" t="s">
        <v>3977</v>
      </c>
      <c r="D254" s="1" t="s">
        <v>3978</v>
      </c>
      <c r="E254" s="1" t="s">
        <v>6943</v>
      </c>
      <c r="F254" s="1" t="s">
        <v>6929</v>
      </c>
      <c r="G254" s="1" t="s">
        <v>7176</v>
      </c>
    </row>
    <row r="255" spans="1:7">
      <c r="A255" s="1" t="s">
        <v>1416</v>
      </c>
      <c r="B255" s="1" t="s">
        <v>1319</v>
      </c>
      <c r="C255" s="1" t="s">
        <v>3981</v>
      </c>
      <c r="D255" s="1" t="s">
        <v>3982</v>
      </c>
      <c r="E255" s="1" t="s">
        <v>6943</v>
      </c>
      <c r="F255" s="1" t="s">
        <v>6929</v>
      </c>
      <c r="G255" s="1" t="s">
        <v>7177</v>
      </c>
    </row>
    <row r="256" spans="1:7">
      <c r="A256" s="1" t="s">
        <v>3961</v>
      </c>
      <c r="B256" s="1" t="s">
        <v>1131</v>
      </c>
      <c r="C256" s="1" t="s">
        <v>3962</v>
      </c>
      <c r="D256" s="1" t="s">
        <v>3963</v>
      </c>
      <c r="E256" s="1" t="s">
        <v>6982</v>
      </c>
      <c r="F256" s="1" t="s">
        <v>6953</v>
      </c>
      <c r="G256" s="1" t="s">
        <v>6927</v>
      </c>
    </row>
    <row r="257" spans="1:7">
      <c r="A257" s="1" t="s">
        <v>3961</v>
      </c>
      <c r="B257" s="1" t="s">
        <v>264</v>
      </c>
      <c r="C257" s="1" t="s">
        <v>3971</v>
      </c>
      <c r="D257" s="1" t="s">
        <v>3972</v>
      </c>
      <c r="E257" s="1" t="s">
        <v>5162</v>
      </c>
      <c r="F257" s="1" t="s">
        <v>6929</v>
      </c>
      <c r="G257" s="1" t="s">
        <v>6927</v>
      </c>
    </row>
    <row r="258" spans="1:7">
      <c r="A258" s="1" t="s">
        <v>3961</v>
      </c>
      <c r="B258" s="1" t="s">
        <v>264</v>
      </c>
      <c r="C258" s="1" t="s">
        <v>3975</v>
      </c>
      <c r="D258" s="1" t="s">
        <v>3976</v>
      </c>
      <c r="E258" s="1" t="s">
        <v>6931</v>
      </c>
      <c r="F258" s="1" t="s">
        <v>7056</v>
      </c>
      <c r="G258" s="1" t="s">
        <v>7178</v>
      </c>
    </row>
    <row r="259" spans="1:7">
      <c r="A259" s="1" t="s">
        <v>3961</v>
      </c>
      <c r="B259" s="1" t="s">
        <v>3966</v>
      </c>
      <c r="C259" s="1" t="s">
        <v>3967</v>
      </c>
      <c r="D259" s="1" t="s">
        <v>3968</v>
      </c>
      <c r="E259" s="1" t="s">
        <v>6943</v>
      </c>
      <c r="F259" s="1" t="s">
        <v>6929</v>
      </c>
      <c r="G259" s="1" t="s">
        <v>7179</v>
      </c>
    </row>
    <row r="260" spans="1:7">
      <c r="A260" s="3" t="s">
        <v>7180</v>
      </c>
      <c r="B260" s="1" t="s">
        <v>3657</v>
      </c>
      <c r="C260" s="1" t="s">
        <v>3658</v>
      </c>
      <c r="D260" s="1" t="s">
        <v>3659</v>
      </c>
      <c r="E260" s="1" t="s">
        <v>6931</v>
      </c>
      <c r="F260" s="1" t="s">
        <v>6926</v>
      </c>
      <c r="G260" s="1" t="s">
        <v>7181</v>
      </c>
    </row>
    <row r="261" spans="1:7">
      <c r="A261" s="1" t="s">
        <v>1989</v>
      </c>
      <c r="B261" s="1" t="s">
        <v>9</v>
      </c>
      <c r="C261" s="1" t="s">
        <v>1990</v>
      </c>
      <c r="D261" s="1" t="s">
        <v>1991</v>
      </c>
      <c r="E261" s="1" t="s">
        <v>6931</v>
      </c>
      <c r="F261" s="1" t="s">
        <v>7099</v>
      </c>
      <c r="G261" s="1" t="s">
        <v>6927</v>
      </c>
    </row>
    <row r="262" spans="1:7">
      <c r="A262" s="1" t="s">
        <v>111</v>
      </c>
      <c r="B262" s="1" t="s">
        <v>149</v>
      </c>
      <c r="C262" s="1" t="s">
        <v>6608</v>
      </c>
      <c r="D262" s="1" t="s">
        <v>6609</v>
      </c>
      <c r="E262" s="1" t="s">
        <v>6939</v>
      </c>
      <c r="F262" s="1" t="s">
        <v>6973</v>
      </c>
      <c r="G262" s="1" t="s">
        <v>7182</v>
      </c>
    </row>
    <row r="263" spans="1:7">
      <c r="A263" s="1" t="s">
        <v>111</v>
      </c>
      <c r="B263" s="1" t="s">
        <v>149</v>
      </c>
      <c r="C263" s="1" t="s">
        <v>6616</v>
      </c>
      <c r="D263" s="1" t="s">
        <v>6617</v>
      </c>
      <c r="E263" s="1" t="s">
        <v>6939</v>
      </c>
      <c r="F263" s="1" t="s">
        <v>6929</v>
      </c>
      <c r="G263" s="1" t="s">
        <v>7060</v>
      </c>
    </row>
    <row r="264" spans="1:7">
      <c r="A264" s="1" t="s">
        <v>3042</v>
      </c>
      <c r="B264" s="1" t="s">
        <v>3043</v>
      </c>
      <c r="C264" s="1" t="s">
        <v>3044</v>
      </c>
      <c r="D264" s="1" t="s">
        <v>3045</v>
      </c>
      <c r="E264" s="1" t="s">
        <v>6931</v>
      </c>
      <c r="F264" s="1" t="s">
        <v>6929</v>
      </c>
      <c r="G264" s="1" t="s">
        <v>6967</v>
      </c>
    </row>
    <row r="265" spans="1:7">
      <c r="A265" s="1" t="s">
        <v>7183</v>
      </c>
      <c r="B265" s="1" t="s">
        <v>308</v>
      </c>
      <c r="C265" s="1" t="s">
        <v>3444</v>
      </c>
      <c r="D265" s="1" t="s">
        <v>3077</v>
      </c>
      <c r="E265" s="1" t="s">
        <v>6931</v>
      </c>
      <c r="F265" s="1" t="s">
        <v>6999</v>
      </c>
      <c r="G265" s="1" t="s">
        <v>7184</v>
      </c>
    </row>
    <row r="266" spans="1:7">
      <c r="A266" s="1" t="s">
        <v>7183</v>
      </c>
      <c r="B266" s="1" t="s">
        <v>308</v>
      </c>
      <c r="C266" s="1" t="s">
        <v>679</v>
      </c>
      <c r="D266" s="1" t="s">
        <v>680</v>
      </c>
      <c r="E266" s="1" t="s">
        <v>6931</v>
      </c>
      <c r="F266" s="1" t="s">
        <v>7004</v>
      </c>
      <c r="G266" s="1" t="s">
        <v>7185</v>
      </c>
    </row>
    <row r="267" spans="1:7">
      <c r="A267" s="1" t="s">
        <v>7183</v>
      </c>
      <c r="B267" s="1" t="s">
        <v>789</v>
      </c>
      <c r="C267" s="1" t="s">
        <v>3440</v>
      </c>
      <c r="D267" s="1" t="s">
        <v>3441</v>
      </c>
      <c r="E267" s="1" t="s">
        <v>6931</v>
      </c>
      <c r="F267" s="1" t="s">
        <v>6929</v>
      </c>
      <c r="G267" s="1" t="s">
        <v>6927</v>
      </c>
    </row>
    <row r="268" spans="1:7">
      <c r="A268" s="1" t="s">
        <v>55</v>
      </c>
      <c r="B268" s="1" t="s">
        <v>6803</v>
      </c>
      <c r="C268" s="1" t="s">
        <v>6804</v>
      </c>
      <c r="D268" s="1" t="s">
        <v>6805</v>
      </c>
      <c r="E268" s="1" t="s">
        <v>6934</v>
      </c>
      <c r="F268" s="1" t="s">
        <v>7186</v>
      </c>
      <c r="G268" s="1" t="s">
        <v>6951</v>
      </c>
    </row>
    <row r="269" spans="1:7">
      <c r="A269" s="1" t="s">
        <v>55</v>
      </c>
      <c r="B269" s="1" t="s">
        <v>917</v>
      </c>
      <c r="C269" s="1" t="s">
        <v>925</v>
      </c>
      <c r="D269" s="1" t="s">
        <v>926</v>
      </c>
      <c r="E269" s="1" t="s">
        <v>6931</v>
      </c>
      <c r="F269" s="1" t="s">
        <v>6953</v>
      </c>
      <c r="G269" s="1" t="s">
        <v>7187</v>
      </c>
    </row>
    <row r="270" spans="1:7">
      <c r="A270" s="1" t="s">
        <v>55</v>
      </c>
      <c r="B270" s="1" t="s">
        <v>6844</v>
      </c>
      <c r="C270" s="1" t="s">
        <v>6845</v>
      </c>
      <c r="D270" s="1" t="s">
        <v>6846</v>
      </c>
      <c r="E270" s="1" t="s">
        <v>5162</v>
      </c>
      <c r="F270" s="1" t="s">
        <v>6929</v>
      </c>
      <c r="G270" s="1" t="s">
        <v>6967</v>
      </c>
    </row>
    <row r="271" spans="1:7">
      <c r="A271" s="1" t="s">
        <v>55</v>
      </c>
      <c r="B271" s="1" t="s">
        <v>3128</v>
      </c>
      <c r="C271" s="1" t="s">
        <v>6806</v>
      </c>
      <c r="D271" s="1" t="s">
        <v>6807</v>
      </c>
      <c r="E271" s="1" t="s">
        <v>3334</v>
      </c>
      <c r="F271" s="1" t="s">
        <v>6929</v>
      </c>
      <c r="G271" s="1" t="s">
        <v>6954</v>
      </c>
    </row>
    <row r="272" spans="1:7">
      <c r="A272" s="1" t="s">
        <v>55</v>
      </c>
      <c r="B272" s="1" t="s">
        <v>606</v>
      </c>
      <c r="C272" s="1" t="s">
        <v>6822</v>
      </c>
      <c r="D272" s="1" t="s">
        <v>1260</v>
      </c>
      <c r="E272" s="1" t="s">
        <v>6931</v>
      </c>
      <c r="F272" s="1" t="s">
        <v>6961</v>
      </c>
      <c r="G272" s="1" t="s">
        <v>7188</v>
      </c>
    </row>
    <row r="273" spans="1:7">
      <c r="A273" s="1" t="s">
        <v>55</v>
      </c>
      <c r="B273" s="1" t="s">
        <v>988</v>
      </c>
      <c r="C273" s="1" t="s">
        <v>6801</v>
      </c>
      <c r="D273" s="1" t="s">
        <v>6802</v>
      </c>
      <c r="E273" s="1" t="s">
        <v>7142</v>
      </c>
      <c r="F273" s="1" t="s">
        <v>6973</v>
      </c>
      <c r="G273" s="1" t="s">
        <v>7189</v>
      </c>
    </row>
    <row r="274" spans="1:7">
      <c r="A274" s="1" t="s">
        <v>55</v>
      </c>
      <c r="B274" s="1" t="s">
        <v>697</v>
      </c>
      <c r="C274" s="1" t="s">
        <v>1317</v>
      </c>
      <c r="D274" s="1" t="s">
        <v>1318</v>
      </c>
      <c r="E274" s="1" t="s">
        <v>3334</v>
      </c>
      <c r="F274" s="1" t="s">
        <v>6929</v>
      </c>
      <c r="G274" s="1" t="s">
        <v>6951</v>
      </c>
    </row>
    <row r="275" spans="1:7">
      <c r="A275" s="1" t="s">
        <v>47</v>
      </c>
      <c r="B275" s="1" t="s">
        <v>483</v>
      </c>
      <c r="C275" s="1" t="s">
        <v>4467</v>
      </c>
      <c r="D275" s="1" t="s">
        <v>4468</v>
      </c>
      <c r="E275" s="1" t="s">
        <v>5162</v>
      </c>
      <c r="F275" s="1" t="s">
        <v>6929</v>
      </c>
      <c r="G275" s="1" t="s">
        <v>7190</v>
      </c>
    </row>
    <row r="276" spans="1:7">
      <c r="A276" s="1" t="s">
        <v>47</v>
      </c>
      <c r="B276" s="1" t="s">
        <v>1034</v>
      </c>
      <c r="C276" s="1" t="s">
        <v>1810</v>
      </c>
      <c r="D276" s="1" t="s">
        <v>7191</v>
      </c>
      <c r="E276" s="1" t="s">
        <v>6944</v>
      </c>
      <c r="F276" s="1" t="s">
        <v>6929</v>
      </c>
      <c r="G276" s="1" t="s">
        <v>7182</v>
      </c>
    </row>
    <row r="277" spans="1:7">
      <c r="A277" s="1" t="s">
        <v>47</v>
      </c>
      <c r="B277" s="1" t="s">
        <v>483</v>
      </c>
      <c r="C277" s="1" t="s">
        <v>4473</v>
      </c>
      <c r="D277" s="1" t="s">
        <v>4474</v>
      </c>
      <c r="E277" s="1" t="s">
        <v>5162</v>
      </c>
      <c r="F277" s="1" t="s">
        <v>6929</v>
      </c>
      <c r="G277" s="1" t="s">
        <v>7192</v>
      </c>
    </row>
    <row r="278" spans="1:7">
      <c r="A278" s="1" t="s">
        <v>47</v>
      </c>
      <c r="B278" s="1" t="s">
        <v>4492</v>
      </c>
      <c r="C278" s="1" t="s">
        <v>4493</v>
      </c>
      <c r="D278" s="1" t="s">
        <v>4494</v>
      </c>
      <c r="E278" s="1" t="s">
        <v>6931</v>
      </c>
      <c r="F278" s="1" t="s">
        <v>6987</v>
      </c>
      <c r="G278" s="1" t="s">
        <v>7193</v>
      </c>
    </row>
    <row r="279" spans="1:7">
      <c r="A279" s="1" t="s">
        <v>47</v>
      </c>
      <c r="B279" s="1" t="s">
        <v>1523</v>
      </c>
      <c r="C279" s="1" t="s">
        <v>1524</v>
      </c>
      <c r="D279" s="1" t="s">
        <v>1264</v>
      </c>
      <c r="E279" s="1" t="s">
        <v>3334</v>
      </c>
      <c r="F279" s="1" t="s">
        <v>6929</v>
      </c>
      <c r="G279" s="1" t="s">
        <v>7194</v>
      </c>
    </row>
    <row r="280" spans="1:7">
      <c r="A280" s="1" t="s">
        <v>47</v>
      </c>
      <c r="B280" s="1" t="s">
        <v>4523</v>
      </c>
      <c r="C280" s="1" t="s">
        <v>4524</v>
      </c>
      <c r="D280" s="1" t="s">
        <v>4525</v>
      </c>
      <c r="E280" s="1" t="s">
        <v>5162</v>
      </c>
      <c r="F280" s="1" t="s">
        <v>6929</v>
      </c>
      <c r="G280" s="1" t="s">
        <v>7195</v>
      </c>
    </row>
    <row r="281" spans="1:7">
      <c r="A281" s="1" t="s">
        <v>47</v>
      </c>
      <c r="B281" s="1" t="s">
        <v>1523</v>
      </c>
      <c r="C281" s="1" t="s">
        <v>4479</v>
      </c>
      <c r="D281" s="1" t="s">
        <v>4480</v>
      </c>
      <c r="E281" s="1" t="s">
        <v>5162</v>
      </c>
      <c r="F281" s="1" t="s">
        <v>6929</v>
      </c>
      <c r="G281" s="1" t="s">
        <v>6967</v>
      </c>
    </row>
    <row r="282" spans="1:7">
      <c r="A282" s="1" t="s">
        <v>7196</v>
      </c>
      <c r="B282" s="1" t="s">
        <v>2915</v>
      </c>
      <c r="C282" s="1" t="s">
        <v>3800</v>
      </c>
      <c r="D282" s="1" t="s">
        <v>3801</v>
      </c>
      <c r="E282" s="1" t="s">
        <v>7046</v>
      </c>
      <c r="F282" s="1" t="s">
        <v>6953</v>
      </c>
      <c r="G282" s="1" t="s">
        <v>7068</v>
      </c>
    </row>
    <row r="283" spans="1:7">
      <c r="A283" s="1" t="s">
        <v>7196</v>
      </c>
      <c r="B283" s="1" t="s">
        <v>414</v>
      </c>
      <c r="C283" s="1" t="s">
        <v>3810</v>
      </c>
      <c r="D283" s="1" t="s">
        <v>3811</v>
      </c>
      <c r="E283" s="1" t="s">
        <v>6982</v>
      </c>
      <c r="F283" s="1" t="s">
        <v>6926</v>
      </c>
      <c r="G283" s="1" t="s">
        <v>7197</v>
      </c>
    </row>
    <row r="284" spans="1:7">
      <c r="A284" s="1" t="s">
        <v>7196</v>
      </c>
      <c r="B284" s="1" t="s">
        <v>78</v>
      </c>
      <c r="C284" s="1" t="s">
        <v>3804</v>
      </c>
      <c r="D284" s="1" t="s">
        <v>3805</v>
      </c>
      <c r="E284" s="1" t="s">
        <v>6931</v>
      </c>
      <c r="F284" s="1" t="s">
        <v>6929</v>
      </c>
      <c r="G284" s="1" t="s">
        <v>6954</v>
      </c>
    </row>
    <row r="285" spans="1:7">
      <c r="A285" s="1" t="s">
        <v>7196</v>
      </c>
      <c r="B285" s="1" t="s">
        <v>3791</v>
      </c>
      <c r="C285" s="1" t="s">
        <v>3792</v>
      </c>
      <c r="D285" s="1" t="s">
        <v>3793</v>
      </c>
      <c r="E285" s="1" t="s">
        <v>7041</v>
      </c>
      <c r="F285" s="1" t="s">
        <v>6926</v>
      </c>
      <c r="G285" s="1" t="s">
        <v>6927</v>
      </c>
    </row>
    <row r="286" spans="1:7">
      <c r="A286" s="1" t="s">
        <v>7198</v>
      </c>
      <c r="B286" s="1" t="s">
        <v>1026</v>
      </c>
      <c r="C286" s="1" t="s">
        <v>3280</v>
      </c>
      <c r="D286" s="1" t="s">
        <v>2186</v>
      </c>
      <c r="E286" s="1" t="s">
        <v>6931</v>
      </c>
      <c r="F286" s="1" t="s">
        <v>6999</v>
      </c>
      <c r="G286" s="1" t="s">
        <v>6954</v>
      </c>
    </row>
    <row r="287" spans="1:7">
      <c r="A287" s="1" t="s">
        <v>2386</v>
      </c>
      <c r="B287" s="1" t="s">
        <v>1411</v>
      </c>
      <c r="C287" s="1" t="s">
        <v>2389</v>
      </c>
      <c r="D287" s="1" t="s">
        <v>2390</v>
      </c>
      <c r="E287" s="1" t="s">
        <v>6931</v>
      </c>
      <c r="F287" s="1" t="s">
        <v>6929</v>
      </c>
      <c r="G287" s="1" t="s">
        <v>7199</v>
      </c>
    </row>
    <row r="288" spans="1:7">
      <c r="A288" s="1" t="s">
        <v>1346</v>
      </c>
      <c r="B288" s="1" t="s">
        <v>4212</v>
      </c>
      <c r="C288" s="1" t="s">
        <v>4213</v>
      </c>
      <c r="D288" s="1" t="s">
        <v>4214</v>
      </c>
      <c r="E288" s="1" t="s">
        <v>5162</v>
      </c>
      <c r="F288" s="1" t="s">
        <v>6929</v>
      </c>
      <c r="G288" s="1" t="s">
        <v>6967</v>
      </c>
    </row>
    <row r="289" spans="1:7">
      <c r="A289" s="1" t="s">
        <v>1346</v>
      </c>
      <c r="B289" s="1" t="s">
        <v>4215</v>
      </c>
      <c r="C289" s="1" t="s">
        <v>4219</v>
      </c>
      <c r="D289" s="1" t="s">
        <v>4220</v>
      </c>
      <c r="E289" s="1" t="s">
        <v>3334</v>
      </c>
      <c r="F289" s="1" t="s">
        <v>7018</v>
      </c>
      <c r="G289" s="1" t="s">
        <v>7200</v>
      </c>
    </row>
    <row r="290" spans="1:7">
      <c r="A290" s="1" t="s">
        <v>1346</v>
      </c>
      <c r="B290" s="1" t="s">
        <v>1383</v>
      </c>
      <c r="C290" s="1" t="s">
        <v>1384</v>
      </c>
      <c r="D290" s="1" t="s">
        <v>1385</v>
      </c>
      <c r="E290" s="1" t="s">
        <v>3334</v>
      </c>
      <c r="F290" s="1" t="s">
        <v>6953</v>
      </c>
      <c r="G290" s="1" t="s">
        <v>7201</v>
      </c>
    </row>
    <row r="291" spans="1:7">
      <c r="A291" s="1" t="s">
        <v>231</v>
      </c>
      <c r="B291" s="1" t="s">
        <v>2018</v>
      </c>
      <c r="C291" s="1" t="s">
        <v>2021</v>
      </c>
      <c r="D291" s="1" t="s">
        <v>2022</v>
      </c>
      <c r="E291" s="1" t="s">
        <v>7041</v>
      </c>
      <c r="F291" s="1" t="s">
        <v>6929</v>
      </c>
      <c r="G291" s="1" t="s">
        <v>7202</v>
      </c>
    </row>
    <row r="292" spans="1:7">
      <c r="A292" s="1" t="s">
        <v>231</v>
      </c>
      <c r="B292" s="1" t="s">
        <v>1473</v>
      </c>
      <c r="C292" s="1" t="s">
        <v>2049</v>
      </c>
      <c r="D292" s="1" t="s">
        <v>2050</v>
      </c>
      <c r="E292" s="1" t="s">
        <v>6944</v>
      </c>
      <c r="F292" s="1" t="s">
        <v>6929</v>
      </c>
      <c r="G292" s="1" t="s">
        <v>7203</v>
      </c>
    </row>
    <row r="293" spans="1:7">
      <c r="A293" s="1" t="s">
        <v>231</v>
      </c>
      <c r="B293" s="1" t="s">
        <v>1996</v>
      </c>
      <c r="C293" s="1" t="s">
        <v>2026</v>
      </c>
      <c r="D293" s="1" t="s">
        <v>2027</v>
      </c>
      <c r="E293" s="1" t="s">
        <v>7027</v>
      </c>
      <c r="F293" s="1" t="s">
        <v>6929</v>
      </c>
      <c r="G293" s="1" t="s">
        <v>7204</v>
      </c>
    </row>
    <row r="294" spans="1:7">
      <c r="A294" s="1" t="s">
        <v>231</v>
      </c>
      <c r="B294" s="1" t="s">
        <v>2005</v>
      </c>
      <c r="C294" s="1" t="s">
        <v>2006</v>
      </c>
      <c r="D294" s="1" t="s">
        <v>1999</v>
      </c>
      <c r="E294" s="1" t="s">
        <v>6934</v>
      </c>
      <c r="F294" s="1" t="s">
        <v>6926</v>
      </c>
      <c r="G294" s="1" t="s">
        <v>7205</v>
      </c>
    </row>
    <row r="295" spans="1:7">
      <c r="A295" s="1" t="s">
        <v>68</v>
      </c>
      <c r="B295" s="1" t="s">
        <v>134</v>
      </c>
      <c r="C295" s="1" t="s">
        <v>2258</v>
      </c>
      <c r="D295" s="1" t="s">
        <v>777</v>
      </c>
      <c r="E295" s="1" t="s">
        <v>6931</v>
      </c>
      <c r="F295" s="1" t="s">
        <v>6929</v>
      </c>
      <c r="G295" s="1" t="s">
        <v>7206</v>
      </c>
    </row>
    <row r="296" spans="1:7">
      <c r="A296" s="1" t="s">
        <v>674</v>
      </c>
      <c r="B296" s="1" t="s">
        <v>2397</v>
      </c>
      <c r="C296" s="1" t="s">
        <v>5936</v>
      </c>
      <c r="D296" s="1" t="s">
        <v>2785</v>
      </c>
      <c r="E296" s="1" t="s">
        <v>5162</v>
      </c>
      <c r="F296" s="1" t="s">
        <v>7011</v>
      </c>
      <c r="G296" s="1" t="s">
        <v>7207</v>
      </c>
    </row>
    <row r="297" spans="1:7">
      <c r="A297" s="1" t="s">
        <v>674</v>
      </c>
      <c r="B297" s="1" t="s">
        <v>2397</v>
      </c>
      <c r="C297" s="1" t="s">
        <v>5943</v>
      </c>
      <c r="D297" s="1" t="s">
        <v>7208</v>
      </c>
      <c r="E297" s="1" t="s">
        <v>5162</v>
      </c>
      <c r="F297" s="1" t="s">
        <v>6953</v>
      </c>
      <c r="G297" s="1" t="s">
        <v>7169</v>
      </c>
    </row>
    <row r="298" spans="1:7">
      <c r="A298" s="1" t="s">
        <v>674</v>
      </c>
      <c r="B298" s="1" t="s">
        <v>1589</v>
      </c>
      <c r="C298" s="1" t="s">
        <v>1590</v>
      </c>
      <c r="D298" s="1" t="s">
        <v>1591</v>
      </c>
      <c r="E298" s="1" t="s">
        <v>6992</v>
      </c>
      <c r="F298" s="1" t="s">
        <v>6929</v>
      </c>
      <c r="G298" s="1" t="s">
        <v>7049</v>
      </c>
    </row>
    <row r="299" spans="1:7">
      <c r="A299" s="1" t="s">
        <v>674</v>
      </c>
      <c r="B299" s="1" t="s">
        <v>5786</v>
      </c>
      <c r="C299" s="1" t="s">
        <v>5929</v>
      </c>
      <c r="D299" s="1" t="s">
        <v>3181</v>
      </c>
      <c r="E299" s="1" t="s">
        <v>6934</v>
      </c>
      <c r="F299" s="1" t="s">
        <v>6987</v>
      </c>
      <c r="G299" s="1" t="s">
        <v>7209</v>
      </c>
    </row>
    <row r="300" spans="1:7">
      <c r="A300" s="1" t="s">
        <v>674</v>
      </c>
      <c r="B300" s="1" t="s">
        <v>1155</v>
      </c>
      <c r="C300" s="1" t="s">
        <v>5907</v>
      </c>
      <c r="D300" s="1" t="s">
        <v>5908</v>
      </c>
      <c r="E300" s="1" t="s">
        <v>6931</v>
      </c>
      <c r="F300" s="1" t="s">
        <v>6929</v>
      </c>
      <c r="G300" s="1" t="s">
        <v>7210</v>
      </c>
    </row>
    <row r="301" spans="1:7">
      <c r="A301" s="1" t="s">
        <v>674</v>
      </c>
      <c r="B301" s="1" t="s">
        <v>834</v>
      </c>
      <c r="C301" s="1" t="s">
        <v>835</v>
      </c>
      <c r="D301" s="1" t="s">
        <v>836</v>
      </c>
      <c r="E301" s="1" t="s">
        <v>3334</v>
      </c>
      <c r="F301" s="1" t="s">
        <v>6944</v>
      </c>
      <c r="G301" s="1" t="s">
        <v>7211</v>
      </c>
    </row>
    <row r="302" spans="1:7">
      <c r="A302" s="1" t="s">
        <v>674</v>
      </c>
      <c r="B302" s="1" t="s">
        <v>675</v>
      </c>
      <c r="C302" s="1" t="s">
        <v>5932</v>
      </c>
      <c r="D302" s="1" t="s">
        <v>5933</v>
      </c>
      <c r="E302" s="1" t="s">
        <v>6939</v>
      </c>
      <c r="F302" s="1" t="s">
        <v>6929</v>
      </c>
      <c r="G302" s="1" t="s">
        <v>7212</v>
      </c>
    </row>
    <row r="303" spans="1:7">
      <c r="A303" s="1" t="s">
        <v>674</v>
      </c>
      <c r="B303" s="1" t="s">
        <v>1579</v>
      </c>
      <c r="C303" s="1" t="s">
        <v>5914</v>
      </c>
      <c r="D303" s="1" t="s">
        <v>5915</v>
      </c>
      <c r="E303" s="1" t="s">
        <v>7041</v>
      </c>
      <c r="F303" s="1" t="s">
        <v>6953</v>
      </c>
      <c r="G303" s="1" t="s">
        <v>7211</v>
      </c>
    </row>
    <row r="304" spans="1:7">
      <c r="A304" s="1" t="s">
        <v>133</v>
      </c>
      <c r="B304" s="1" t="s">
        <v>643</v>
      </c>
      <c r="C304" s="1" t="s">
        <v>910</v>
      </c>
      <c r="D304" s="1" t="s">
        <v>911</v>
      </c>
      <c r="E304" s="1" t="s">
        <v>7003</v>
      </c>
      <c r="F304" s="1" t="s">
        <v>7086</v>
      </c>
      <c r="G304" s="1" t="s">
        <v>6951</v>
      </c>
    </row>
    <row r="305" spans="1:7">
      <c r="A305" s="1" t="s">
        <v>133</v>
      </c>
      <c r="B305" s="1" t="s">
        <v>69</v>
      </c>
      <c r="C305" s="1" t="s">
        <v>3352</v>
      </c>
      <c r="D305" s="1" t="s">
        <v>3353</v>
      </c>
      <c r="E305" s="1" t="s">
        <v>6931</v>
      </c>
      <c r="F305" s="1" t="s">
        <v>6999</v>
      </c>
      <c r="G305" s="1" t="s">
        <v>7049</v>
      </c>
    </row>
    <row r="306" spans="1:7">
      <c r="A306" s="1" t="s">
        <v>274</v>
      </c>
      <c r="B306" s="1" t="s">
        <v>149</v>
      </c>
      <c r="C306" s="1" t="s">
        <v>6595</v>
      </c>
      <c r="D306" s="1" t="s">
        <v>4295</v>
      </c>
      <c r="E306" s="1" t="s">
        <v>6943</v>
      </c>
      <c r="F306" s="1" t="s">
        <v>6929</v>
      </c>
      <c r="G306" s="1" t="s">
        <v>7213</v>
      </c>
    </row>
    <row r="307" spans="1:7">
      <c r="A307" s="1" t="s">
        <v>274</v>
      </c>
      <c r="B307" s="1" t="s">
        <v>6575</v>
      </c>
      <c r="C307" s="1" t="s">
        <v>6576</v>
      </c>
      <c r="D307" s="1" t="s">
        <v>6577</v>
      </c>
      <c r="E307" s="1" t="s">
        <v>6993</v>
      </c>
      <c r="F307" s="1" t="s">
        <v>6929</v>
      </c>
      <c r="G307" s="1" t="s">
        <v>7214</v>
      </c>
    </row>
    <row r="308" spans="1:7">
      <c r="A308" s="1" t="s">
        <v>274</v>
      </c>
      <c r="B308" s="1" t="s">
        <v>6564</v>
      </c>
      <c r="C308" s="1" t="s">
        <v>6565</v>
      </c>
      <c r="D308" s="1" t="s">
        <v>7215</v>
      </c>
      <c r="E308" s="1" t="s">
        <v>6943</v>
      </c>
      <c r="F308" s="1" t="s">
        <v>6987</v>
      </c>
      <c r="G308" s="1" t="s">
        <v>6951</v>
      </c>
    </row>
    <row r="309" spans="1:7">
      <c r="A309" s="1" t="s">
        <v>274</v>
      </c>
      <c r="B309" s="1" t="s">
        <v>965</v>
      </c>
      <c r="C309" s="1" t="s">
        <v>1493</v>
      </c>
      <c r="D309" s="1" t="s">
        <v>1494</v>
      </c>
      <c r="E309" s="1" t="s">
        <v>6943</v>
      </c>
      <c r="F309" s="1" t="s">
        <v>6929</v>
      </c>
      <c r="G309" s="1" t="s">
        <v>6967</v>
      </c>
    </row>
    <row r="310" spans="1:7">
      <c r="A310" s="1" t="s">
        <v>274</v>
      </c>
      <c r="B310" s="1" t="s">
        <v>149</v>
      </c>
      <c r="C310" s="1" t="s">
        <v>6596</v>
      </c>
      <c r="D310" s="1" t="s">
        <v>6597</v>
      </c>
      <c r="E310" s="1" t="s">
        <v>7078</v>
      </c>
      <c r="F310" s="1" t="s">
        <v>6929</v>
      </c>
      <c r="G310" s="1" t="s">
        <v>6967</v>
      </c>
    </row>
    <row r="311" spans="1:7">
      <c r="A311" s="1" t="s">
        <v>205</v>
      </c>
      <c r="B311" s="1" t="s">
        <v>261</v>
      </c>
      <c r="C311" s="1" t="s">
        <v>262</v>
      </c>
      <c r="D311" s="1" t="s">
        <v>263</v>
      </c>
      <c r="E311" s="1" t="s">
        <v>3334</v>
      </c>
      <c r="F311" s="1" t="s">
        <v>6929</v>
      </c>
      <c r="G311" s="1" t="s">
        <v>6940</v>
      </c>
    </row>
    <row r="312" spans="1:7">
      <c r="A312" s="1" t="s">
        <v>205</v>
      </c>
      <c r="B312" s="1" t="s">
        <v>264</v>
      </c>
      <c r="C312" s="1" t="s">
        <v>6323</v>
      </c>
      <c r="D312" s="1" t="s">
        <v>6324</v>
      </c>
      <c r="E312" s="1" t="s">
        <v>6982</v>
      </c>
      <c r="F312" s="1" t="s">
        <v>7001</v>
      </c>
      <c r="G312" s="1" t="s">
        <v>7216</v>
      </c>
    </row>
    <row r="313" spans="1:7">
      <c r="A313" s="1" t="s">
        <v>205</v>
      </c>
      <c r="B313" s="1" t="s">
        <v>260</v>
      </c>
      <c r="C313" s="1" t="s">
        <v>1557</v>
      </c>
      <c r="D313" s="1" t="s">
        <v>5339</v>
      </c>
      <c r="E313" s="1" t="s">
        <v>3334</v>
      </c>
      <c r="F313" s="1" t="s">
        <v>6929</v>
      </c>
      <c r="G313" s="1" t="s">
        <v>7217</v>
      </c>
    </row>
    <row r="314" spans="1:7">
      <c r="A314" s="1" t="s">
        <v>205</v>
      </c>
      <c r="B314" s="1" t="s">
        <v>6325</v>
      </c>
      <c r="C314" s="1" t="s">
        <v>6326</v>
      </c>
      <c r="D314" s="1" t="s">
        <v>6327</v>
      </c>
      <c r="E314" s="1" t="s">
        <v>7218</v>
      </c>
      <c r="F314" s="1" t="s">
        <v>6999</v>
      </c>
      <c r="G314" s="1" t="s">
        <v>7219</v>
      </c>
    </row>
    <row r="315" spans="1:7">
      <c r="A315" s="1" t="s">
        <v>205</v>
      </c>
      <c r="B315" s="1" t="s">
        <v>6303</v>
      </c>
      <c r="C315" s="1" t="s">
        <v>6307</v>
      </c>
      <c r="D315" s="1" t="s">
        <v>6308</v>
      </c>
      <c r="E315" s="1" t="s">
        <v>3334</v>
      </c>
      <c r="F315" s="1" t="s">
        <v>6944</v>
      </c>
      <c r="G315" s="1" t="s">
        <v>7220</v>
      </c>
    </row>
    <row r="316" spans="1:7">
      <c r="A316" s="1" t="s">
        <v>205</v>
      </c>
      <c r="B316" s="1" t="s">
        <v>513</v>
      </c>
      <c r="C316" s="1" t="s">
        <v>518</v>
      </c>
      <c r="D316" s="1" t="s">
        <v>519</v>
      </c>
      <c r="E316" s="1" t="s">
        <v>6939</v>
      </c>
      <c r="F316" s="1" t="s">
        <v>6953</v>
      </c>
      <c r="G316" s="1" t="s">
        <v>7060</v>
      </c>
    </row>
    <row r="317" spans="1:7">
      <c r="A317" s="1" t="s">
        <v>205</v>
      </c>
      <c r="B317" s="1" t="s">
        <v>898</v>
      </c>
      <c r="C317" s="1" t="s">
        <v>6289</v>
      </c>
      <c r="D317" s="1" t="s">
        <v>326</v>
      </c>
      <c r="E317" s="1" t="s">
        <v>6943</v>
      </c>
      <c r="F317" s="1" t="s">
        <v>6929</v>
      </c>
      <c r="G317" s="1" t="s">
        <v>6927</v>
      </c>
    </row>
    <row r="318" spans="1:7">
      <c r="A318" s="1" t="s">
        <v>7221</v>
      </c>
      <c r="B318" s="1" t="s">
        <v>806</v>
      </c>
      <c r="C318" s="1" t="s">
        <v>807</v>
      </c>
      <c r="D318" s="1" t="s">
        <v>808</v>
      </c>
      <c r="E318" s="1" t="s">
        <v>7003</v>
      </c>
      <c r="F318" s="1" t="s">
        <v>7086</v>
      </c>
      <c r="G318" s="1" t="s">
        <v>6940</v>
      </c>
    </row>
    <row r="319" spans="1:7">
      <c r="A319" s="1" t="s">
        <v>1485</v>
      </c>
      <c r="B319" s="1" t="s">
        <v>9</v>
      </c>
      <c r="C319" s="1" t="s">
        <v>1486</v>
      </c>
      <c r="D319" s="1" t="s">
        <v>1487</v>
      </c>
      <c r="E319" s="1" t="s">
        <v>3334</v>
      </c>
      <c r="F319" s="1" t="s">
        <v>6929</v>
      </c>
      <c r="G319" s="1" t="s">
        <v>6967</v>
      </c>
    </row>
    <row r="320" spans="1:7">
      <c r="A320" s="1" t="s">
        <v>7222</v>
      </c>
      <c r="B320" s="1" t="s">
        <v>5364</v>
      </c>
      <c r="C320" s="1" t="s">
        <v>5369</v>
      </c>
      <c r="D320" s="1" t="s">
        <v>5370</v>
      </c>
      <c r="E320" s="1" t="s">
        <v>3334</v>
      </c>
      <c r="F320" s="1" t="s">
        <v>6929</v>
      </c>
      <c r="G320" s="1" t="s">
        <v>6951</v>
      </c>
    </row>
    <row r="321" spans="1:7">
      <c r="A321" s="1" t="s">
        <v>3949</v>
      </c>
      <c r="B321" s="1" t="s">
        <v>86</v>
      </c>
      <c r="C321" s="1" t="s">
        <v>3951</v>
      </c>
      <c r="D321" s="1" t="s">
        <v>3952</v>
      </c>
      <c r="E321" s="1" t="s">
        <v>3334</v>
      </c>
      <c r="F321" s="1" t="s">
        <v>6929</v>
      </c>
      <c r="G321" s="1" t="s">
        <v>7223</v>
      </c>
    </row>
    <row r="322" spans="1:7">
      <c r="A322" s="3" t="s">
        <v>7224</v>
      </c>
      <c r="B322" s="1" t="s">
        <v>183</v>
      </c>
      <c r="C322" s="1" t="s">
        <v>4276</v>
      </c>
      <c r="D322" s="1" t="s">
        <v>4277</v>
      </c>
      <c r="E322" s="1" t="s">
        <v>5162</v>
      </c>
      <c r="F322" s="1" t="s">
        <v>6929</v>
      </c>
      <c r="G322" s="1" t="s">
        <v>7225</v>
      </c>
    </row>
    <row r="323" spans="1:7">
      <c r="A323" s="3" t="s">
        <v>7224</v>
      </c>
      <c r="B323" s="1" t="s">
        <v>4256</v>
      </c>
      <c r="C323" s="1" t="s">
        <v>4257</v>
      </c>
      <c r="D323" s="1" t="s">
        <v>4258</v>
      </c>
      <c r="E323" s="1" t="s">
        <v>3334</v>
      </c>
      <c r="F323" s="1" t="s">
        <v>6929</v>
      </c>
      <c r="G323" s="1" t="s">
        <v>7226</v>
      </c>
    </row>
    <row r="324" spans="1:7">
      <c r="A324" s="3" t="s">
        <v>7224</v>
      </c>
      <c r="B324" s="1" t="s">
        <v>4251</v>
      </c>
      <c r="C324" s="1" t="s">
        <v>4252</v>
      </c>
      <c r="D324" s="1" t="s">
        <v>4253</v>
      </c>
      <c r="E324" s="1" t="s">
        <v>3334</v>
      </c>
      <c r="F324" s="1" t="s">
        <v>6929</v>
      </c>
      <c r="G324" s="1" t="s">
        <v>6951</v>
      </c>
    </row>
    <row r="325" spans="1:7">
      <c r="A325" s="3" t="s">
        <v>7224</v>
      </c>
      <c r="B325" s="1" t="s">
        <v>4247</v>
      </c>
      <c r="C325" s="1" t="s">
        <v>4248</v>
      </c>
      <c r="D325" s="1" t="s">
        <v>2938</v>
      </c>
      <c r="E325" s="1" t="s">
        <v>6943</v>
      </c>
      <c r="F325" s="1" t="s">
        <v>6953</v>
      </c>
      <c r="G325" s="1" t="s">
        <v>7227</v>
      </c>
    </row>
    <row r="326" spans="1:7">
      <c r="A326" s="3" t="s">
        <v>7224</v>
      </c>
      <c r="B326" s="1" t="s">
        <v>4259</v>
      </c>
      <c r="C326" s="1" t="s">
        <v>4266</v>
      </c>
      <c r="D326" s="1" t="s">
        <v>4267</v>
      </c>
      <c r="E326" s="1" t="s">
        <v>5162</v>
      </c>
      <c r="F326" s="1" t="s">
        <v>6929</v>
      </c>
      <c r="G326" s="1" t="s">
        <v>7228</v>
      </c>
    </row>
    <row r="327" spans="1:7">
      <c r="A327" s="3" t="s">
        <v>7224</v>
      </c>
      <c r="B327" s="1" t="s">
        <v>1100</v>
      </c>
      <c r="C327" s="1" t="s">
        <v>4296</v>
      </c>
      <c r="D327" s="1" t="s">
        <v>4297</v>
      </c>
      <c r="E327" s="1" t="s">
        <v>7041</v>
      </c>
      <c r="F327" s="1" t="s">
        <v>6929</v>
      </c>
      <c r="G327" s="1" t="s">
        <v>7089</v>
      </c>
    </row>
    <row r="328" spans="1:7">
      <c r="A328" s="1" t="s">
        <v>7229</v>
      </c>
      <c r="B328" s="1" t="s">
        <v>4251</v>
      </c>
      <c r="C328" s="1" t="s">
        <v>4268</v>
      </c>
      <c r="D328" s="1" t="s">
        <v>4269</v>
      </c>
      <c r="E328" s="1" t="s">
        <v>6931</v>
      </c>
      <c r="F328" s="1" t="s">
        <v>6929</v>
      </c>
      <c r="G328" s="1" t="s">
        <v>6932</v>
      </c>
    </row>
    <row r="329" spans="1:7">
      <c r="A329" s="1" t="s">
        <v>7229</v>
      </c>
      <c r="B329" s="1" t="s">
        <v>4221</v>
      </c>
      <c r="C329" s="1" t="s">
        <v>4290</v>
      </c>
      <c r="D329" s="1" t="s">
        <v>4291</v>
      </c>
      <c r="E329" s="1" t="s">
        <v>7230</v>
      </c>
      <c r="F329" s="1" t="s">
        <v>7011</v>
      </c>
      <c r="G329" s="1" t="s">
        <v>7231</v>
      </c>
    </row>
    <row r="330" spans="1:7">
      <c r="A330" s="1" t="s">
        <v>1166</v>
      </c>
      <c r="B330" s="1" t="s">
        <v>82</v>
      </c>
      <c r="C330" s="1" t="s">
        <v>1167</v>
      </c>
      <c r="D330" s="1" t="s">
        <v>1168</v>
      </c>
      <c r="E330" s="1" t="s">
        <v>6931</v>
      </c>
      <c r="F330" s="1" t="s">
        <v>6929</v>
      </c>
      <c r="G330" s="1" t="s">
        <v>6940</v>
      </c>
    </row>
    <row r="331" spans="1:7">
      <c r="A331" s="1" t="s">
        <v>284</v>
      </c>
      <c r="B331" s="1" t="s">
        <v>134</v>
      </c>
      <c r="C331" s="1" t="s">
        <v>3642</v>
      </c>
      <c r="D331" s="1" t="s">
        <v>3643</v>
      </c>
      <c r="E331" s="1" t="s">
        <v>6931</v>
      </c>
      <c r="F331" s="1" t="s">
        <v>6999</v>
      </c>
      <c r="G331" s="1" t="s">
        <v>7232</v>
      </c>
    </row>
    <row r="332" spans="1:7">
      <c r="A332" s="1" t="s">
        <v>226</v>
      </c>
      <c r="B332" s="1" t="s">
        <v>898</v>
      </c>
      <c r="C332" s="1" t="s">
        <v>2391</v>
      </c>
      <c r="D332" s="1" t="s">
        <v>2392</v>
      </c>
      <c r="E332" s="1" t="s">
        <v>6943</v>
      </c>
      <c r="F332" s="1" t="s">
        <v>6929</v>
      </c>
      <c r="G332" s="1" t="s">
        <v>6962</v>
      </c>
    </row>
    <row r="333" spans="1:7">
      <c r="A333" s="1" t="s">
        <v>226</v>
      </c>
      <c r="B333" s="1" t="s">
        <v>1148</v>
      </c>
      <c r="C333" s="1" t="s">
        <v>1617</v>
      </c>
      <c r="D333" s="1" t="s">
        <v>1618</v>
      </c>
      <c r="E333" s="1" t="s">
        <v>5162</v>
      </c>
      <c r="F333" s="1" t="s">
        <v>6929</v>
      </c>
      <c r="G333" s="1" t="s">
        <v>7220</v>
      </c>
    </row>
    <row r="334" spans="1:7">
      <c r="A334" s="1" t="s">
        <v>226</v>
      </c>
      <c r="B334" s="1" t="s">
        <v>1148</v>
      </c>
      <c r="C334" s="1" t="s">
        <v>1619</v>
      </c>
      <c r="D334" s="1" t="s">
        <v>1620</v>
      </c>
      <c r="E334" s="1" t="s">
        <v>3334</v>
      </c>
      <c r="F334" s="1" t="s">
        <v>6944</v>
      </c>
      <c r="G334" s="1" t="s">
        <v>7220</v>
      </c>
    </row>
    <row r="335" spans="1:7">
      <c r="A335" s="1" t="s">
        <v>226</v>
      </c>
      <c r="B335" s="1" t="s">
        <v>1627</v>
      </c>
      <c r="C335" s="1" t="s">
        <v>1628</v>
      </c>
      <c r="D335" s="1" t="s">
        <v>1624</v>
      </c>
      <c r="E335" s="1" t="s">
        <v>5162</v>
      </c>
      <c r="F335" s="1" t="s">
        <v>6944</v>
      </c>
      <c r="G335" s="1" t="s">
        <v>7128</v>
      </c>
    </row>
    <row r="336" spans="1:7">
      <c r="A336" s="1" t="s">
        <v>361</v>
      </c>
      <c r="B336" s="1" t="s">
        <v>362</v>
      </c>
      <c r="C336" s="1" t="s">
        <v>5288</v>
      </c>
      <c r="D336" s="1" t="s">
        <v>5289</v>
      </c>
      <c r="E336" s="1" t="s">
        <v>6943</v>
      </c>
      <c r="F336" s="1" t="s">
        <v>6929</v>
      </c>
      <c r="G336" s="1" t="s">
        <v>6967</v>
      </c>
    </row>
    <row r="337" spans="1:7">
      <c r="A337" s="1" t="s">
        <v>361</v>
      </c>
      <c r="B337" s="1" t="s">
        <v>868</v>
      </c>
      <c r="C337" s="1" t="s">
        <v>869</v>
      </c>
      <c r="D337" s="1" t="s">
        <v>870</v>
      </c>
      <c r="E337" s="1" t="s">
        <v>6943</v>
      </c>
      <c r="F337" s="1" t="s">
        <v>6929</v>
      </c>
      <c r="G337" s="1" t="s">
        <v>6927</v>
      </c>
    </row>
    <row r="338" spans="1:7">
      <c r="A338" s="1" t="s">
        <v>361</v>
      </c>
      <c r="B338" s="1" t="s">
        <v>551</v>
      </c>
      <c r="C338" s="1" t="s">
        <v>1954</v>
      </c>
      <c r="D338" s="1" t="s">
        <v>369</v>
      </c>
      <c r="E338" s="1" t="s">
        <v>6939</v>
      </c>
      <c r="F338" s="1" t="s">
        <v>6929</v>
      </c>
      <c r="G338" s="1" t="s">
        <v>7088</v>
      </c>
    </row>
    <row r="339" spans="1:7">
      <c r="A339" s="1" t="s">
        <v>361</v>
      </c>
      <c r="B339" s="1" t="s">
        <v>411</v>
      </c>
      <c r="C339" s="1" t="s">
        <v>721</v>
      </c>
      <c r="D339" s="1" t="s">
        <v>722</v>
      </c>
      <c r="E339" s="1" t="s">
        <v>7021</v>
      </c>
      <c r="F339" s="1" t="s">
        <v>6953</v>
      </c>
      <c r="G339" s="1" t="s">
        <v>7233</v>
      </c>
    </row>
    <row r="340" spans="1:7">
      <c r="A340" s="1" t="s">
        <v>361</v>
      </c>
      <c r="B340" s="1" t="s">
        <v>411</v>
      </c>
      <c r="C340" s="1" t="s">
        <v>412</v>
      </c>
      <c r="D340" s="1" t="s">
        <v>413</v>
      </c>
      <c r="E340" s="1" t="s">
        <v>7150</v>
      </c>
      <c r="F340" s="1" t="s">
        <v>7018</v>
      </c>
      <c r="G340" s="1" t="s">
        <v>7216</v>
      </c>
    </row>
    <row r="341" spans="1:7">
      <c r="A341" s="1" t="s">
        <v>7234</v>
      </c>
      <c r="B341" s="1" t="s">
        <v>1305</v>
      </c>
      <c r="C341" s="1" t="s">
        <v>5106</v>
      </c>
      <c r="D341" s="1" t="s">
        <v>5107</v>
      </c>
      <c r="E341" s="1" t="s">
        <v>3334</v>
      </c>
      <c r="F341" s="1" t="s">
        <v>6929</v>
      </c>
      <c r="G341" s="1" t="s">
        <v>6954</v>
      </c>
    </row>
    <row r="342" spans="1:7">
      <c r="A342" s="1" t="s">
        <v>51</v>
      </c>
      <c r="B342" s="1" t="s">
        <v>3037</v>
      </c>
      <c r="C342" s="1" t="s">
        <v>5483</v>
      </c>
      <c r="D342" s="1" t="s">
        <v>5484</v>
      </c>
      <c r="E342" s="1" t="s">
        <v>6939</v>
      </c>
      <c r="F342" s="1" t="s">
        <v>6961</v>
      </c>
      <c r="G342" s="1" t="s">
        <v>6951</v>
      </c>
    </row>
    <row r="343" spans="1:7">
      <c r="A343" s="1" t="s">
        <v>51</v>
      </c>
      <c r="B343" s="1" t="s">
        <v>350</v>
      </c>
      <c r="C343" s="1" t="s">
        <v>353</v>
      </c>
      <c r="D343" s="1" t="s">
        <v>354</v>
      </c>
      <c r="E343" s="1" t="s">
        <v>6955</v>
      </c>
      <c r="F343" s="1" t="s">
        <v>6929</v>
      </c>
      <c r="G343" s="1" t="s">
        <v>7235</v>
      </c>
    </row>
    <row r="344" spans="1:7">
      <c r="A344" s="1" t="s">
        <v>51</v>
      </c>
      <c r="B344" s="1" t="s">
        <v>898</v>
      </c>
      <c r="C344" s="1" t="s">
        <v>1907</v>
      </c>
      <c r="D344" s="1" t="s">
        <v>1908</v>
      </c>
      <c r="E344" s="1" t="s">
        <v>6939</v>
      </c>
      <c r="F344" s="1" t="s">
        <v>6929</v>
      </c>
      <c r="G344" s="1" t="s">
        <v>6967</v>
      </c>
    </row>
    <row r="345" spans="1:7">
      <c r="A345" s="1" t="s">
        <v>51</v>
      </c>
      <c r="B345" s="1" t="s">
        <v>278</v>
      </c>
      <c r="C345" s="1" t="s">
        <v>408</v>
      </c>
      <c r="D345" s="1" t="s">
        <v>409</v>
      </c>
      <c r="E345" s="1" t="s">
        <v>6931</v>
      </c>
      <c r="F345" s="1" t="s">
        <v>7011</v>
      </c>
      <c r="G345" s="1" t="s">
        <v>7169</v>
      </c>
    </row>
    <row r="346" spans="1:7">
      <c r="A346" s="1" t="s">
        <v>51</v>
      </c>
      <c r="B346" s="1" t="s">
        <v>149</v>
      </c>
      <c r="C346" s="1" t="s">
        <v>467</v>
      </c>
      <c r="D346" s="1" t="s">
        <v>468</v>
      </c>
      <c r="E346" s="1" t="s">
        <v>7021</v>
      </c>
      <c r="F346" s="1" t="s">
        <v>6953</v>
      </c>
      <c r="G346" s="1" t="s">
        <v>7236</v>
      </c>
    </row>
    <row r="347" spans="1:7">
      <c r="A347" s="1" t="s">
        <v>156</v>
      </c>
      <c r="B347" s="1" t="s">
        <v>3300</v>
      </c>
      <c r="C347" s="1" t="s">
        <v>5491</v>
      </c>
      <c r="D347" s="1" t="s">
        <v>5492</v>
      </c>
      <c r="E347" s="1" t="s">
        <v>6931</v>
      </c>
      <c r="F347" s="1" t="s">
        <v>6929</v>
      </c>
      <c r="G347" s="1" t="s">
        <v>7026</v>
      </c>
    </row>
    <row r="348" spans="1:7">
      <c r="A348" s="1" t="s">
        <v>156</v>
      </c>
      <c r="B348" s="1" t="s">
        <v>48</v>
      </c>
      <c r="C348" s="1" t="s">
        <v>3473</v>
      </c>
      <c r="D348" s="1" t="s">
        <v>3474</v>
      </c>
      <c r="E348" s="1" t="s">
        <v>6931</v>
      </c>
      <c r="F348" s="1" t="s">
        <v>6999</v>
      </c>
      <c r="G348" s="1" t="s">
        <v>7026</v>
      </c>
    </row>
    <row r="349" spans="1:7">
      <c r="A349" s="1" t="s">
        <v>156</v>
      </c>
      <c r="B349" s="1" t="s">
        <v>566</v>
      </c>
      <c r="C349" s="1" t="s">
        <v>3494</v>
      </c>
      <c r="D349" s="1" t="s">
        <v>3495</v>
      </c>
      <c r="E349" s="1" t="s">
        <v>6931</v>
      </c>
      <c r="F349" s="1" t="s">
        <v>6953</v>
      </c>
      <c r="G349" s="1" t="s">
        <v>6951</v>
      </c>
    </row>
    <row r="350" spans="1:7">
      <c r="A350" s="1" t="s">
        <v>1894</v>
      </c>
      <c r="B350" s="1" t="s">
        <v>951</v>
      </c>
      <c r="C350" s="1" t="s">
        <v>2291</v>
      </c>
      <c r="D350" s="1" t="s">
        <v>2127</v>
      </c>
      <c r="E350" s="1" t="s">
        <v>6931</v>
      </c>
      <c r="F350" s="1" t="s">
        <v>6929</v>
      </c>
      <c r="G350" s="1" t="s">
        <v>6954</v>
      </c>
    </row>
    <row r="351" spans="1:7">
      <c r="A351" s="1" t="s">
        <v>1894</v>
      </c>
      <c r="B351" s="1" t="s">
        <v>951</v>
      </c>
      <c r="C351" s="1" t="s">
        <v>2287</v>
      </c>
      <c r="D351" s="1" t="s">
        <v>2288</v>
      </c>
      <c r="E351" s="1" t="s">
        <v>7129</v>
      </c>
      <c r="F351" s="1" t="s">
        <v>6929</v>
      </c>
      <c r="G351" s="1" t="s">
        <v>7237</v>
      </c>
    </row>
    <row r="352" spans="1:7">
      <c r="A352" s="1" t="s">
        <v>1894</v>
      </c>
      <c r="B352" s="1" t="s">
        <v>2262</v>
      </c>
      <c r="C352" s="1" t="s">
        <v>2263</v>
      </c>
      <c r="D352" s="1" t="s">
        <v>2264</v>
      </c>
      <c r="E352" s="1" t="s">
        <v>3334</v>
      </c>
      <c r="F352" s="1" t="s">
        <v>6929</v>
      </c>
      <c r="G352" s="1" t="s">
        <v>6927</v>
      </c>
    </row>
    <row r="353" spans="1:7">
      <c r="A353" s="1" t="s">
        <v>7238</v>
      </c>
      <c r="B353" s="1" t="s">
        <v>270</v>
      </c>
      <c r="C353" s="1" t="s">
        <v>2618</v>
      </c>
      <c r="D353" s="1" t="s">
        <v>2619</v>
      </c>
      <c r="E353" s="1" t="s">
        <v>7041</v>
      </c>
      <c r="F353" s="1" t="s">
        <v>6929</v>
      </c>
      <c r="G353" s="1" t="s">
        <v>7239</v>
      </c>
    </row>
    <row r="354" spans="1:7">
      <c r="A354" s="1" t="s">
        <v>3333</v>
      </c>
      <c r="B354" s="1" t="s">
        <v>9</v>
      </c>
      <c r="C354" s="1" t="s">
        <v>3335</v>
      </c>
      <c r="D354" s="1" t="s">
        <v>3336</v>
      </c>
      <c r="E354" s="1" t="s">
        <v>3334</v>
      </c>
      <c r="F354" s="1" t="s">
        <v>6929</v>
      </c>
      <c r="G354" s="1" t="s">
        <v>6951</v>
      </c>
    </row>
    <row r="355" spans="1:7">
      <c r="A355" s="1" t="s">
        <v>2211</v>
      </c>
      <c r="B355" s="1" t="s">
        <v>264</v>
      </c>
      <c r="C355" s="1" t="s">
        <v>2212</v>
      </c>
      <c r="D355" s="1" t="s">
        <v>547</v>
      </c>
      <c r="E355" s="1" t="s">
        <v>6931</v>
      </c>
      <c r="F355" s="1" t="s">
        <v>6953</v>
      </c>
      <c r="G355" s="1" t="s">
        <v>7240</v>
      </c>
    </row>
    <row r="356" spans="1:7">
      <c r="A356" s="1" t="s">
        <v>235</v>
      </c>
      <c r="B356" s="1" t="s">
        <v>6145</v>
      </c>
      <c r="C356" s="1" t="s">
        <v>6146</v>
      </c>
      <c r="D356" s="1" t="s">
        <v>3623</v>
      </c>
      <c r="E356" s="1" t="s">
        <v>6939</v>
      </c>
      <c r="F356" s="1" t="s">
        <v>6929</v>
      </c>
      <c r="G356" s="1" t="s">
        <v>7241</v>
      </c>
    </row>
    <row r="357" spans="1:7">
      <c r="A357" s="1" t="s">
        <v>235</v>
      </c>
      <c r="B357" s="1" t="s">
        <v>6196</v>
      </c>
      <c r="C357" s="1" t="s">
        <v>6197</v>
      </c>
      <c r="D357" s="1" t="s">
        <v>6198</v>
      </c>
      <c r="E357" s="1" t="s">
        <v>7242</v>
      </c>
      <c r="F357" s="1" t="s">
        <v>6929</v>
      </c>
      <c r="G357" s="1" t="s">
        <v>7070</v>
      </c>
    </row>
    <row r="358" spans="1:7">
      <c r="A358" s="1" t="s">
        <v>235</v>
      </c>
      <c r="B358" s="1" t="s">
        <v>236</v>
      </c>
      <c r="C358" s="1" t="s">
        <v>237</v>
      </c>
      <c r="D358" s="1" t="s">
        <v>238</v>
      </c>
      <c r="E358" s="1" t="s">
        <v>6931</v>
      </c>
      <c r="F358" s="1" t="s">
        <v>7011</v>
      </c>
      <c r="G358" s="1" t="s">
        <v>7243</v>
      </c>
    </row>
    <row r="359" spans="1:7">
      <c r="A359" s="1" t="s">
        <v>235</v>
      </c>
      <c r="B359" s="1" t="s">
        <v>6211</v>
      </c>
      <c r="C359" s="1" t="s">
        <v>6212</v>
      </c>
      <c r="D359" s="1" t="s">
        <v>6213</v>
      </c>
      <c r="E359" s="1" t="s">
        <v>7021</v>
      </c>
      <c r="F359" s="1" t="s">
        <v>7018</v>
      </c>
      <c r="G359" s="1" t="s">
        <v>7057</v>
      </c>
    </row>
    <row r="360" spans="1:7">
      <c r="A360" s="1" t="s">
        <v>235</v>
      </c>
      <c r="B360" s="1" t="s">
        <v>6173</v>
      </c>
      <c r="C360" s="1" t="s">
        <v>6187</v>
      </c>
      <c r="D360" s="1" t="s">
        <v>6188</v>
      </c>
      <c r="E360" s="1" t="s">
        <v>6957</v>
      </c>
      <c r="F360" s="1" t="s">
        <v>6929</v>
      </c>
      <c r="G360" s="1" t="s">
        <v>7060</v>
      </c>
    </row>
    <row r="361" spans="1:7">
      <c r="A361" s="1" t="s">
        <v>235</v>
      </c>
      <c r="B361" s="1" t="s">
        <v>365</v>
      </c>
      <c r="C361" s="1" t="s">
        <v>6221</v>
      </c>
      <c r="D361" s="1" t="s">
        <v>6222</v>
      </c>
      <c r="E361" s="1" t="s">
        <v>3334</v>
      </c>
      <c r="F361" s="1" t="s">
        <v>6929</v>
      </c>
      <c r="G361" s="1" t="s">
        <v>7244</v>
      </c>
    </row>
    <row r="362" spans="1:7">
      <c r="A362" s="1" t="s">
        <v>235</v>
      </c>
      <c r="B362" s="1" t="s">
        <v>6154</v>
      </c>
      <c r="C362" s="1" t="s">
        <v>6155</v>
      </c>
      <c r="D362" s="1" t="s">
        <v>6156</v>
      </c>
      <c r="E362" s="1" t="s">
        <v>7245</v>
      </c>
      <c r="F362" s="1" t="s">
        <v>6999</v>
      </c>
      <c r="G362" s="1" t="s">
        <v>7202</v>
      </c>
    </row>
    <row r="363" spans="1:7">
      <c r="A363" s="1" t="s">
        <v>235</v>
      </c>
      <c r="B363" s="1" t="s">
        <v>6151</v>
      </c>
      <c r="C363" s="1" t="s">
        <v>6152</v>
      </c>
      <c r="D363" s="1" t="s">
        <v>6153</v>
      </c>
      <c r="E363" s="1" t="s">
        <v>7030</v>
      </c>
      <c r="F363" s="1" t="s">
        <v>6929</v>
      </c>
      <c r="G363" s="1" t="s">
        <v>7042</v>
      </c>
    </row>
    <row r="364" spans="1:7">
      <c r="A364" s="1" t="s">
        <v>235</v>
      </c>
      <c r="B364" s="1" t="s">
        <v>1668</v>
      </c>
      <c r="C364" s="1" t="s">
        <v>1669</v>
      </c>
      <c r="D364" s="1" t="s">
        <v>1670</v>
      </c>
      <c r="E364" s="1" t="s">
        <v>3334</v>
      </c>
      <c r="F364" s="1" t="s">
        <v>6929</v>
      </c>
      <c r="G364" s="1" t="s">
        <v>7246</v>
      </c>
    </row>
    <row r="365" spans="1:7">
      <c r="A365" s="1" t="s">
        <v>7247</v>
      </c>
      <c r="B365" s="1" t="s">
        <v>700</v>
      </c>
      <c r="C365" s="1" t="s">
        <v>1449</v>
      </c>
      <c r="D365" s="1" t="s">
        <v>1450</v>
      </c>
      <c r="E365" s="1" t="s">
        <v>3334</v>
      </c>
      <c r="F365" s="1" t="s">
        <v>6953</v>
      </c>
      <c r="G365" s="1" t="s">
        <v>6951</v>
      </c>
    </row>
    <row r="366" spans="1:7">
      <c r="A366" s="1" t="s">
        <v>7248</v>
      </c>
      <c r="B366" s="1" t="s">
        <v>4328</v>
      </c>
      <c r="C366" s="1" t="s">
        <v>4329</v>
      </c>
      <c r="D366" s="1" t="s">
        <v>4330</v>
      </c>
      <c r="E366" s="1" t="s">
        <v>6982</v>
      </c>
      <c r="F366" s="1" t="s">
        <v>6929</v>
      </c>
      <c r="G366" s="1" t="s">
        <v>7249</v>
      </c>
    </row>
    <row r="367" spans="1:7">
      <c r="A367" s="1" t="s">
        <v>7248</v>
      </c>
      <c r="B367" s="1" t="s">
        <v>4387</v>
      </c>
      <c r="C367" s="1" t="s">
        <v>4390</v>
      </c>
      <c r="D367" s="1" t="s">
        <v>4391</v>
      </c>
      <c r="E367" s="1" t="s">
        <v>6943</v>
      </c>
      <c r="F367" s="1" t="s">
        <v>6929</v>
      </c>
      <c r="G367" s="1" t="s">
        <v>7250</v>
      </c>
    </row>
    <row r="368" spans="1:7">
      <c r="A368" s="1" t="s">
        <v>1214</v>
      </c>
      <c r="B368" s="1" t="s">
        <v>135</v>
      </c>
      <c r="C368" s="1" t="s">
        <v>3517</v>
      </c>
      <c r="D368" s="1" t="s">
        <v>3518</v>
      </c>
      <c r="E368" s="1" t="s">
        <v>6931</v>
      </c>
      <c r="F368" s="1" t="s">
        <v>6929</v>
      </c>
      <c r="G368" s="1" t="s">
        <v>7251</v>
      </c>
    </row>
    <row r="369" spans="1:7">
      <c r="A369" s="1" t="s">
        <v>1214</v>
      </c>
      <c r="B369" s="1" t="s">
        <v>1431</v>
      </c>
      <c r="C369" s="1" t="s">
        <v>3521</v>
      </c>
      <c r="D369" s="1" t="s">
        <v>2638</v>
      </c>
      <c r="E369" s="1" t="s">
        <v>3334</v>
      </c>
      <c r="F369" s="1" t="s">
        <v>6929</v>
      </c>
      <c r="G369" s="1" t="s">
        <v>7145</v>
      </c>
    </row>
    <row r="370" spans="1:7">
      <c r="A370" s="1" t="s">
        <v>59</v>
      </c>
      <c r="B370" s="1" t="s">
        <v>1301</v>
      </c>
      <c r="C370" s="1" t="s">
        <v>1302</v>
      </c>
      <c r="D370" s="1" t="s">
        <v>1303</v>
      </c>
      <c r="E370" s="1" t="s">
        <v>6931</v>
      </c>
      <c r="F370" s="1" t="s">
        <v>6944</v>
      </c>
      <c r="G370" s="1" t="s">
        <v>6954</v>
      </c>
    </row>
    <row r="371" spans="1:7">
      <c r="A371" s="1" t="s">
        <v>59</v>
      </c>
      <c r="B371" s="1" t="s">
        <v>501</v>
      </c>
      <c r="C371" s="1" t="s">
        <v>4995</v>
      </c>
      <c r="D371" s="1" t="s">
        <v>4996</v>
      </c>
      <c r="E371" s="1" t="s">
        <v>6939</v>
      </c>
      <c r="F371" s="1" t="s">
        <v>6929</v>
      </c>
      <c r="G371" s="1" t="s">
        <v>7252</v>
      </c>
    </row>
    <row r="372" spans="1:7">
      <c r="A372" s="1" t="s">
        <v>59</v>
      </c>
      <c r="B372" s="1" t="s">
        <v>264</v>
      </c>
      <c r="C372" s="1" t="s">
        <v>1846</v>
      </c>
      <c r="D372" s="1" t="s">
        <v>1847</v>
      </c>
      <c r="E372" s="1" t="s">
        <v>5162</v>
      </c>
      <c r="F372" s="1" t="s">
        <v>6929</v>
      </c>
      <c r="G372" s="1" t="s">
        <v>7253</v>
      </c>
    </row>
    <row r="373" spans="1:7">
      <c r="A373" s="1" t="s">
        <v>59</v>
      </c>
      <c r="B373" s="1" t="s">
        <v>149</v>
      </c>
      <c r="C373" s="1" t="s">
        <v>5417</v>
      </c>
      <c r="D373" s="1" t="s">
        <v>5418</v>
      </c>
      <c r="E373" s="1" t="s">
        <v>6939</v>
      </c>
      <c r="F373" s="1" t="s">
        <v>6929</v>
      </c>
      <c r="G373" s="1" t="s">
        <v>6927</v>
      </c>
    </row>
    <row r="374" spans="1:7">
      <c r="A374" s="1" t="s">
        <v>59</v>
      </c>
      <c r="B374" s="1" t="s">
        <v>448</v>
      </c>
      <c r="C374" s="1" t="s">
        <v>5424</v>
      </c>
      <c r="D374" s="1" t="s">
        <v>5425</v>
      </c>
      <c r="E374" s="1" t="s">
        <v>6943</v>
      </c>
      <c r="F374" s="1" t="s">
        <v>6929</v>
      </c>
      <c r="G374" s="1" t="s">
        <v>7112</v>
      </c>
    </row>
    <row r="375" spans="1:7">
      <c r="A375" s="1" t="s">
        <v>59</v>
      </c>
      <c r="B375" s="1" t="s">
        <v>898</v>
      </c>
      <c r="C375" s="1" t="s">
        <v>5422</v>
      </c>
      <c r="D375" s="1" t="s">
        <v>5423</v>
      </c>
      <c r="E375" s="1" t="s">
        <v>6943</v>
      </c>
      <c r="F375" s="1" t="s">
        <v>6929</v>
      </c>
      <c r="G375" s="1" t="s">
        <v>6927</v>
      </c>
    </row>
    <row r="376" spans="1:7">
      <c r="A376" s="1" t="s">
        <v>59</v>
      </c>
      <c r="B376" s="1" t="s">
        <v>1258</v>
      </c>
      <c r="C376" s="1" t="s">
        <v>1259</v>
      </c>
      <c r="D376" s="1" t="s">
        <v>1260</v>
      </c>
      <c r="E376" s="1" t="s">
        <v>7254</v>
      </c>
      <c r="F376" s="1" t="s">
        <v>6999</v>
      </c>
      <c r="G376" s="1" t="s">
        <v>7255</v>
      </c>
    </row>
    <row r="377" spans="1:7">
      <c r="A377" s="1" t="s">
        <v>59</v>
      </c>
      <c r="B377" s="1" t="s">
        <v>5387</v>
      </c>
      <c r="C377" s="1" t="s">
        <v>5396</v>
      </c>
      <c r="D377" s="1" t="s">
        <v>2300</v>
      </c>
      <c r="E377" s="1" t="s">
        <v>6943</v>
      </c>
      <c r="F377" s="1" t="s">
        <v>6953</v>
      </c>
      <c r="G377" s="1" t="s">
        <v>7256</v>
      </c>
    </row>
    <row r="378" spans="1:7">
      <c r="A378" s="1" t="s">
        <v>59</v>
      </c>
      <c r="B378" s="1" t="s">
        <v>760</v>
      </c>
      <c r="C378" s="1" t="s">
        <v>761</v>
      </c>
      <c r="D378" s="1" t="s">
        <v>7257</v>
      </c>
      <c r="E378" s="1" t="s">
        <v>3334</v>
      </c>
      <c r="F378" s="1" t="s">
        <v>6953</v>
      </c>
      <c r="G378" s="1" t="s">
        <v>7026</v>
      </c>
    </row>
    <row r="379" spans="1:7">
      <c r="A379" s="1" t="s">
        <v>59</v>
      </c>
      <c r="B379" s="1" t="s">
        <v>264</v>
      </c>
      <c r="C379" s="1" t="s">
        <v>1787</v>
      </c>
      <c r="D379" s="1" t="s">
        <v>1788</v>
      </c>
      <c r="E379" s="1" t="s">
        <v>5162</v>
      </c>
      <c r="F379" s="1" t="s">
        <v>6953</v>
      </c>
      <c r="G379" s="1" t="s">
        <v>7258</v>
      </c>
    </row>
    <row r="380" spans="1:7">
      <c r="A380" s="1" t="s">
        <v>81</v>
      </c>
      <c r="B380" s="1" t="s">
        <v>264</v>
      </c>
      <c r="C380" s="1" t="s">
        <v>2995</v>
      </c>
      <c r="D380" s="1" t="s">
        <v>2996</v>
      </c>
      <c r="E380" s="1" t="s">
        <v>6931</v>
      </c>
      <c r="F380" s="1" t="s">
        <v>6929</v>
      </c>
      <c r="G380" s="1" t="s">
        <v>7259</v>
      </c>
    </row>
    <row r="381" spans="1:7">
      <c r="A381" s="1" t="s">
        <v>81</v>
      </c>
      <c r="B381" s="1" t="s">
        <v>245</v>
      </c>
      <c r="C381" s="1" t="s">
        <v>2991</v>
      </c>
      <c r="D381" s="1" t="s">
        <v>2992</v>
      </c>
      <c r="E381" s="1" t="s">
        <v>6934</v>
      </c>
      <c r="F381" s="1" t="s">
        <v>6929</v>
      </c>
      <c r="G381" s="1" t="s">
        <v>7007</v>
      </c>
    </row>
    <row r="382" spans="1:7">
      <c r="A382" s="1" t="s">
        <v>81</v>
      </c>
      <c r="B382" s="1" t="s">
        <v>264</v>
      </c>
      <c r="C382" s="1" t="s">
        <v>2993</v>
      </c>
      <c r="D382" s="1" t="s">
        <v>2994</v>
      </c>
      <c r="E382" s="1" t="s">
        <v>6931</v>
      </c>
      <c r="F382" s="1" t="s">
        <v>6929</v>
      </c>
      <c r="G382" s="1" t="s">
        <v>7260</v>
      </c>
    </row>
    <row r="383" spans="1:7">
      <c r="A383" s="1" t="s">
        <v>81</v>
      </c>
      <c r="B383" s="1" t="s">
        <v>245</v>
      </c>
      <c r="C383" s="1" t="s">
        <v>828</v>
      </c>
      <c r="D383" s="1" t="s">
        <v>829</v>
      </c>
      <c r="E383" s="1" t="s">
        <v>6934</v>
      </c>
      <c r="F383" s="1" t="s">
        <v>6926</v>
      </c>
      <c r="G383" s="1" t="s">
        <v>6951</v>
      </c>
    </row>
    <row r="384" spans="1:7">
      <c r="A384" s="1" t="s">
        <v>81</v>
      </c>
      <c r="B384" s="1" t="s">
        <v>78</v>
      </c>
      <c r="C384" s="1" t="s">
        <v>3011</v>
      </c>
      <c r="D384" s="1" t="s">
        <v>3012</v>
      </c>
      <c r="E384" s="1" t="s">
        <v>6931</v>
      </c>
      <c r="F384" s="1" t="s">
        <v>6929</v>
      </c>
      <c r="G384" s="1" t="s">
        <v>7100</v>
      </c>
    </row>
    <row r="385" spans="1:7">
      <c r="A385" s="1" t="s">
        <v>4605</v>
      </c>
      <c r="B385" s="1" t="s">
        <v>4629</v>
      </c>
      <c r="C385" s="1" t="s">
        <v>4634</v>
      </c>
      <c r="D385" s="1" t="s">
        <v>4635</v>
      </c>
      <c r="E385" s="1" t="s">
        <v>7041</v>
      </c>
      <c r="F385" s="1" t="s">
        <v>6926</v>
      </c>
      <c r="G385" s="1" t="s">
        <v>6932</v>
      </c>
    </row>
    <row r="386" spans="1:7">
      <c r="A386" s="1" t="s">
        <v>4605</v>
      </c>
      <c r="B386" s="1" t="s">
        <v>4678</v>
      </c>
      <c r="C386" s="1" t="s">
        <v>4679</v>
      </c>
      <c r="D386" s="1" t="s">
        <v>3409</v>
      </c>
      <c r="E386" s="1" t="s">
        <v>3334</v>
      </c>
      <c r="F386" s="1" t="s">
        <v>6929</v>
      </c>
      <c r="G386" s="1" t="s">
        <v>7220</v>
      </c>
    </row>
    <row r="387" spans="1:7">
      <c r="A387" s="1" t="s">
        <v>4400</v>
      </c>
      <c r="B387" s="1" t="s">
        <v>74</v>
      </c>
      <c r="C387" s="1" t="s">
        <v>4413</v>
      </c>
      <c r="D387" s="1" t="s">
        <v>4414</v>
      </c>
      <c r="E387" s="1" t="s">
        <v>3334</v>
      </c>
      <c r="F387" s="1" t="s">
        <v>6944</v>
      </c>
      <c r="G387" s="1" t="s">
        <v>6971</v>
      </c>
    </row>
    <row r="388" spans="1:7">
      <c r="A388" s="1" t="s">
        <v>4400</v>
      </c>
      <c r="B388" s="1" t="s">
        <v>4406</v>
      </c>
      <c r="C388" s="1" t="s">
        <v>4407</v>
      </c>
      <c r="D388" s="1" t="s">
        <v>913</v>
      </c>
      <c r="E388" s="1" t="s">
        <v>6982</v>
      </c>
      <c r="F388" s="1" t="s">
        <v>6929</v>
      </c>
      <c r="G388" s="1" t="s">
        <v>7261</v>
      </c>
    </row>
    <row r="389" spans="1:7">
      <c r="A389" s="1" t="s">
        <v>1674</v>
      </c>
      <c r="B389" s="1" t="s">
        <v>1675</v>
      </c>
      <c r="C389" s="1" t="s">
        <v>1707</v>
      </c>
      <c r="D389" s="1" t="s">
        <v>1708</v>
      </c>
      <c r="E389" s="1" t="s">
        <v>6943</v>
      </c>
      <c r="F389" s="1" t="s">
        <v>6929</v>
      </c>
      <c r="G389" s="1" t="s">
        <v>7212</v>
      </c>
    </row>
    <row r="390" spans="1:7">
      <c r="A390" s="1" t="s">
        <v>1099</v>
      </c>
      <c r="B390" s="1" t="s">
        <v>264</v>
      </c>
      <c r="C390" s="1" t="s">
        <v>3772</v>
      </c>
      <c r="D390" s="1" t="s">
        <v>3773</v>
      </c>
      <c r="E390" s="1" t="s">
        <v>6931</v>
      </c>
      <c r="F390" s="1" t="s">
        <v>6953</v>
      </c>
      <c r="G390" s="1" t="s">
        <v>6927</v>
      </c>
    </row>
    <row r="391" spans="1:7">
      <c r="A391" s="1" t="s">
        <v>1099</v>
      </c>
      <c r="B391" s="1" t="s">
        <v>3753</v>
      </c>
      <c r="C391" s="1" t="s">
        <v>3767</v>
      </c>
      <c r="D391" s="1" t="s">
        <v>3768</v>
      </c>
      <c r="E391" s="1" t="s">
        <v>6943</v>
      </c>
      <c r="F391" s="1" t="s">
        <v>6944</v>
      </c>
      <c r="G391" s="1" t="s">
        <v>6954</v>
      </c>
    </row>
    <row r="392" spans="1:7">
      <c r="A392" s="3" t="s">
        <v>7262</v>
      </c>
      <c r="B392" s="1" t="s">
        <v>620</v>
      </c>
      <c r="C392" s="1" t="s">
        <v>3765</v>
      </c>
      <c r="D392" s="1" t="s">
        <v>3766</v>
      </c>
      <c r="E392" s="1" t="s">
        <v>3334</v>
      </c>
      <c r="F392" s="1" t="s">
        <v>6929</v>
      </c>
      <c r="G392" s="1" t="s">
        <v>7263</v>
      </c>
    </row>
    <row r="393" spans="1:7">
      <c r="A393" s="1" t="s">
        <v>1563</v>
      </c>
      <c r="B393" s="1" t="s">
        <v>134</v>
      </c>
      <c r="C393" s="1" t="s">
        <v>1564</v>
      </c>
      <c r="D393" s="1" t="s">
        <v>1565</v>
      </c>
      <c r="E393" s="1" t="s">
        <v>6931</v>
      </c>
      <c r="F393" s="1" t="s">
        <v>7008</v>
      </c>
      <c r="G393" s="1" t="s">
        <v>7264</v>
      </c>
    </row>
    <row r="394" spans="1:7">
      <c r="A394" s="1" t="s">
        <v>7265</v>
      </c>
      <c r="B394" s="1" t="s">
        <v>5542</v>
      </c>
      <c r="C394" s="1" t="s">
        <v>5545</v>
      </c>
      <c r="D394" s="1" t="s">
        <v>5546</v>
      </c>
      <c r="E394" s="1" t="s">
        <v>6931</v>
      </c>
      <c r="F394" s="1" t="s">
        <v>6929</v>
      </c>
      <c r="G394" s="1" t="s">
        <v>7216</v>
      </c>
    </row>
    <row r="395" spans="1:7">
      <c r="A395" s="1" t="s">
        <v>124</v>
      </c>
      <c r="B395" s="1" t="s">
        <v>1174</v>
      </c>
      <c r="C395" s="1" t="s">
        <v>1177</v>
      </c>
      <c r="D395" s="1" t="s">
        <v>1178</v>
      </c>
      <c r="E395" s="1" t="s">
        <v>3334</v>
      </c>
      <c r="F395" s="1" t="s">
        <v>6929</v>
      </c>
      <c r="G395" s="1" t="s">
        <v>6951</v>
      </c>
    </row>
    <row r="396" spans="1:7">
      <c r="A396" s="1" t="s">
        <v>124</v>
      </c>
      <c r="B396" s="1" t="s">
        <v>5547</v>
      </c>
      <c r="C396" s="1" t="s">
        <v>5548</v>
      </c>
      <c r="D396" s="1" t="s">
        <v>5549</v>
      </c>
      <c r="E396" s="1" t="s">
        <v>6931</v>
      </c>
      <c r="F396" s="1" t="s">
        <v>6953</v>
      </c>
      <c r="G396" s="1" t="s">
        <v>7100</v>
      </c>
    </row>
    <row r="397" spans="1:7">
      <c r="A397" s="1" t="s">
        <v>124</v>
      </c>
      <c r="B397" s="1" t="s">
        <v>1174</v>
      </c>
      <c r="C397" s="1" t="s">
        <v>1175</v>
      </c>
      <c r="D397" s="1" t="s">
        <v>1176</v>
      </c>
      <c r="E397" s="1" t="s">
        <v>3334</v>
      </c>
      <c r="F397" s="1" t="s">
        <v>6953</v>
      </c>
      <c r="G397" s="1" t="s">
        <v>6951</v>
      </c>
    </row>
    <row r="398" spans="1:7">
      <c r="A398" s="1" t="s">
        <v>486</v>
      </c>
      <c r="B398" s="1" t="s">
        <v>3662</v>
      </c>
      <c r="C398" s="1" t="s">
        <v>3663</v>
      </c>
      <c r="D398" s="1" t="s">
        <v>3664</v>
      </c>
      <c r="E398" s="1" t="s">
        <v>6934</v>
      </c>
      <c r="F398" s="1" t="s">
        <v>6953</v>
      </c>
      <c r="G398" s="1" t="s">
        <v>7266</v>
      </c>
    </row>
    <row r="399" spans="1:7">
      <c r="A399" s="1" t="s">
        <v>38</v>
      </c>
      <c r="B399" s="1" t="s">
        <v>1595</v>
      </c>
      <c r="C399" s="1" t="s">
        <v>1596</v>
      </c>
      <c r="D399" s="1" t="s">
        <v>1597</v>
      </c>
      <c r="E399" s="1" t="s">
        <v>6944</v>
      </c>
      <c r="F399" s="1" t="s">
        <v>6929</v>
      </c>
      <c r="G399" s="1" t="s">
        <v>6967</v>
      </c>
    </row>
    <row r="400" spans="1:7">
      <c r="A400" s="1" t="s">
        <v>38</v>
      </c>
      <c r="B400" s="1" t="s">
        <v>1731</v>
      </c>
      <c r="C400" s="1" t="s">
        <v>5571</v>
      </c>
      <c r="D400" s="1" t="s">
        <v>5572</v>
      </c>
      <c r="E400" s="1" t="s">
        <v>5162</v>
      </c>
      <c r="F400" s="1" t="s">
        <v>6944</v>
      </c>
      <c r="G400" s="1" t="s">
        <v>6951</v>
      </c>
    </row>
    <row r="401" spans="1:7">
      <c r="A401" s="1" t="s">
        <v>38</v>
      </c>
      <c r="B401" s="1" t="s">
        <v>650</v>
      </c>
      <c r="C401" s="1" t="s">
        <v>5591</v>
      </c>
      <c r="D401" s="1" t="s">
        <v>5592</v>
      </c>
      <c r="E401" s="1" t="s">
        <v>3334</v>
      </c>
      <c r="F401" s="1" t="s">
        <v>6929</v>
      </c>
      <c r="G401" s="1" t="s">
        <v>7267</v>
      </c>
    </row>
    <row r="402" spans="1:7">
      <c r="A402" s="1" t="s">
        <v>38</v>
      </c>
      <c r="B402" s="1" t="s">
        <v>606</v>
      </c>
      <c r="C402" s="1" t="s">
        <v>1678</v>
      </c>
      <c r="D402" s="1" t="s">
        <v>1679</v>
      </c>
      <c r="E402" s="1" t="s">
        <v>6931</v>
      </c>
      <c r="F402" s="1" t="s">
        <v>7018</v>
      </c>
      <c r="G402" s="1" t="s">
        <v>7268</v>
      </c>
    </row>
    <row r="403" spans="1:7">
      <c r="A403" s="1" t="s">
        <v>38</v>
      </c>
      <c r="B403" s="1" t="s">
        <v>623</v>
      </c>
      <c r="C403" s="1" t="s">
        <v>5567</v>
      </c>
      <c r="D403" s="1" t="s">
        <v>5568</v>
      </c>
      <c r="E403" s="1" t="s">
        <v>3334</v>
      </c>
      <c r="F403" s="1" t="s">
        <v>6929</v>
      </c>
      <c r="G403" s="1" t="s">
        <v>6954</v>
      </c>
    </row>
    <row r="404" spans="1:7">
      <c r="A404" s="1" t="s">
        <v>38</v>
      </c>
      <c r="B404" s="1" t="s">
        <v>5344</v>
      </c>
      <c r="C404" s="1" t="s">
        <v>5604</v>
      </c>
      <c r="D404" s="1" t="s">
        <v>5605</v>
      </c>
      <c r="E404" s="1" t="s">
        <v>6955</v>
      </c>
      <c r="F404" s="1" t="s">
        <v>6929</v>
      </c>
      <c r="G404" s="1" t="s">
        <v>6940</v>
      </c>
    </row>
    <row r="405" spans="1:7">
      <c r="A405" s="1" t="s">
        <v>38</v>
      </c>
      <c r="B405" s="1" t="s">
        <v>1595</v>
      </c>
      <c r="C405" s="1" t="s">
        <v>5620</v>
      </c>
      <c r="D405" s="1" t="s">
        <v>5621</v>
      </c>
      <c r="E405" s="1" t="s">
        <v>6943</v>
      </c>
      <c r="F405" s="1" t="s">
        <v>6929</v>
      </c>
      <c r="G405" s="1" t="s">
        <v>6927</v>
      </c>
    </row>
    <row r="406" spans="1:7">
      <c r="A406" s="1" t="s">
        <v>38</v>
      </c>
      <c r="B406" s="1" t="s">
        <v>682</v>
      </c>
      <c r="C406" s="1" t="s">
        <v>683</v>
      </c>
      <c r="D406" s="1" t="s">
        <v>684</v>
      </c>
      <c r="E406" s="1" t="s">
        <v>6931</v>
      </c>
      <c r="F406" s="1" t="s">
        <v>7269</v>
      </c>
      <c r="G406" s="1" t="s">
        <v>7178</v>
      </c>
    </row>
    <row r="407" spans="1:7">
      <c r="A407" s="1" t="s">
        <v>38</v>
      </c>
      <c r="B407" s="1" t="s">
        <v>5624</v>
      </c>
      <c r="C407" s="1" t="s">
        <v>5625</v>
      </c>
      <c r="D407" s="1" t="s">
        <v>5626</v>
      </c>
      <c r="E407" s="1" t="s">
        <v>6943</v>
      </c>
      <c r="F407" s="1" t="s">
        <v>6929</v>
      </c>
      <c r="G407" s="1" t="s">
        <v>7060</v>
      </c>
    </row>
    <row r="408" spans="1:7">
      <c r="A408" s="1" t="s">
        <v>473</v>
      </c>
      <c r="B408" s="1" t="s">
        <v>1131</v>
      </c>
      <c r="C408" s="1" t="s">
        <v>6542</v>
      </c>
      <c r="D408" s="1" t="s">
        <v>6543</v>
      </c>
      <c r="E408" s="1" t="s">
        <v>6982</v>
      </c>
      <c r="F408" s="1" t="s">
        <v>6953</v>
      </c>
      <c r="G408" s="1" t="s">
        <v>7270</v>
      </c>
    </row>
    <row r="409" spans="1:7">
      <c r="A409" s="1" t="s">
        <v>473</v>
      </c>
      <c r="B409" s="1" t="s">
        <v>475</v>
      </c>
      <c r="C409" s="1" t="s">
        <v>476</v>
      </c>
      <c r="D409" s="1" t="s">
        <v>477</v>
      </c>
      <c r="E409" s="1" t="s">
        <v>6931</v>
      </c>
      <c r="F409" s="1" t="s">
        <v>6929</v>
      </c>
      <c r="G409" s="1" t="s">
        <v>7271</v>
      </c>
    </row>
    <row r="410" spans="1:7">
      <c r="A410" s="1" t="s">
        <v>473</v>
      </c>
      <c r="B410" s="1" t="s">
        <v>898</v>
      </c>
      <c r="C410" s="1" t="s">
        <v>1223</v>
      </c>
      <c r="D410" s="1" t="s">
        <v>1224</v>
      </c>
      <c r="E410" s="1" t="s">
        <v>7021</v>
      </c>
      <c r="F410" s="1" t="s">
        <v>6929</v>
      </c>
      <c r="G410" s="1" t="s">
        <v>7272</v>
      </c>
    </row>
    <row r="411" spans="1:7">
      <c r="A411" s="1" t="s">
        <v>473</v>
      </c>
      <c r="B411" s="1" t="s">
        <v>475</v>
      </c>
      <c r="C411" s="1" t="s">
        <v>478</v>
      </c>
      <c r="D411" s="1" t="s">
        <v>479</v>
      </c>
      <c r="E411" s="1" t="s">
        <v>3334</v>
      </c>
      <c r="F411" s="1" t="s">
        <v>6929</v>
      </c>
      <c r="G411" s="1" t="s">
        <v>6951</v>
      </c>
    </row>
    <row r="412" spans="1:7">
      <c r="A412" s="1" t="s">
        <v>473</v>
      </c>
      <c r="B412" s="1" t="s">
        <v>718</v>
      </c>
      <c r="C412" s="1" t="s">
        <v>6525</v>
      </c>
      <c r="D412" s="1" t="s">
        <v>6526</v>
      </c>
      <c r="E412" s="1" t="s">
        <v>6943</v>
      </c>
      <c r="F412" s="1" t="s">
        <v>6929</v>
      </c>
      <c r="G412" s="1" t="s">
        <v>7213</v>
      </c>
    </row>
    <row r="413" spans="1:7">
      <c r="A413" s="1" t="s">
        <v>473</v>
      </c>
      <c r="B413" s="1" t="s">
        <v>718</v>
      </c>
      <c r="C413" s="1" t="s">
        <v>6523</v>
      </c>
      <c r="D413" s="1" t="s">
        <v>6524</v>
      </c>
      <c r="E413" s="1" t="s">
        <v>6939</v>
      </c>
      <c r="F413" s="1" t="s">
        <v>6929</v>
      </c>
      <c r="G413" s="1" t="s">
        <v>6927</v>
      </c>
    </row>
    <row r="414" spans="1:7">
      <c r="A414" s="1" t="s">
        <v>473</v>
      </c>
      <c r="B414" s="1" t="s">
        <v>474</v>
      </c>
      <c r="C414" s="1" t="s">
        <v>6531</v>
      </c>
      <c r="D414" s="1" t="s">
        <v>6532</v>
      </c>
      <c r="E414" s="1" t="s">
        <v>6931</v>
      </c>
      <c r="F414" s="1" t="s">
        <v>6944</v>
      </c>
      <c r="G414" s="1" t="s">
        <v>7220</v>
      </c>
    </row>
    <row r="415" spans="1:7">
      <c r="A415" s="1" t="s">
        <v>7273</v>
      </c>
      <c r="B415" s="1" t="s">
        <v>74</v>
      </c>
      <c r="C415" s="1" t="s">
        <v>2664</v>
      </c>
      <c r="D415" s="1" t="s">
        <v>862</v>
      </c>
      <c r="E415" s="1" t="s">
        <v>6944</v>
      </c>
      <c r="F415" s="1" t="s">
        <v>7086</v>
      </c>
      <c r="G415" s="1" t="s">
        <v>7274</v>
      </c>
    </row>
    <row r="416" spans="1:7">
      <c r="A416" s="1" t="s">
        <v>327</v>
      </c>
      <c r="B416" s="1" t="s">
        <v>1647</v>
      </c>
      <c r="C416" s="1" t="s">
        <v>3322</v>
      </c>
      <c r="D416" s="1" t="s">
        <v>3323</v>
      </c>
      <c r="E416" s="1" t="s">
        <v>6931</v>
      </c>
      <c r="F416" s="1" t="s">
        <v>6929</v>
      </c>
      <c r="G416" s="1" t="s">
        <v>6932</v>
      </c>
    </row>
    <row r="417" spans="1:7">
      <c r="A417" s="1" t="s">
        <v>327</v>
      </c>
      <c r="B417" s="1" t="s">
        <v>1647</v>
      </c>
      <c r="C417" s="1" t="s">
        <v>1648</v>
      </c>
      <c r="D417" s="1" t="s">
        <v>862</v>
      </c>
      <c r="E417" s="1" t="s">
        <v>6931</v>
      </c>
      <c r="F417" s="1" t="s">
        <v>6929</v>
      </c>
      <c r="G417" s="1" t="s">
        <v>7178</v>
      </c>
    </row>
    <row r="418" spans="1:7">
      <c r="A418" s="1" t="s">
        <v>327</v>
      </c>
      <c r="B418" s="1" t="s">
        <v>3326</v>
      </c>
      <c r="C418" s="1" t="s">
        <v>3327</v>
      </c>
      <c r="D418" s="1" t="s">
        <v>3328</v>
      </c>
      <c r="E418" s="1" t="s">
        <v>6934</v>
      </c>
      <c r="F418" s="1" t="s">
        <v>6929</v>
      </c>
      <c r="G418" s="1" t="s">
        <v>7275</v>
      </c>
    </row>
    <row r="419" spans="1:7">
      <c r="A419" s="1" t="s">
        <v>298</v>
      </c>
      <c r="B419" s="1" t="s">
        <v>493</v>
      </c>
      <c r="C419" s="1" t="s">
        <v>6047</v>
      </c>
      <c r="D419" s="1" t="s">
        <v>6048</v>
      </c>
      <c r="E419" s="1" t="s">
        <v>6939</v>
      </c>
      <c r="F419" s="1" t="s">
        <v>6929</v>
      </c>
      <c r="G419" s="1" t="s">
        <v>6940</v>
      </c>
    </row>
    <row r="420" spans="1:7">
      <c r="A420" s="1" t="s">
        <v>298</v>
      </c>
      <c r="B420" s="1" t="s">
        <v>6040</v>
      </c>
      <c r="C420" s="1" t="s">
        <v>6041</v>
      </c>
      <c r="D420" s="1" t="s">
        <v>6042</v>
      </c>
      <c r="E420" s="1" t="s">
        <v>3334</v>
      </c>
      <c r="F420" s="1" t="s">
        <v>6944</v>
      </c>
      <c r="G420" s="1" t="s">
        <v>6951</v>
      </c>
    </row>
    <row r="421" spans="1:7">
      <c r="A421" s="1" t="s">
        <v>298</v>
      </c>
      <c r="B421" s="1" t="s">
        <v>299</v>
      </c>
      <c r="C421" s="1" t="s">
        <v>300</v>
      </c>
      <c r="D421" s="1" t="s">
        <v>301</v>
      </c>
      <c r="E421" s="1" t="s">
        <v>6943</v>
      </c>
      <c r="F421" s="1" t="s">
        <v>6953</v>
      </c>
      <c r="G421" s="1" t="s">
        <v>7271</v>
      </c>
    </row>
    <row r="422" spans="1:7">
      <c r="A422" s="1" t="s">
        <v>298</v>
      </c>
      <c r="B422" s="1" t="s">
        <v>149</v>
      </c>
      <c r="C422" s="1" t="s">
        <v>6033</v>
      </c>
      <c r="D422" s="1" t="s">
        <v>6034</v>
      </c>
      <c r="E422" s="1" t="s">
        <v>7021</v>
      </c>
      <c r="F422" s="1" t="s">
        <v>6953</v>
      </c>
      <c r="G422" s="1" t="s">
        <v>7276</v>
      </c>
    </row>
    <row r="423" spans="1:7">
      <c r="A423" s="1" t="s">
        <v>7277</v>
      </c>
      <c r="B423" s="1" t="s">
        <v>78</v>
      </c>
      <c r="C423" s="1" t="s">
        <v>3061</v>
      </c>
      <c r="D423" s="1" t="s">
        <v>3062</v>
      </c>
      <c r="E423" s="1" t="s">
        <v>6931</v>
      </c>
      <c r="F423" s="1" t="s">
        <v>6953</v>
      </c>
      <c r="G423" s="1" t="s">
        <v>6954</v>
      </c>
    </row>
    <row r="424" spans="1:7">
      <c r="A424" s="1" t="s">
        <v>3510</v>
      </c>
      <c r="B424" s="1" t="s">
        <v>134</v>
      </c>
      <c r="C424" s="1" t="s">
        <v>3511</v>
      </c>
      <c r="D424" s="1" t="s">
        <v>3512</v>
      </c>
      <c r="E424" s="1" t="s">
        <v>6931</v>
      </c>
      <c r="F424" s="1" t="s">
        <v>6999</v>
      </c>
      <c r="G424" s="1" t="s">
        <v>7157</v>
      </c>
    </row>
    <row r="425" spans="1:7">
      <c r="A425" s="1" t="s">
        <v>7278</v>
      </c>
      <c r="B425" s="1" t="s">
        <v>452</v>
      </c>
      <c r="C425" s="1" t="s">
        <v>5979</v>
      </c>
      <c r="D425" s="1" t="s">
        <v>5980</v>
      </c>
      <c r="E425" s="1" t="s">
        <v>6939</v>
      </c>
      <c r="F425" s="1" t="s">
        <v>6929</v>
      </c>
      <c r="G425" s="1" t="s">
        <v>7193</v>
      </c>
    </row>
    <row r="426" spans="1:7">
      <c r="A426" s="1" t="s">
        <v>7278</v>
      </c>
      <c r="B426" s="1" t="s">
        <v>4716</v>
      </c>
      <c r="C426" s="1" t="s">
        <v>5961</v>
      </c>
      <c r="D426" s="1" t="s">
        <v>5962</v>
      </c>
      <c r="E426" s="1" t="s">
        <v>6943</v>
      </c>
      <c r="F426" s="1" t="s">
        <v>6929</v>
      </c>
      <c r="G426" s="1" t="s">
        <v>7279</v>
      </c>
    </row>
    <row r="427" spans="1:7">
      <c r="A427" s="1" t="s">
        <v>7278</v>
      </c>
      <c r="B427" s="1" t="s">
        <v>264</v>
      </c>
      <c r="C427" s="1" t="s">
        <v>1761</v>
      </c>
      <c r="D427" s="1" t="s">
        <v>1762</v>
      </c>
      <c r="E427" s="1" t="s">
        <v>5162</v>
      </c>
      <c r="F427" s="1" t="s">
        <v>6929</v>
      </c>
      <c r="G427" s="1" t="s">
        <v>6932</v>
      </c>
    </row>
    <row r="428" spans="1:7">
      <c r="A428" s="1" t="s">
        <v>7278</v>
      </c>
      <c r="B428" s="1" t="s">
        <v>264</v>
      </c>
      <c r="C428" s="1" t="s">
        <v>6000</v>
      </c>
      <c r="D428" s="1" t="s">
        <v>6001</v>
      </c>
      <c r="E428" s="1" t="s">
        <v>3334</v>
      </c>
      <c r="F428" s="1" t="s">
        <v>6929</v>
      </c>
      <c r="G428" s="1" t="s">
        <v>7280</v>
      </c>
    </row>
    <row r="429" spans="1:7">
      <c r="A429" s="1" t="s">
        <v>7278</v>
      </c>
      <c r="B429" s="1" t="s">
        <v>264</v>
      </c>
      <c r="C429" s="1" t="s">
        <v>5992</v>
      </c>
      <c r="D429" s="1" t="s">
        <v>5993</v>
      </c>
      <c r="E429" s="1" t="s">
        <v>7030</v>
      </c>
      <c r="F429" s="1" t="s">
        <v>6953</v>
      </c>
      <c r="G429" s="1" t="s">
        <v>7281</v>
      </c>
    </row>
    <row r="430" spans="1:7">
      <c r="A430" s="1" t="s">
        <v>7278</v>
      </c>
      <c r="B430" s="1" t="s">
        <v>264</v>
      </c>
      <c r="C430" s="1" t="s">
        <v>5996</v>
      </c>
      <c r="D430" s="1" t="s">
        <v>5997</v>
      </c>
      <c r="E430" s="1" t="s">
        <v>6943</v>
      </c>
      <c r="F430" s="1" t="s">
        <v>6929</v>
      </c>
      <c r="G430" s="1" t="s">
        <v>7282</v>
      </c>
    </row>
    <row r="431" spans="1:7">
      <c r="A431" s="1" t="s">
        <v>7278</v>
      </c>
      <c r="B431" s="1" t="s">
        <v>1152</v>
      </c>
      <c r="C431" s="1" t="s">
        <v>1153</v>
      </c>
      <c r="D431" s="1" t="s">
        <v>1154</v>
      </c>
      <c r="E431" s="1" t="s">
        <v>6931</v>
      </c>
      <c r="F431" s="1" t="s">
        <v>6929</v>
      </c>
      <c r="G431" s="1" t="s">
        <v>7169</v>
      </c>
    </row>
    <row r="432" spans="1:7">
      <c r="A432" s="1" t="s">
        <v>7278</v>
      </c>
      <c r="B432" s="1" t="s">
        <v>898</v>
      </c>
      <c r="C432" s="1" t="s">
        <v>6002</v>
      </c>
      <c r="D432" s="1" t="s">
        <v>6003</v>
      </c>
      <c r="E432" s="1" t="s">
        <v>6943</v>
      </c>
      <c r="F432" s="1" t="s">
        <v>6929</v>
      </c>
      <c r="G432" s="1" t="s">
        <v>6967</v>
      </c>
    </row>
    <row r="433" spans="1:7">
      <c r="A433" s="1" t="s">
        <v>7278</v>
      </c>
      <c r="B433" s="1" t="s">
        <v>149</v>
      </c>
      <c r="C433" s="1" t="s">
        <v>1290</v>
      </c>
      <c r="D433" s="1" t="s">
        <v>1291</v>
      </c>
      <c r="E433" s="1" t="s">
        <v>6939</v>
      </c>
      <c r="F433" s="1" t="s">
        <v>6929</v>
      </c>
      <c r="G433" s="1" t="s">
        <v>6927</v>
      </c>
    </row>
    <row r="434" spans="1:7">
      <c r="A434" s="1" t="s">
        <v>7278</v>
      </c>
      <c r="B434" s="1" t="s">
        <v>5963</v>
      </c>
      <c r="C434" s="1" t="s">
        <v>5964</v>
      </c>
      <c r="D434" s="1" t="s">
        <v>5965</v>
      </c>
      <c r="E434" s="1" t="s">
        <v>6957</v>
      </c>
      <c r="F434" s="1" t="s">
        <v>6929</v>
      </c>
      <c r="G434" s="1" t="s">
        <v>6951</v>
      </c>
    </row>
    <row r="435" spans="1:7">
      <c r="A435" s="1" t="s">
        <v>7278</v>
      </c>
      <c r="B435" s="1" t="s">
        <v>757</v>
      </c>
      <c r="C435" s="1" t="s">
        <v>5967</v>
      </c>
      <c r="D435" s="1" t="s">
        <v>5968</v>
      </c>
      <c r="E435" s="1" t="s">
        <v>6957</v>
      </c>
      <c r="F435" s="1" t="s">
        <v>6929</v>
      </c>
      <c r="G435" s="1" t="s">
        <v>7283</v>
      </c>
    </row>
    <row r="436" spans="1:7">
      <c r="A436" s="1" t="s">
        <v>7278</v>
      </c>
      <c r="B436" s="1" t="s">
        <v>96</v>
      </c>
      <c r="C436" s="1" t="s">
        <v>5972</v>
      </c>
      <c r="D436" s="1" t="s">
        <v>5973</v>
      </c>
      <c r="E436" s="1" t="s">
        <v>6955</v>
      </c>
      <c r="F436" s="1" t="s">
        <v>7001</v>
      </c>
      <c r="G436" s="1" t="s">
        <v>7193</v>
      </c>
    </row>
    <row r="437" spans="1:7">
      <c r="A437" s="1" t="s">
        <v>1360</v>
      </c>
      <c r="B437" s="1" t="s">
        <v>2456</v>
      </c>
      <c r="C437" s="1" t="s">
        <v>2457</v>
      </c>
      <c r="D437" s="1" t="s">
        <v>2458</v>
      </c>
      <c r="E437" s="1" t="s">
        <v>6931</v>
      </c>
      <c r="F437" s="1" t="s">
        <v>6953</v>
      </c>
      <c r="G437" s="1" t="s">
        <v>6927</v>
      </c>
    </row>
    <row r="438" spans="1:7">
      <c r="A438" s="1" t="s">
        <v>943</v>
      </c>
      <c r="B438" s="1" t="s">
        <v>1910</v>
      </c>
      <c r="C438" s="1" t="s">
        <v>5206</v>
      </c>
      <c r="D438" s="1" t="s">
        <v>5207</v>
      </c>
      <c r="E438" s="1" t="s">
        <v>5162</v>
      </c>
      <c r="F438" s="1" t="s">
        <v>6973</v>
      </c>
      <c r="G438" s="1" t="s">
        <v>6951</v>
      </c>
    </row>
    <row r="439" spans="1:7">
      <c r="A439" s="3" t="s">
        <v>7284</v>
      </c>
      <c r="B439" s="1" t="s">
        <v>386</v>
      </c>
      <c r="C439" s="1" t="s">
        <v>2674</v>
      </c>
      <c r="D439" s="1" t="s">
        <v>2675</v>
      </c>
      <c r="E439" s="1" t="s">
        <v>7285</v>
      </c>
      <c r="F439" s="1" t="s">
        <v>6973</v>
      </c>
      <c r="G439" s="1" t="s">
        <v>7286</v>
      </c>
    </row>
    <row r="440" spans="1:7">
      <c r="A440" s="1" t="s">
        <v>2222</v>
      </c>
      <c r="B440" s="1" t="s">
        <v>1052</v>
      </c>
      <c r="C440" s="1" t="s">
        <v>2223</v>
      </c>
      <c r="D440" s="1" t="s">
        <v>2224</v>
      </c>
      <c r="E440" s="1" t="s">
        <v>3334</v>
      </c>
      <c r="F440" s="1" t="s">
        <v>6929</v>
      </c>
      <c r="G440" s="1" t="s">
        <v>6951</v>
      </c>
    </row>
    <row r="441" spans="1:7">
      <c r="A441" s="1" t="s">
        <v>319</v>
      </c>
      <c r="B441" s="1" t="s">
        <v>320</v>
      </c>
      <c r="C441" s="1" t="s">
        <v>1495</v>
      </c>
      <c r="D441" s="1" t="s">
        <v>1496</v>
      </c>
      <c r="E441" s="1" t="s">
        <v>7021</v>
      </c>
      <c r="F441" s="1" t="s">
        <v>6929</v>
      </c>
      <c r="G441" s="1" t="s">
        <v>6927</v>
      </c>
    </row>
    <row r="442" spans="1:7">
      <c r="A442" s="1" t="s">
        <v>319</v>
      </c>
      <c r="B442" s="1" t="s">
        <v>108</v>
      </c>
      <c r="C442" s="1" t="s">
        <v>1497</v>
      </c>
      <c r="D442" s="1" t="s">
        <v>1498</v>
      </c>
      <c r="E442" s="1" t="s">
        <v>6939</v>
      </c>
      <c r="F442" s="1" t="s">
        <v>6929</v>
      </c>
      <c r="G442" s="1" t="s">
        <v>6967</v>
      </c>
    </row>
    <row r="443" spans="1:7">
      <c r="A443" s="1" t="s">
        <v>7287</v>
      </c>
      <c r="B443" s="1" t="s">
        <v>2432</v>
      </c>
      <c r="C443" s="1" t="s">
        <v>2433</v>
      </c>
      <c r="D443" s="1" t="s">
        <v>2434</v>
      </c>
      <c r="E443" s="1" t="s">
        <v>7120</v>
      </c>
      <c r="F443" s="1" t="s">
        <v>6929</v>
      </c>
      <c r="G443" s="1" t="s">
        <v>7068</v>
      </c>
    </row>
    <row r="444" spans="1:7">
      <c r="A444" s="1" t="s">
        <v>7287</v>
      </c>
      <c r="B444" s="1" t="s">
        <v>270</v>
      </c>
      <c r="C444" s="1" t="s">
        <v>2428</v>
      </c>
      <c r="D444" s="1" t="s">
        <v>2429</v>
      </c>
      <c r="E444" s="1" t="s">
        <v>6931</v>
      </c>
      <c r="F444" s="1" t="s">
        <v>6929</v>
      </c>
      <c r="G444" s="1" t="s">
        <v>7070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CRM변경기준</vt:lpstr>
      <vt:lpstr>CRM적용</vt:lpstr>
      <vt:lpstr>원장</vt:lpstr>
      <vt:lpstr>설문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20688</dc:creator>
  <cp:lastModifiedBy>20688</cp:lastModifiedBy>
  <cp:lastPrinted>2019-01-21T05:50:52Z</cp:lastPrinted>
  <dcterms:created xsi:type="dcterms:W3CDTF">2019-01-17T07:16:15Z</dcterms:created>
  <dcterms:modified xsi:type="dcterms:W3CDTF">2019-01-23T00:55:53Z</dcterms:modified>
</cp:coreProperties>
</file>